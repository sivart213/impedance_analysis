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2cle.DEFECT_MFIA_PC\Documents\Work Docs\Projects\impedance_analysis\testing\Data\Raw\"/>
    </mc:Choice>
  </mc:AlternateContent>
  <xr:revisionPtr revIDLastSave="0" documentId="8_{57DFCE1B-8CD3-4CA0-9DFF-A96FF52BDEFC}" xr6:coauthVersionLast="47" xr6:coauthVersionMax="47" xr10:uidLastSave="{00000000-0000-0000-0000-000000000000}"/>
  <bookViews>
    <workbookView xWindow="-108" yWindow="-108" windowWidth="23256" windowHeight="12456" tabRatio="818" activeTab="3" xr2:uid="{00000000-000D-0000-FFFF-FFFF00000000}"/>
  </bookViews>
  <sheets>
    <sheet name="Main" sheetId="1" r:id="rId1"/>
    <sheet name="MasterSheet" sheetId="2" r:id="rId2"/>
    <sheet name="RC_1_10k" sheetId="103" r:id="rId3"/>
    <sheet name="RC_2_10k" sheetId="104" r:id="rId4"/>
    <sheet name="C_1" sheetId="106" r:id="rId5"/>
    <sheet name="C_2" sheetId="105" r:id="rId6"/>
    <sheet name="RC_1_1M" sheetId="107" r:id="rId7"/>
    <sheet name="RC_2_1M" sheetId="108" r:id="rId8"/>
    <sheet name="RC1_100M_RC2_2pt_1" sheetId="109" r:id="rId9"/>
    <sheet name="RC3_2pt_1" sheetId="110" r:id="rId10"/>
    <sheet name="RC1_RC3_RC2_2pt_1" sheetId="111" r:id="rId11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2" i="111" l="1"/>
  <c r="O11" i="111"/>
  <c r="L4" i="111"/>
  <c r="N764" i="111" s="1"/>
  <c r="N794" i="110"/>
  <c r="N789" i="110"/>
  <c r="N773" i="110"/>
  <c r="N746" i="110"/>
  <c r="N709" i="110"/>
  <c r="N704" i="110"/>
  <c r="N688" i="110"/>
  <c r="N661" i="110"/>
  <c r="N624" i="110"/>
  <c r="N618" i="110"/>
  <c r="N602" i="110"/>
  <c r="N576" i="110"/>
  <c r="N538" i="110"/>
  <c r="N533" i="110"/>
  <c r="N517" i="110"/>
  <c r="N490" i="110"/>
  <c r="N453" i="110"/>
  <c r="N448" i="110"/>
  <c r="N432" i="110"/>
  <c r="N405" i="110"/>
  <c r="N368" i="110"/>
  <c r="N362" i="110"/>
  <c r="N346" i="110"/>
  <c r="N320" i="110"/>
  <c r="N282" i="110"/>
  <c r="N277" i="110"/>
  <c r="N261" i="110"/>
  <c r="N234" i="110"/>
  <c r="N197" i="110"/>
  <c r="N192" i="110"/>
  <c r="N181" i="110"/>
  <c r="N160" i="110"/>
  <c r="N141" i="110"/>
  <c r="N138" i="110"/>
  <c r="N131" i="110"/>
  <c r="N121" i="110"/>
  <c r="N107" i="110"/>
  <c r="N105" i="110"/>
  <c r="N99" i="110"/>
  <c r="N89" i="110"/>
  <c r="N75" i="110"/>
  <c r="N73" i="110"/>
  <c r="N67" i="110"/>
  <c r="N57" i="110"/>
  <c r="N43" i="110"/>
  <c r="N41" i="110"/>
  <c r="N35" i="110"/>
  <c r="N25" i="110"/>
  <c r="O12" i="110"/>
  <c r="N12" i="110"/>
  <c r="O11" i="110"/>
  <c r="L4" i="110"/>
  <c r="N800" i="110" s="1"/>
  <c r="O12" i="109"/>
  <c r="O11" i="109"/>
  <c r="L4" i="109"/>
  <c r="N295" i="109" s="1"/>
  <c r="N790" i="108"/>
  <c r="N750" i="108"/>
  <c r="N742" i="108"/>
  <c r="N678" i="108"/>
  <c r="N614" i="108"/>
  <c r="N598" i="108"/>
  <c r="N558" i="108"/>
  <c r="N494" i="108"/>
  <c r="N430" i="108"/>
  <c r="N422" i="108"/>
  <c r="N406" i="108"/>
  <c r="N342" i="108"/>
  <c r="N278" i="108"/>
  <c r="N238" i="108"/>
  <c r="N230" i="108"/>
  <c r="N166" i="108"/>
  <c r="N129" i="108"/>
  <c r="N127" i="108"/>
  <c r="N122" i="108"/>
  <c r="N114" i="108"/>
  <c r="N106" i="108"/>
  <c r="N105" i="108"/>
  <c r="N103" i="108"/>
  <c r="N95" i="108"/>
  <c r="N87" i="108"/>
  <c r="N82" i="108"/>
  <c r="N81" i="108"/>
  <c r="N73" i="108"/>
  <c r="N65" i="108"/>
  <c r="N63" i="108"/>
  <c r="N58" i="108"/>
  <c r="N50" i="108"/>
  <c r="N42" i="108"/>
  <c r="N41" i="108"/>
  <c r="N39" i="108"/>
  <c r="N31" i="108"/>
  <c r="N23" i="108"/>
  <c r="N18" i="108"/>
  <c r="N17" i="108"/>
  <c r="O12" i="108"/>
  <c r="O11" i="108"/>
  <c r="L4" i="108"/>
  <c r="N774" i="108" s="1"/>
  <c r="N68" i="107"/>
  <c r="N45" i="107"/>
  <c r="N26" i="107"/>
  <c r="O12" i="107"/>
  <c r="O11" i="107"/>
  <c r="L4" i="107"/>
  <c r="N612" i="107" s="1"/>
  <c r="O12" i="106"/>
  <c r="O11" i="106"/>
  <c r="L4" i="106"/>
  <c r="N796" i="106" s="1"/>
  <c r="O12" i="105"/>
  <c r="O11" i="105"/>
  <c r="L4" i="105"/>
  <c r="N798" i="105" s="1"/>
  <c r="O12" i="104"/>
  <c r="O11" i="104"/>
  <c r="L4" i="104"/>
  <c r="N780" i="104" s="1"/>
  <c r="O12" i="103"/>
  <c r="O11" i="103"/>
  <c r="L4" i="103"/>
  <c r="N789" i="103" s="1"/>
  <c r="N684" i="111" l="1"/>
  <c r="N19" i="111"/>
  <c r="N236" i="111"/>
  <c r="N748" i="111"/>
  <c r="N27" i="111"/>
  <c r="N91" i="111"/>
  <c r="N300" i="111"/>
  <c r="N59" i="111"/>
  <c r="N123" i="111"/>
  <c r="N556" i="111"/>
  <c r="N12" i="111"/>
  <c r="N67" i="111"/>
  <c r="N131" i="111"/>
  <c r="N620" i="111"/>
  <c r="N75" i="111"/>
  <c r="N172" i="111"/>
  <c r="N35" i="111"/>
  <c r="N99" i="111"/>
  <c r="N364" i="111"/>
  <c r="N43" i="111"/>
  <c r="N107" i="111"/>
  <c r="N428" i="111"/>
  <c r="N51" i="111"/>
  <c r="N115" i="111"/>
  <c r="N492" i="111"/>
  <c r="N83" i="111"/>
  <c r="N20" i="111"/>
  <c r="N28" i="111"/>
  <c r="N36" i="111"/>
  <c r="N44" i="111"/>
  <c r="N52" i="111"/>
  <c r="N60" i="111"/>
  <c r="N68" i="111"/>
  <c r="N76" i="111"/>
  <c r="N84" i="111"/>
  <c r="N92" i="111"/>
  <c r="N100" i="111"/>
  <c r="N108" i="111"/>
  <c r="N116" i="111"/>
  <c r="N124" i="111"/>
  <c r="N132" i="111"/>
  <c r="N180" i="111"/>
  <c r="N244" i="111"/>
  <c r="N308" i="111"/>
  <c r="N372" i="111"/>
  <c r="N436" i="111"/>
  <c r="N500" i="111"/>
  <c r="N564" i="111"/>
  <c r="N628" i="111"/>
  <c r="N692" i="111"/>
  <c r="N756" i="111"/>
  <c r="N13" i="111"/>
  <c r="N21" i="111"/>
  <c r="N29" i="111"/>
  <c r="N37" i="111"/>
  <c r="N45" i="111"/>
  <c r="N53" i="111"/>
  <c r="N61" i="111"/>
  <c r="N69" i="111"/>
  <c r="N77" i="111"/>
  <c r="N85" i="111"/>
  <c r="N93" i="111"/>
  <c r="N101" i="111"/>
  <c r="N109" i="111"/>
  <c r="N117" i="111"/>
  <c r="N125" i="111"/>
  <c r="N133" i="111"/>
  <c r="N188" i="111"/>
  <c r="N252" i="111"/>
  <c r="N316" i="111"/>
  <c r="N380" i="111"/>
  <c r="N444" i="111"/>
  <c r="N508" i="111"/>
  <c r="N572" i="111"/>
  <c r="N636" i="111"/>
  <c r="N700" i="111"/>
  <c r="N811" i="111"/>
  <c r="N803" i="111"/>
  <c r="N795" i="111"/>
  <c r="N787" i="111"/>
  <c r="N779" i="111"/>
  <c r="N771" i="111"/>
  <c r="N763" i="111"/>
  <c r="N755" i="111"/>
  <c r="N747" i="111"/>
  <c r="N739" i="111"/>
  <c r="N731" i="111"/>
  <c r="N723" i="111"/>
  <c r="N715" i="111"/>
  <c r="N707" i="111"/>
  <c r="N699" i="111"/>
  <c r="N691" i="111"/>
  <c r="N683" i="111"/>
  <c r="N675" i="111"/>
  <c r="N667" i="111"/>
  <c r="N659" i="111"/>
  <c r="N651" i="111"/>
  <c r="N643" i="111"/>
  <c r="N635" i="111"/>
  <c r="N627" i="111"/>
  <c r="N619" i="111"/>
  <c r="N611" i="111"/>
  <c r="N603" i="111"/>
  <c r="N595" i="111"/>
  <c r="N587" i="111"/>
  <c r="N579" i="111"/>
  <c r="N571" i="111"/>
  <c r="N563" i="111"/>
  <c r="N555" i="111"/>
  <c r="N547" i="111"/>
  <c r="N539" i="111"/>
  <c r="N531" i="111"/>
  <c r="N523" i="111"/>
  <c r="N515" i="111"/>
  <c r="N507" i="111"/>
  <c r="N499" i="111"/>
  <c r="N491" i="111"/>
  <c r="N483" i="111"/>
  <c r="N475" i="111"/>
  <c r="N467" i="111"/>
  <c r="N459" i="111"/>
  <c r="N451" i="111"/>
  <c r="N443" i="111"/>
  <c r="N435" i="111"/>
  <c r="N427" i="111"/>
  <c r="N419" i="111"/>
  <c r="N411" i="111"/>
  <c r="N403" i="111"/>
  <c r="N395" i="111"/>
  <c r="N387" i="111"/>
  <c r="N379" i="111"/>
  <c r="N371" i="111"/>
  <c r="N363" i="111"/>
  <c r="N355" i="111"/>
  <c r="N347" i="111"/>
  <c r="N339" i="111"/>
  <c r="N331" i="111"/>
  <c r="N323" i="111"/>
  <c r="N315" i="111"/>
  <c r="N307" i="111"/>
  <c r="N299" i="111"/>
  <c r="N291" i="111"/>
  <c r="N283" i="111"/>
  <c r="N275" i="111"/>
  <c r="N267" i="111"/>
  <c r="N259" i="111"/>
  <c r="N251" i="111"/>
  <c r="N243" i="111"/>
  <c r="N235" i="111"/>
  <c r="N227" i="111"/>
  <c r="N219" i="111"/>
  <c r="N211" i="111"/>
  <c r="N203" i="111"/>
  <c r="N195" i="111"/>
  <c r="N187" i="111"/>
  <c r="N179" i="111"/>
  <c r="N171" i="111"/>
  <c r="N163" i="111"/>
  <c r="N155" i="111"/>
  <c r="N147" i="111"/>
  <c r="N139" i="111"/>
  <c r="N810" i="111"/>
  <c r="N802" i="111"/>
  <c r="N794" i="111"/>
  <c r="N786" i="111"/>
  <c r="N778" i="111"/>
  <c r="N770" i="111"/>
  <c r="N762" i="111"/>
  <c r="N754" i="111"/>
  <c r="N746" i="111"/>
  <c r="N738" i="111"/>
  <c r="N730" i="111"/>
  <c r="N722" i="111"/>
  <c r="N714" i="111"/>
  <c r="N706" i="111"/>
  <c r="N698" i="111"/>
  <c r="N690" i="111"/>
  <c r="N682" i="111"/>
  <c r="N674" i="111"/>
  <c r="N666" i="111"/>
  <c r="N658" i="111"/>
  <c r="N650" i="111"/>
  <c r="N642" i="111"/>
  <c r="N634" i="111"/>
  <c r="N626" i="111"/>
  <c r="N618" i="111"/>
  <c r="N610" i="111"/>
  <c r="N602" i="111"/>
  <c r="N594" i="111"/>
  <c r="N586" i="111"/>
  <c r="N578" i="111"/>
  <c r="N570" i="111"/>
  <c r="N562" i="111"/>
  <c r="N554" i="111"/>
  <c r="N546" i="111"/>
  <c r="N538" i="111"/>
  <c r="N530" i="111"/>
  <c r="N522" i="111"/>
  <c r="N514" i="111"/>
  <c r="N506" i="111"/>
  <c r="N498" i="111"/>
  <c r="N490" i="111"/>
  <c r="N482" i="111"/>
  <c r="N474" i="111"/>
  <c r="N466" i="111"/>
  <c r="N458" i="111"/>
  <c r="N450" i="111"/>
  <c r="N442" i="111"/>
  <c r="N434" i="111"/>
  <c r="N426" i="111"/>
  <c r="N418" i="111"/>
  <c r="N410" i="111"/>
  <c r="N402" i="111"/>
  <c r="N394" i="111"/>
  <c r="N386" i="111"/>
  <c r="N378" i="111"/>
  <c r="N370" i="111"/>
  <c r="N362" i="111"/>
  <c r="N354" i="111"/>
  <c r="N346" i="111"/>
  <c r="N338" i="111"/>
  <c r="N330" i="111"/>
  <c r="N322" i="111"/>
  <c r="N314" i="111"/>
  <c r="N306" i="111"/>
  <c r="N298" i="111"/>
  <c r="N290" i="111"/>
  <c r="N282" i="111"/>
  <c r="N274" i="111"/>
  <c r="N266" i="111"/>
  <c r="N258" i="111"/>
  <c r="N250" i="111"/>
  <c r="N242" i="111"/>
  <c r="N234" i="111"/>
  <c r="N226" i="111"/>
  <c r="N218" i="111"/>
  <c r="N210" i="111"/>
  <c r="N202" i="111"/>
  <c r="N194" i="111"/>
  <c r="N186" i="111"/>
  <c r="N178" i="111"/>
  <c r="N170" i="111"/>
  <c r="N162" i="111"/>
  <c r="N154" i="111"/>
  <c r="N146" i="111"/>
  <c r="N138" i="111"/>
  <c r="N809" i="111"/>
  <c r="N801" i="111"/>
  <c r="N793" i="111"/>
  <c r="N785" i="111"/>
  <c r="N777" i="111"/>
  <c r="N769" i="111"/>
  <c r="N761" i="111"/>
  <c r="N753" i="111"/>
  <c r="N745" i="111"/>
  <c r="N737" i="111"/>
  <c r="N729" i="111"/>
  <c r="N721" i="111"/>
  <c r="N713" i="111"/>
  <c r="N705" i="111"/>
  <c r="N697" i="111"/>
  <c r="N689" i="111"/>
  <c r="N681" i="111"/>
  <c r="N673" i="111"/>
  <c r="N665" i="111"/>
  <c r="N657" i="111"/>
  <c r="N649" i="111"/>
  <c r="N641" i="111"/>
  <c r="N633" i="111"/>
  <c r="N625" i="111"/>
  <c r="N617" i="111"/>
  <c r="N609" i="111"/>
  <c r="N601" i="111"/>
  <c r="N593" i="111"/>
  <c r="N585" i="111"/>
  <c r="N577" i="111"/>
  <c r="N569" i="111"/>
  <c r="N561" i="111"/>
  <c r="N553" i="111"/>
  <c r="N545" i="111"/>
  <c r="N537" i="111"/>
  <c r="N529" i="111"/>
  <c r="N521" i="111"/>
  <c r="N513" i="111"/>
  <c r="N505" i="111"/>
  <c r="N497" i="111"/>
  <c r="N489" i="111"/>
  <c r="N481" i="111"/>
  <c r="N473" i="111"/>
  <c r="N465" i="111"/>
  <c r="N457" i="111"/>
  <c r="N449" i="111"/>
  <c r="N441" i="111"/>
  <c r="N433" i="111"/>
  <c r="N425" i="111"/>
  <c r="N417" i="111"/>
  <c r="N409" i="111"/>
  <c r="N401" i="111"/>
  <c r="N393" i="111"/>
  <c r="N385" i="111"/>
  <c r="N377" i="111"/>
  <c r="N369" i="111"/>
  <c r="N361" i="111"/>
  <c r="N353" i="111"/>
  <c r="N345" i="111"/>
  <c r="N337" i="111"/>
  <c r="N329" i="111"/>
  <c r="N321" i="111"/>
  <c r="N313" i="111"/>
  <c r="N305" i="111"/>
  <c r="N297" i="111"/>
  <c r="N289" i="111"/>
  <c r="N281" i="111"/>
  <c r="N273" i="111"/>
  <c r="N265" i="111"/>
  <c r="N257" i="111"/>
  <c r="N249" i="111"/>
  <c r="N241" i="111"/>
  <c r="N233" i="111"/>
  <c r="N225" i="111"/>
  <c r="N217" i="111"/>
  <c r="N209" i="111"/>
  <c r="N201" i="111"/>
  <c r="N193" i="111"/>
  <c r="N185" i="111"/>
  <c r="N177" i="111"/>
  <c r="N169" i="111"/>
  <c r="N161" i="111"/>
  <c r="N153" i="111"/>
  <c r="N145" i="111"/>
  <c r="N137" i="111"/>
  <c r="N808" i="111"/>
  <c r="N800" i="111"/>
  <c r="N792" i="111"/>
  <c r="N784" i="111"/>
  <c r="N776" i="111"/>
  <c r="N768" i="111"/>
  <c r="N760" i="111"/>
  <c r="N752" i="111"/>
  <c r="N744" i="111"/>
  <c r="N736" i="111"/>
  <c r="N728" i="111"/>
  <c r="N720" i="111"/>
  <c r="N712" i="111"/>
  <c r="N704" i="111"/>
  <c r="N696" i="111"/>
  <c r="N688" i="111"/>
  <c r="N680" i="111"/>
  <c r="N672" i="111"/>
  <c r="N664" i="111"/>
  <c r="N656" i="111"/>
  <c r="N648" i="111"/>
  <c r="N640" i="111"/>
  <c r="N632" i="111"/>
  <c r="N624" i="111"/>
  <c r="N616" i="111"/>
  <c r="N608" i="111"/>
  <c r="N600" i="111"/>
  <c r="N592" i="111"/>
  <c r="N584" i="111"/>
  <c r="N576" i="111"/>
  <c r="N568" i="111"/>
  <c r="N560" i="111"/>
  <c r="N552" i="111"/>
  <c r="N544" i="111"/>
  <c r="N536" i="111"/>
  <c r="N528" i="111"/>
  <c r="N520" i="111"/>
  <c r="N512" i="111"/>
  <c r="N504" i="111"/>
  <c r="N496" i="111"/>
  <c r="N488" i="111"/>
  <c r="N480" i="111"/>
  <c r="N472" i="111"/>
  <c r="N464" i="111"/>
  <c r="N456" i="111"/>
  <c r="N448" i="111"/>
  <c r="N440" i="111"/>
  <c r="N432" i="111"/>
  <c r="N424" i="111"/>
  <c r="N416" i="111"/>
  <c r="N408" i="111"/>
  <c r="N400" i="111"/>
  <c r="N392" i="111"/>
  <c r="N384" i="111"/>
  <c r="N376" i="111"/>
  <c r="N368" i="111"/>
  <c r="N360" i="111"/>
  <c r="N352" i="111"/>
  <c r="N344" i="111"/>
  <c r="N336" i="111"/>
  <c r="N328" i="111"/>
  <c r="N320" i="111"/>
  <c r="N312" i="111"/>
  <c r="N304" i="111"/>
  <c r="N296" i="111"/>
  <c r="N288" i="111"/>
  <c r="N280" i="111"/>
  <c r="N272" i="111"/>
  <c r="N264" i="111"/>
  <c r="N256" i="111"/>
  <c r="N248" i="111"/>
  <c r="N240" i="111"/>
  <c r="N232" i="111"/>
  <c r="N224" i="111"/>
  <c r="N216" i="111"/>
  <c r="N208" i="111"/>
  <c r="N200" i="111"/>
  <c r="N192" i="111"/>
  <c r="N184" i="111"/>
  <c r="N176" i="111"/>
  <c r="N168" i="111"/>
  <c r="N160" i="111"/>
  <c r="N152" i="111"/>
  <c r="N144" i="111"/>
  <c r="N136" i="111"/>
  <c r="N807" i="111"/>
  <c r="N799" i="111"/>
  <c r="N791" i="111"/>
  <c r="N783" i="111"/>
  <c r="N775" i="111"/>
  <c r="N767" i="111"/>
  <c r="N759" i="111"/>
  <c r="N751" i="111"/>
  <c r="N743" i="111"/>
  <c r="N735" i="111"/>
  <c r="N727" i="111"/>
  <c r="N719" i="111"/>
  <c r="N711" i="111"/>
  <c r="N703" i="111"/>
  <c r="N695" i="111"/>
  <c r="N687" i="111"/>
  <c r="N679" i="111"/>
  <c r="N671" i="111"/>
  <c r="N663" i="111"/>
  <c r="N655" i="111"/>
  <c r="N647" i="111"/>
  <c r="N639" i="111"/>
  <c r="N631" i="111"/>
  <c r="N623" i="111"/>
  <c r="N615" i="111"/>
  <c r="N607" i="111"/>
  <c r="N599" i="111"/>
  <c r="N591" i="111"/>
  <c r="N583" i="111"/>
  <c r="N575" i="111"/>
  <c r="N567" i="111"/>
  <c r="N559" i="111"/>
  <c r="N551" i="111"/>
  <c r="N543" i="111"/>
  <c r="N535" i="111"/>
  <c r="N527" i="111"/>
  <c r="N519" i="111"/>
  <c r="N511" i="111"/>
  <c r="N503" i="111"/>
  <c r="N495" i="111"/>
  <c r="N487" i="111"/>
  <c r="N479" i="111"/>
  <c r="N471" i="111"/>
  <c r="N463" i="111"/>
  <c r="N455" i="111"/>
  <c r="N447" i="111"/>
  <c r="N439" i="111"/>
  <c r="N431" i="111"/>
  <c r="N423" i="111"/>
  <c r="N415" i="111"/>
  <c r="N407" i="111"/>
  <c r="N399" i="111"/>
  <c r="N391" i="111"/>
  <c r="N383" i="111"/>
  <c r="N375" i="111"/>
  <c r="N367" i="111"/>
  <c r="N359" i="111"/>
  <c r="N351" i="111"/>
  <c r="N343" i="111"/>
  <c r="N335" i="111"/>
  <c r="N327" i="111"/>
  <c r="N319" i="111"/>
  <c r="N311" i="111"/>
  <c r="N303" i="111"/>
  <c r="N295" i="111"/>
  <c r="N287" i="111"/>
  <c r="N279" i="111"/>
  <c r="N271" i="111"/>
  <c r="N263" i="111"/>
  <c r="N255" i="111"/>
  <c r="N247" i="111"/>
  <c r="N239" i="111"/>
  <c r="N231" i="111"/>
  <c r="N223" i="111"/>
  <c r="N215" i="111"/>
  <c r="N207" i="111"/>
  <c r="N199" i="111"/>
  <c r="N191" i="111"/>
  <c r="N183" i="111"/>
  <c r="N175" i="111"/>
  <c r="N167" i="111"/>
  <c r="N159" i="111"/>
  <c r="N151" i="111"/>
  <c r="N143" i="111"/>
  <c r="N806" i="111"/>
  <c r="N798" i="111"/>
  <c r="N790" i="111"/>
  <c r="N782" i="111"/>
  <c r="N774" i="111"/>
  <c r="N766" i="111"/>
  <c r="N758" i="111"/>
  <c r="N750" i="111"/>
  <c r="N742" i="111"/>
  <c r="N734" i="111"/>
  <c r="N726" i="111"/>
  <c r="N718" i="111"/>
  <c r="N710" i="111"/>
  <c r="N702" i="111"/>
  <c r="N694" i="111"/>
  <c r="N686" i="111"/>
  <c r="N678" i="111"/>
  <c r="N670" i="111"/>
  <c r="N662" i="111"/>
  <c r="N654" i="111"/>
  <c r="N646" i="111"/>
  <c r="N638" i="111"/>
  <c r="N630" i="111"/>
  <c r="N622" i="111"/>
  <c r="N614" i="111"/>
  <c r="N606" i="111"/>
  <c r="N598" i="111"/>
  <c r="N590" i="111"/>
  <c r="N582" i="111"/>
  <c r="N574" i="111"/>
  <c r="N566" i="111"/>
  <c r="N558" i="111"/>
  <c r="N550" i="111"/>
  <c r="N542" i="111"/>
  <c r="N534" i="111"/>
  <c r="N526" i="111"/>
  <c r="N518" i="111"/>
  <c r="N510" i="111"/>
  <c r="N502" i="111"/>
  <c r="N494" i="111"/>
  <c r="N486" i="111"/>
  <c r="N478" i="111"/>
  <c r="N470" i="111"/>
  <c r="N462" i="111"/>
  <c r="N454" i="111"/>
  <c r="N446" i="111"/>
  <c r="N438" i="111"/>
  <c r="N430" i="111"/>
  <c r="N422" i="111"/>
  <c r="N414" i="111"/>
  <c r="N406" i="111"/>
  <c r="N398" i="111"/>
  <c r="N390" i="111"/>
  <c r="N382" i="111"/>
  <c r="N374" i="111"/>
  <c r="N366" i="111"/>
  <c r="N358" i="111"/>
  <c r="N350" i="111"/>
  <c r="N342" i="111"/>
  <c r="N334" i="111"/>
  <c r="N326" i="111"/>
  <c r="N318" i="111"/>
  <c r="N310" i="111"/>
  <c r="N302" i="111"/>
  <c r="N294" i="111"/>
  <c r="N286" i="111"/>
  <c r="N278" i="111"/>
  <c r="N270" i="111"/>
  <c r="N262" i="111"/>
  <c r="N254" i="111"/>
  <c r="N246" i="111"/>
  <c r="N238" i="111"/>
  <c r="N230" i="111"/>
  <c r="N222" i="111"/>
  <c r="N214" i="111"/>
  <c r="N206" i="111"/>
  <c r="N198" i="111"/>
  <c r="N190" i="111"/>
  <c r="N182" i="111"/>
  <c r="N174" i="111"/>
  <c r="N166" i="111"/>
  <c r="N158" i="111"/>
  <c r="N150" i="111"/>
  <c r="N142" i="111"/>
  <c r="N134" i="111"/>
  <c r="N805" i="111"/>
  <c r="N797" i="111"/>
  <c r="N789" i="111"/>
  <c r="N781" i="111"/>
  <c r="N773" i="111"/>
  <c r="N765" i="111"/>
  <c r="N757" i="111"/>
  <c r="N749" i="111"/>
  <c r="N741" i="111"/>
  <c r="N733" i="111"/>
  <c r="N725" i="111"/>
  <c r="N717" i="111"/>
  <c r="N709" i="111"/>
  <c r="N701" i="111"/>
  <c r="N693" i="111"/>
  <c r="N685" i="111"/>
  <c r="N677" i="111"/>
  <c r="N669" i="111"/>
  <c r="N661" i="111"/>
  <c r="N653" i="111"/>
  <c r="N645" i="111"/>
  <c r="N637" i="111"/>
  <c r="N629" i="111"/>
  <c r="N621" i="111"/>
  <c r="N613" i="111"/>
  <c r="N605" i="111"/>
  <c r="N597" i="111"/>
  <c r="N589" i="111"/>
  <c r="N581" i="111"/>
  <c r="N573" i="111"/>
  <c r="N565" i="111"/>
  <c r="N557" i="111"/>
  <c r="N549" i="111"/>
  <c r="N541" i="111"/>
  <c r="N533" i="111"/>
  <c r="N525" i="111"/>
  <c r="N517" i="111"/>
  <c r="N509" i="111"/>
  <c r="N501" i="111"/>
  <c r="N493" i="111"/>
  <c r="N485" i="111"/>
  <c r="N477" i="111"/>
  <c r="N469" i="111"/>
  <c r="N461" i="111"/>
  <c r="N453" i="111"/>
  <c r="N445" i="111"/>
  <c r="N437" i="111"/>
  <c r="N429" i="111"/>
  <c r="N421" i="111"/>
  <c r="N413" i="111"/>
  <c r="N405" i="111"/>
  <c r="N397" i="111"/>
  <c r="N389" i="111"/>
  <c r="N381" i="111"/>
  <c r="N373" i="111"/>
  <c r="N365" i="111"/>
  <c r="N357" i="111"/>
  <c r="N349" i="111"/>
  <c r="N341" i="111"/>
  <c r="N333" i="111"/>
  <c r="N325" i="111"/>
  <c r="N317" i="111"/>
  <c r="N309" i="111"/>
  <c r="N301" i="111"/>
  <c r="N293" i="111"/>
  <c r="N285" i="111"/>
  <c r="N277" i="111"/>
  <c r="N269" i="111"/>
  <c r="N261" i="111"/>
  <c r="N253" i="111"/>
  <c r="N245" i="111"/>
  <c r="N237" i="111"/>
  <c r="N229" i="111"/>
  <c r="N221" i="111"/>
  <c r="N213" i="111"/>
  <c r="N205" i="111"/>
  <c r="N197" i="111"/>
  <c r="N189" i="111"/>
  <c r="N181" i="111"/>
  <c r="N173" i="111"/>
  <c r="N165" i="111"/>
  <c r="N157" i="111"/>
  <c r="N149" i="111"/>
  <c r="N141" i="111"/>
  <c r="N14" i="111"/>
  <c r="N22" i="111"/>
  <c r="N30" i="111"/>
  <c r="N38" i="111"/>
  <c r="N46" i="111"/>
  <c r="N54" i="111"/>
  <c r="N62" i="111"/>
  <c r="N70" i="111"/>
  <c r="N78" i="111"/>
  <c r="N86" i="111"/>
  <c r="N94" i="111"/>
  <c r="N102" i="111"/>
  <c r="N110" i="111"/>
  <c r="N118" i="111"/>
  <c r="N126" i="111"/>
  <c r="N135" i="111"/>
  <c r="N196" i="111"/>
  <c r="N260" i="111"/>
  <c r="N324" i="111"/>
  <c r="N388" i="111"/>
  <c r="N452" i="111"/>
  <c r="N516" i="111"/>
  <c r="N580" i="111"/>
  <c r="N644" i="111"/>
  <c r="N708" i="111"/>
  <c r="N772" i="111"/>
  <c r="N15" i="111"/>
  <c r="N23" i="111"/>
  <c r="N31" i="111"/>
  <c r="N39" i="111"/>
  <c r="N47" i="111"/>
  <c r="N55" i="111"/>
  <c r="N63" i="111"/>
  <c r="N71" i="111"/>
  <c r="N79" i="111"/>
  <c r="N87" i="111"/>
  <c r="N95" i="111"/>
  <c r="N103" i="111"/>
  <c r="N111" i="111"/>
  <c r="N119" i="111"/>
  <c r="N127" i="111"/>
  <c r="N140" i="111"/>
  <c r="N204" i="111"/>
  <c r="N268" i="111"/>
  <c r="N332" i="111"/>
  <c r="N396" i="111"/>
  <c r="N460" i="111"/>
  <c r="N524" i="111"/>
  <c r="N588" i="111"/>
  <c r="N652" i="111"/>
  <c r="N716" i="111"/>
  <c r="N780" i="111"/>
  <c r="N16" i="111"/>
  <c r="N24" i="111"/>
  <c r="N32" i="111"/>
  <c r="N40" i="111"/>
  <c r="N48" i="111"/>
  <c r="N56" i="111"/>
  <c r="N64" i="111"/>
  <c r="N72" i="111"/>
  <c r="N80" i="111"/>
  <c r="N88" i="111"/>
  <c r="N96" i="111"/>
  <c r="N104" i="111"/>
  <c r="N112" i="111"/>
  <c r="N120" i="111"/>
  <c r="N128" i="111"/>
  <c r="N148" i="111"/>
  <c r="N212" i="111"/>
  <c r="N276" i="111"/>
  <c r="N340" i="111"/>
  <c r="N404" i="111"/>
  <c r="N468" i="111"/>
  <c r="N532" i="111"/>
  <c r="N596" i="111"/>
  <c r="N660" i="111"/>
  <c r="N724" i="111"/>
  <c r="N788" i="111"/>
  <c r="N11" i="111"/>
  <c r="N17" i="111"/>
  <c r="N25" i="111"/>
  <c r="N33" i="111"/>
  <c r="N41" i="111"/>
  <c r="N49" i="111"/>
  <c r="N57" i="111"/>
  <c r="N65" i="111"/>
  <c r="N73" i="111"/>
  <c r="N81" i="111"/>
  <c r="N89" i="111"/>
  <c r="N97" i="111"/>
  <c r="N105" i="111"/>
  <c r="N113" i="111"/>
  <c r="N121" i="111"/>
  <c r="N129" i="111"/>
  <c r="N156" i="111"/>
  <c r="N220" i="111"/>
  <c r="N284" i="111"/>
  <c r="N348" i="111"/>
  <c r="N412" i="111"/>
  <c r="N476" i="111"/>
  <c r="N540" i="111"/>
  <c r="N604" i="111"/>
  <c r="N668" i="111"/>
  <c r="N732" i="111"/>
  <c r="N796" i="111"/>
  <c r="N18" i="111"/>
  <c r="N26" i="111"/>
  <c r="N34" i="111"/>
  <c r="N42" i="111"/>
  <c r="N50" i="111"/>
  <c r="N58" i="111"/>
  <c r="N66" i="111"/>
  <c r="N74" i="111"/>
  <c r="N82" i="111"/>
  <c r="N90" i="111"/>
  <c r="N98" i="111"/>
  <c r="N106" i="111"/>
  <c r="N114" i="111"/>
  <c r="N122" i="111"/>
  <c r="N130" i="111"/>
  <c r="N164" i="111"/>
  <c r="N228" i="111"/>
  <c r="N292" i="111"/>
  <c r="N356" i="111"/>
  <c r="N420" i="111"/>
  <c r="N484" i="111"/>
  <c r="N548" i="111"/>
  <c r="N612" i="111"/>
  <c r="N676" i="111"/>
  <c r="N740" i="111"/>
  <c r="N804" i="111"/>
  <c r="N17" i="110"/>
  <c r="N49" i="110"/>
  <c r="N81" i="110"/>
  <c r="N113" i="110"/>
  <c r="N149" i="110"/>
  <c r="N213" i="110"/>
  <c r="N298" i="110"/>
  <c r="N384" i="110"/>
  <c r="N469" i="110"/>
  <c r="N554" i="110"/>
  <c r="N640" i="110"/>
  <c r="N725" i="110"/>
  <c r="N19" i="110"/>
  <c r="N51" i="110"/>
  <c r="N83" i="110"/>
  <c r="N115" i="110"/>
  <c r="N151" i="110"/>
  <c r="N218" i="110"/>
  <c r="N304" i="110"/>
  <c r="N389" i="110"/>
  <c r="N474" i="110"/>
  <c r="N560" i="110"/>
  <c r="N645" i="110"/>
  <c r="N730" i="110"/>
  <c r="N27" i="110"/>
  <c r="N59" i="110"/>
  <c r="N91" i="110"/>
  <c r="N123" i="110"/>
  <c r="N165" i="110"/>
  <c r="N240" i="110"/>
  <c r="N325" i="110"/>
  <c r="N410" i="110"/>
  <c r="N496" i="110"/>
  <c r="N581" i="110"/>
  <c r="N666" i="110"/>
  <c r="N752" i="110"/>
  <c r="N11" i="110"/>
  <c r="N33" i="110"/>
  <c r="N65" i="110"/>
  <c r="N97" i="110"/>
  <c r="N129" i="110"/>
  <c r="N176" i="110"/>
  <c r="N256" i="110"/>
  <c r="N341" i="110"/>
  <c r="N426" i="110"/>
  <c r="N512" i="110"/>
  <c r="N597" i="110"/>
  <c r="N682" i="110"/>
  <c r="N768" i="110"/>
  <c r="N18" i="110"/>
  <c r="N26" i="110"/>
  <c r="N34" i="110"/>
  <c r="N42" i="110"/>
  <c r="N50" i="110"/>
  <c r="N58" i="110"/>
  <c r="N66" i="110"/>
  <c r="N74" i="110"/>
  <c r="N82" i="110"/>
  <c r="N90" i="110"/>
  <c r="N98" i="110"/>
  <c r="N106" i="110"/>
  <c r="N114" i="110"/>
  <c r="N122" i="110"/>
  <c r="N130" i="110"/>
  <c r="N140" i="110"/>
  <c r="N150" i="110"/>
  <c r="N162" i="110"/>
  <c r="N178" i="110"/>
  <c r="N194" i="110"/>
  <c r="N216" i="110"/>
  <c r="N237" i="110"/>
  <c r="N258" i="110"/>
  <c r="N280" i="110"/>
  <c r="N301" i="110"/>
  <c r="N322" i="110"/>
  <c r="N344" i="110"/>
  <c r="N365" i="110"/>
  <c r="N386" i="110"/>
  <c r="N408" i="110"/>
  <c r="N429" i="110"/>
  <c r="N450" i="110"/>
  <c r="N472" i="110"/>
  <c r="N493" i="110"/>
  <c r="N514" i="110"/>
  <c r="N536" i="110"/>
  <c r="N557" i="110"/>
  <c r="N578" i="110"/>
  <c r="N600" i="110"/>
  <c r="N621" i="110"/>
  <c r="N642" i="110"/>
  <c r="N664" i="110"/>
  <c r="N685" i="110"/>
  <c r="N706" i="110"/>
  <c r="N728" i="110"/>
  <c r="N749" i="110"/>
  <c r="N770" i="110"/>
  <c r="N792" i="110"/>
  <c r="N20" i="110"/>
  <c r="N28" i="110"/>
  <c r="N36" i="110"/>
  <c r="N44" i="110"/>
  <c r="N52" i="110"/>
  <c r="N60" i="110"/>
  <c r="N68" i="110"/>
  <c r="N76" i="110"/>
  <c r="N84" i="110"/>
  <c r="N92" i="110"/>
  <c r="N100" i="110"/>
  <c r="N108" i="110"/>
  <c r="N116" i="110"/>
  <c r="N124" i="110"/>
  <c r="N132" i="110"/>
  <c r="N142" i="110"/>
  <c r="N152" i="110"/>
  <c r="N167" i="110"/>
  <c r="N183" i="110"/>
  <c r="N200" i="110"/>
  <c r="N221" i="110"/>
  <c r="N242" i="110"/>
  <c r="N264" i="110"/>
  <c r="N285" i="110"/>
  <c r="N306" i="110"/>
  <c r="N328" i="110"/>
  <c r="N349" i="110"/>
  <c r="N370" i="110"/>
  <c r="N392" i="110"/>
  <c r="N413" i="110"/>
  <c r="N434" i="110"/>
  <c r="N456" i="110"/>
  <c r="N477" i="110"/>
  <c r="N498" i="110"/>
  <c r="N520" i="110"/>
  <c r="N541" i="110"/>
  <c r="N562" i="110"/>
  <c r="N584" i="110"/>
  <c r="N605" i="110"/>
  <c r="N626" i="110"/>
  <c r="N648" i="110"/>
  <c r="N669" i="110"/>
  <c r="N690" i="110"/>
  <c r="N712" i="110"/>
  <c r="N733" i="110"/>
  <c r="N754" i="110"/>
  <c r="N776" i="110"/>
  <c r="N797" i="110"/>
  <c r="N13" i="110"/>
  <c r="N21" i="110"/>
  <c r="N29" i="110"/>
  <c r="N37" i="110"/>
  <c r="N45" i="110"/>
  <c r="N53" i="110"/>
  <c r="N61" i="110"/>
  <c r="N69" i="110"/>
  <c r="N77" i="110"/>
  <c r="N85" i="110"/>
  <c r="N93" i="110"/>
  <c r="N101" i="110"/>
  <c r="N109" i="110"/>
  <c r="N117" i="110"/>
  <c r="N125" i="110"/>
  <c r="N133" i="110"/>
  <c r="N143" i="110"/>
  <c r="N154" i="110"/>
  <c r="N168" i="110"/>
  <c r="N184" i="110"/>
  <c r="N202" i="110"/>
  <c r="N224" i="110"/>
  <c r="N245" i="110"/>
  <c r="N266" i="110"/>
  <c r="N288" i="110"/>
  <c r="N309" i="110"/>
  <c r="N330" i="110"/>
  <c r="N352" i="110"/>
  <c r="N373" i="110"/>
  <c r="N394" i="110"/>
  <c r="N416" i="110"/>
  <c r="N437" i="110"/>
  <c r="N458" i="110"/>
  <c r="N480" i="110"/>
  <c r="N501" i="110"/>
  <c r="N522" i="110"/>
  <c r="N544" i="110"/>
  <c r="N565" i="110"/>
  <c r="N586" i="110"/>
  <c r="N608" i="110"/>
  <c r="N629" i="110"/>
  <c r="N650" i="110"/>
  <c r="N672" i="110"/>
  <c r="N693" i="110"/>
  <c r="N714" i="110"/>
  <c r="N736" i="110"/>
  <c r="N757" i="110"/>
  <c r="N778" i="110"/>
  <c r="N811" i="110"/>
  <c r="N803" i="110"/>
  <c r="N795" i="110"/>
  <c r="N787" i="110"/>
  <c r="N779" i="110"/>
  <c r="N771" i="110"/>
  <c r="N763" i="110"/>
  <c r="N755" i="110"/>
  <c r="N747" i="110"/>
  <c r="N739" i="110"/>
  <c r="N731" i="110"/>
  <c r="N723" i="110"/>
  <c r="N715" i="110"/>
  <c r="N707" i="110"/>
  <c r="N699" i="110"/>
  <c r="N691" i="110"/>
  <c r="N683" i="110"/>
  <c r="N675" i="110"/>
  <c r="N667" i="110"/>
  <c r="N659" i="110"/>
  <c r="N651" i="110"/>
  <c r="N643" i="110"/>
  <c r="N635" i="110"/>
  <c r="N627" i="110"/>
  <c r="N619" i="110"/>
  <c r="N611" i="110"/>
  <c r="N603" i="110"/>
  <c r="N595" i="110"/>
  <c r="N587" i="110"/>
  <c r="N579" i="110"/>
  <c r="N571" i="110"/>
  <c r="N563" i="110"/>
  <c r="N555" i="110"/>
  <c r="N547" i="110"/>
  <c r="N539" i="110"/>
  <c r="N531" i="110"/>
  <c r="N523" i="110"/>
  <c r="N515" i="110"/>
  <c r="N507" i="110"/>
  <c r="N499" i="110"/>
  <c r="N491" i="110"/>
  <c r="N483" i="110"/>
  <c r="N475" i="110"/>
  <c r="N467" i="110"/>
  <c r="N459" i="110"/>
  <c r="N451" i="110"/>
  <c r="N443" i="110"/>
  <c r="N435" i="110"/>
  <c r="N427" i="110"/>
  <c r="N419" i="110"/>
  <c r="N411" i="110"/>
  <c r="N403" i="110"/>
  <c r="N395" i="110"/>
  <c r="N387" i="110"/>
  <c r="N379" i="110"/>
  <c r="N371" i="110"/>
  <c r="N363" i="110"/>
  <c r="N355" i="110"/>
  <c r="N347" i="110"/>
  <c r="N339" i="110"/>
  <c r="N331" i="110"/>
  <c r="N323" i="110"/>
  <c r="N315" i="110"/>
  <c r="N307" i="110"/>
  <c r="N299" i="110"/>
  <c r="N291" i="110"/>
  <c r="N283" i="110"/>
  <c r="N275" i="110"/>
  <c r="N267" i="110"/>
  <c r="N259" i="110"/>
  <c r="N251" i="110"/>
  <c r="N243" i="110"/>
  <c r="N235" i="110"/>
  <c r="N227" i="110"/>
  <c r="N219" i="110"/>
  <c r="N211" i="110"/>
  <c r="N203" i="110"/>
  <c r="N195" i="110"/>
  <c r="N187" i="110"/>
  <c r="N179" i="110"/>
  <c r="N171" i="110"/>
  <c r="N163" i="110"/>
  <c r="N155" i="110"/>
  <c r="N147" i="110"/>
  <c r="N139" i="110"/>
  <c r="N810" i="110"/>
  <c r="N809" i="110"/>
  <c r="N801" i="110"/>
  <c r="N793" i="110"/>
  <c r="N785" i="110"/>
  <c r="N777" i="110"/>
  <c r="N769" i="110"/>
  <c r="N761" i="110"/>
  <c r="N753" i="110"/>
  <c r="N745" i="110"/>
  <c r="N737" i="110"/>
  <c r="N729" i="110"/>
  <c r="N721" i="110"/>
  <c r="N713" i="110"/>
  <c r="N705" i="110"/>
  <c r="N697" i="110"/>
  <c r="N689" i="110"/>
  <c r="N681" i="110"/>
  <c r="N673" i="110"/>
  <c r="N665" i="110"/>
  <c r="N657" i="110"/>
  <c r="N649" i="110"/>
  <c r="N641" i="110"/>
  <c r="N633" i="110"/>
  <c r="N625" i="110"/>
  <c r="N617" i="110"/>
  <c r="N609" i="110"/>
  <c r="N601" i="110"/>
  <c r="N593" i="110"/>
  <c r="N585" i="110"/>
  <c r="N577" i="110"/>
  <c r="N569" i="110"/>
  <c r="N561" i="110"/>
  <c r="N553" i="110"/>
  <c r="N545" i="110"/>
  <c r="N537" i="110"/>
  <c r="N529" i="110"/>
  <c r="N521" i="110"/>
  <c r="N513" i="110"/>
  <c r="N505" i="110"/>
  <c r="N497" i="110"/>
  <c r="N489" i="110"/>
  <c r="N481" i="110"/>
  <c r="N473" i="110"/>
  <c r="N465" i="110"/>
  <c r="N457" i="110"/>
  <c r="N449" i="110"/>
  <c r="N441" i="110"/>
  <c r="N433" i="110"/>
  <c r="N425" i="110"/>
  <c r="N417" i="110"/>
  <c r="N409" i="110"/>
  <c r="N401" i="110"/>
  <c r="N393" i="110"/>
  <c r="N385" i="110"/>
  <c r="N377" i="110"/>
  <c r="N369" i="110"/>
  <c r="N361" i="110"/>
  <c r="N353" i="110"/>
  <c r="N345" i="110"/>
  <c r="N337" i="110"/>
  <c r="N329" i="110"/>
  <c r="N321" i="110"/>
  <c r="N313" i="110"/>
  <c r="N305" i="110"/>
  <c r="N297" i="110"/>
  <c r="N289" i="110"/>
  <c r="N281" i="110"/>
  <c r="N273" i="110"/>
  <c r="N265" i="110"/>
  <c r="N257" i="110"/>
  <c r="N249" i="110"/>
  <c r="N241" i="110"/>
  <c r="N233" i="110"/>
  <c r="N225" i="110"/>
  <c r="N217" i="110"/>
  <c r="N209" i="110"/>
  <c r="N201" i="110"/>
  <c r="N193" i="110"/>
  <c r="N185" i="110"/>
  <c r="N177" i="110"/>
  <c r="N169" i="110"/>
  <c r="N161" i="110"/>
  <c r="N153" i="110"/>
  <c r="N145" i="110"/>
  <c r="N137" i="110"/>
  <c r="N807" i="110"/>
  <c r="N799" i="110"/>
  <c r="N791" i="110"/>
  <c r="N783" i="110"/>
  <c r="N775" i="110"/>
  <c r="N767" i="110"/>
  <c r="N759" i="110"/>
  <c r="N751" i="110"/>
  <c r="N743" i="110"/>
  <c r="N735" i="110"/>
  <c r="N727" i="110"/>
  <c r="N719" i="110"/>
  <c r="N711" i="110"/>
  <c r="N703" i="110"/>
  <c r="N695" i="110"/>
  <c r="N687" i="110"/>
  <c r="N679" i="110"/>
  <c r="N671" i="110"/>
  <c r="N663" i="110"/>
  <c r="N655" i="110"/>
  <c r="N647" i="110"/>
  <c r="N639" i="110"/>
  <c r="N631" i="110"/>
  <c r="N623" i="110"/>
  <c r="N615" i="110"/>
  <c r="N607" i="110"/>
  <c r="N599" i="110"/>
  <c r="N591" i="110"/>
  <c r="N583" i="110"/>
  <c r="N575" i="110"/>
  <c r="N567" i="110"/>
  <c r="N559" i="110"/>
  <c r="N551" i="110"/>
  <c r="N543" i="110"/>
  <c r="N535" i="110"/>
  <c r="N527" i="110"/>
  <c r="N519" i="110"/>
  <c r="N511" i="110"/>
  <c r="N503" i="110"/>
  <c r="N495" i="110"/>
  <c r="N487" i="110"/>
  <c r="N479" i="110"/>
  <c r="N471" i="110"/>
  <c r="N463" i="110"/>
  <c r="N455" i="110"/>
  <c r="N447" i="110"/>
  <c r="N439" i="110"/>
  <c r="N431" i="110"/>
  <c r="N423" i="110"/>
  <c r="N415" i="110"/>
  <c r="N407" i="110"/>
  <c r="N399" i="110"/>
  <c r="N391" i="110"/>
  <c r="N383" i="110"/>
  <c r="N375" i="110"/>
  <c r="N367" i="110"/>
  <c r="N359" i="110"/>
  <c r="N351" i="110"/>
  <c r="N343" i="110"/>
  <c r="N335" i="110"/>
  <c r="N327" i="110"/>
  <c r="N319" i="110"/>
  <c r="N311" i="110"/>
  <c r="N303" i="110"/>
  <c r="N295" i="110"/>
  <c r="N287" i="110"/>
  <c r="N279" i="110"/>
  <c r="N271" i="110"/>
  <c r="N263" i="110"/>
  <c r="N255" i="110"/>
  <c r="N247" i="110"/>
  <c r="N239" i="110"/>
  <c r="N231" i="110"/>
  <c r="N223" i="110"/>
  <c r="N215" i="110"/>
  <c r="N207" i="110"/>
  <c r="N199" i="110"/>
  <c r="N806" i="110"/>
  <c r="N798" i="110"/>
  <c r="N790" i="110"/>
  <c r="N782" i="110"/>
  <c r="N774" i="110"/>
  <c r="N766" i="110"/>
  <c r="N758" i="110"/>
  <c r="N750" i="110"/>
  <c r="N742" i="110"/>
  <c r="N734" i="110"/>
  <c r="N726" i="110"/>
  <c r="N718" i="110"/>
  <c r="N710" i="110"/>
  <c r="N702" i="110"/>
  <c r="N694" i="110"/>
  <c r="N686" i="110"/>
  <c r="N678" i="110"/>
  <c r="N670" i="110"/>
  <c r="N662" i="110"/>
  <c r="N654" i="110"/>
  <c r="N646" i="110"/>
  <c r="N638" i="110"/>
  <c r="N630" i="110"/>
  <c r="N622" i="110"/>
  <c r="N614" i="110"/>
  <c r="N606" i="110"/>
  <c r="N598" i="110"/>
  <c r="N590" i="110"/>
  <c r="N582" i="110"/>
  <c r="N574" i="110"/>
  <c r="N566" i="110"/>
  <c r="N558" i="110"/>
  <c r="N550" i="110"/>
  <c r="N542" i="110"/>
  <c r="N534" i="110"/>
  <c r="N526" i="110"/>
  <c r="N518" i="110"/>
  <c r="N510" i="110"/>
  <c r="N502" i="110"/>
  <c r="N494" i="110"/>
  <c r="N486" i="110"/>
  <c r="N478" i="110"/>
  <c r="N470" i="110"/>
  <c r="N462" i="110"/>
  <c r="N454" i="110"/>
  <c r="N446" i="110"/>
  <c r="N438" i="110"/>
  <c r="N430" i="110"/>
  <c r="N422" i="110"/>
  <c r="N414" i="110"/>
  <c r="N406" i="110"/>
  <c r="N398" i="110"/>
  <c r="N390" i="110"/>
  <c r="N382" i="110"/>
  <c r="N374" i="110"/>
  <c r="N366" i="110"/>
  <c r="N358" i="110"/>
  <c r="N350" i="110"/>
  <c r="N342" i="110"/>
  <c r="N334" i="110"/>
  <c r="N326" i="110"/>
  <c r="N318" i="110"/>
  <c r="N310" i="110"/>
  <c r="N302" i="110"/>
  <c r="N294" i="110"/>
  <c r="N286" i="110"/>
  <c r="N278" i="110"/>
  <c r="N270" i="110"/>
  <c r="N262" i="110"/>
  <c r="N254" i="110"/>
  <c r="N246" i="110"/>
  <c r="N238" i="110"/>
  <c r="N230" i="110"/>
  <c r="N222" i="110"/>
  <c r="N214" i="110"/>
  <c r="N206" i="110"/>
  <c r="N198" i="110"/>
  <c r="N190" i="110"/>
  <c r="N182" i="110"/>
  <c r="N174" i="110"/>
  <c r="N166" i="110"/>
  <c r="N158" i="110"/>
  <c r="N804" i="110"/>
  <c r="N796" i="110"/>
  <c r="N788" i="110"/>
  <c r="N780" i="110"/>
  <c r="N772" i="110"/>
  <c r="N764" i="110"/>
  <c r="N756" i="110"/>
  <c r="N748" i="110"/>
  <c r="N740" i="110"/>
  <c r="N732" i="110"/>
  <c r="N724" i="110"/>
  <c r="N716" i="110"/>
  <c r="N708" i="110"/>
  <c r="N700" i="110"/>
  <c r="N692" i="110"/>
  <c r="N684" i="110"/>
  <c r="N676" i="110"/>
  <c r="N668" i="110"/>
  <c r="N660" i="110"/>
  <c r="N652" i="110"/>
  <c r="N644" i="110"/>
  <c r="N636" i="110"/>
  <c r="N628" i="110"/>
  <c r="N620" i="110"/>
  <c r="N612" i="110"/>
  <c r="N604" i="110"/>
  <c r="N596" i="110"/>
  <c r="N588" i="110"/>
  <c r="N580" i="110"/>
  <c r="N572" i="110"/>
  <c r="N564" i="110"/>
  <c r="N556" i="110"/>
  <c r="N548" i="110"/>
  <c r="N540" i="110"/>
  <c r="N532" i="110"/>
  <c r="N524" i="110"/>
  <c r="N516" i="110"/>
  <c r="N508" i="110"/>
  <c r="N500" i="110"/>
  <c r="N492" i="110"/>
  <c r="N484" i="110"/>
  <c r="N476" i="110"/>
  <c r="N468" i="110"/>
  <c r="N460" i="110"/>
  <c r="N452" i="110"/>
  <c r="N444" i="110"/>
  <c r="N436" i="110"/>
  <c r="N428" i="110"/>
  <c r="N420" i="110"/>
  <c r="N412" i="110"/>
  <c r="N404" i="110"/>
  <c r="N396" i="110"/>
  <c r="N388" i="110"/>
  <c r="N380" i="110"/>
  <c r="N372" i="110"/>
  <c r="N364" i="110"/>
  <c r="N356" i="110"/>
  <c r="N348" i="110"/>
  <c r="N340" i="110"/>
  <c r="N332" i="110"/>
  <c r="N324" i="110"/>
  <c r="N316" i="110"/>
  <c r="N308" i="110"/>
  <c r="N300" i="110"/>
  <c r="N292" i="110"/>
  <c r="N284" i="110"/>
  <c r="N276" i="110"/>
  <c r="N268" i="110"/>
  <c r="N260" i="110"/>
  <c r="N252" i="110"/>
  <c r="N244" i="110"/>
  <c r="N236" i="110"/>
  <c r="N228" i="110"/>
  <c r="N220" i="110"/>
  <c r="N212" i="110"/>
  <c r="N204" i="110"/>
  <c r="N196" i="110"/>
  <c r="N188" i="110"/>
  <c r="N180" i="110"/>
  <c r="N172" i="110"/>
  <c r="N164" i="110"/>
  <c r="N14" i="110"/>
  <c r="N22" i="110"/>
  <c r="N30" i="110"/>
  <c r="N38" i="110"/>
  <c r="N46" i="110"/>
  <c r="N54" i="110"/>
  <c r="N62" i="110"/>
  <c r="N70" i="110"/>
  <c r="N78" i="110"/>
  <c r="N86" i="110"/>
  <c r="N94" i="110"/>
  <c r="N102" i="110"/>
  <c r="N110" i="110"/>
  <c r="N118" i="110"/>
  <c r="N126" i="110"/>
  <c r="N134" i="110"/>
  <c r="N144" i="110"/>
  <c r="N156" i="110"/>
  <c r="N170" i="110"/>
  <c r="N186" i="110"/>
  <c r="N205" i="110"/>
  <c r="N226" i="110"/>
  <c r="N248" i="110"/>
  <c r="N269" i="110"/>
  <c r="N290" i="110"/>
  <c r="N312" i="110"/>
  <c r="N333" i="110"/>
  <c r="N354" i="110"/>
  <c r="N376" i="110"/>
  <c r="N397" i="110"/>
  <c r="N418" i="110"/>
  <c r="N440" i="110"/>
  <c r="N461" i="110"/>
  <c r="N482" i="110"/>
  <c r="N504" i="110"/>
  <c r="N525" i="110"/>
  <c r="N546" i="110"/>
  <c r="N568" i="110"/>
  <c r="N589" i="110"/>
  <c r="N610" i="110"/>
  <c r="N632" i="110"/>
  <c r="N653" i="110"/>
  <c r="N674" i="110"/>
  <c r="N696" i="110"/>
  <c r="N717" i="110"/>
  <c r="N738" i="110"/>
  <c r="N760" i="110"/>
  <c r="N781" i="110"/>
  <c r="N802" i="110"/>
  <c r="N15" i="110"/>
  <c r="N23" i="110"/>
  <c r="N31" i="110"/>
  <c r="N39" i="110"/>
  <c r="N47" i="110"/>
  <c r="N55" i="110"/>
  <c r="N63" i="110"/>
  <c r="N71" i="110"/>
  <c r="N79" i="110"/>
  <c r="N87" i="110"/>
  <c r="N95" i="110"/>
  <c r="N103" i="110"/>
  <c r="N111" i="110"/>
  <c r="N119" i="110"/>
  <c r="N127" i="110"/>
  <c r="N135" i="110"/>
  <c r="N146" i="110"/>
  <c r="N157" i="110"/>
  <c r="N173" i="110"/>
  <c r="N189" i="110"/>
  <c r="N208" i="110"/>
  <c r="N229" i="110"/>
  <c r="N250" i="110"/>
  <c r="N272" i="110"/>
  <c r="N293" i="110"/>
  <c r="N314" i="110"/>
  <c r="N336" i="110"/>
  <c r="N357" i="110"/>
  <c r="N378" i="110"/>
  <c r="N400" i="110"/>
  <c r="N421" i="110"/>
  <c r="N442" i="110"/>
  <c r="N464" i="110"/>
  <c r="N485" i="110"/>
  <c r="N506" i="110"/>
  <c r="N528" i="110"/>
  <c r="N549" i="110"/>
  <c r="N570" i="110"/>
  <c r="N592" i="110"/>
  <c r="N613" i="110"/>
  <c r="N634" i="110"/>
  <c r="N656" i="110"/>
  <c r="N677" i="110"/>
  <c r="N698" i="110"/>
  <c r="N720" i="110"/>
  <c r="N741" i="110"/>
  <c r="N762" i="110"/>
  <c r="N784" i="110"/>
  <c r="N805" i="110"/>
  <c r="N16" i="110"/>
  <c r="N24" i="110"/>
  <c r="N32" i="110"/>
  <c r="N40" i="110"/>
  <c r="N48" i="110"/>
  <c r="N56" i="110"/>
  <c r="N64" i="110"/>
  <c r="N72" i="110"/>
  <c r="N80" i="110"/>
  <c r="N88" i="110"/>
  <c r="N96" i="110"/>
  <c r="N104" i="110"/>
  <c r="N112" i="110"/>
  <c r="N120" i="110"/>
  <c r="N128" i="110"/>
  <c r="N136" i="110"/>
  <c r="N148" i="110"/>
  <c r="N159" i="110"/>
  <c r="N175" i="110"/>
  <c r="N191" i="110"/>
  <c r="N210" i="110"/>
  <c r="N232" i="110"/>
  <c r="N253" i="110"/>
  <c r="N274" i="110"/>
  <c r="N296" i="110"/>
  <c r="N317" i="110"/>
  <c r="N338" i="110"/>
  <c r="N360" i="110"/>
  <c r="N381" i="110"/>
  <c r="N402" i="110"/>
  <c r="N424" i="110"/>
  <c r="N445" i="110"/>
  <c r="N466" i="110"/>
  <c r="N488" i="110"/>
  <c r="N509" i="110"/>
  <c r="N530" i="110"/>
  <c r="N552" i="110"/>
  <c r="N573" i="110"/>
  <c r="N594" i="110"/>
  <c r="N616" i="110"/>
  <c r="N637" i="110"/>
  <c r="N658" i="110"/>
  <c r="N680" i="110"/>
  <c r="N701" i="110"/>
  <c r="N722" i="110"/>
  <c r="N744" i="110"/>
  <c r="N765" i="110"/>
  <c r="N786" i="110"/>
  <c r="N808" i="110"/>
  <c r="N220" i="109"/>
  <c r="N126" i="109"/>
  <c r="N78" i="109"/>
  <c r="N22" i="109"/>
  <c r="N86" i="109"/>
  <c r="N156" i="109"/>
  <c r="N241" i="109"/>
  <c r="N62" i="109"/>
  <c r="N135" i="109"/>
  <c r="N145" i="109"/>
  <c r="N30" i="109"/>
  <c r="N94" i="109"/>
  <c r="N167" i="109"/>
  <c r="N811" i="109"/>
  <c r="N803" i="109"/>
  <c r="N795" i="109"/>
  <c r="N787" i="109"/>
  <c r="N779" i="109"/>
  <c r="N771" i="109"/>
  <c r="N763" i="109"/>
  <c r="N755" i="109"/>
  <c r="N747" i="109"/>
  <c r="N739" i="109"/>
  <c r="N731" i="109"/>
  <c r="N723" i="109"/>
  <c r="N715" i="109"/>
  <c r="N707" i="109"/>
  <c r="N699" i="109"/>
  <c r="N691" i="109"/>
  <c r="N683" i="109"/>
  <c r="N675" i="109"/>
  <c r="N667" i="109"/>
  <c r="N659" i="109"/>
  <c r="N651" i="109"/>
  <c r="N643" i="109"/>
  <c r="N635" i="109"/>
  <c r="N627" i="109"/>
  <c r="N619" i="109"/>
  <c r="N611" i="109"/>
  <c r="N603" i="109"/>
  <c r="N595" i="109"/>
  <c r="N587" i="109"/>
  <c r="N579" i="109"/>
  <c r="N571" i="109"/>
  <c r="N563" i="109"/>
  <c r="N555" i="109"/>
  <c r="N547" i="109"/>
  <c r="N539" i="109"/>
  <c r="N531" i="109"/>
  <c r="N523" i="109"/>
  <c r="N515" i="109"/>
  <c r="N507" i="109"/>
  <c r="N499" i="109"/>
  <c r="N491" i="109"/>
  <c r="N483" i="109"/>
  <c r="N475" i="109"/>
  <c r="N467" i="109"/>
  <c r="N459" i="109"/>
  <c r="N451" i="109"/>
  <c r="N443" i="109"/>
  <c r="N435" i="109"/>
  <c r="N427" i="109"/>
  <c r="N419" i="109"/>
  <c r="N411" i="109"/>
  <c r="N403" i="109"/>
  <c r="N395" i="109"/>
  <c r="N387" i="109"/>
  <c r="N379" i="109"/>
  <c r="N371" i="109"/>
  <c r="N363" i="109"/>
  <c r="N355" i="109"/>
  <c r="N347" i="109"/>
  <c r="N339" i="109"/>
  <c r="N331" i="109"/>
  <c r="N323" i="109"/>
  <c r="N315" i="109"/>
  <c r="N307" i="109"/>
  <c r="N299" i="109"/>
  <c r="N291" i="109"/>
  <c r="N283" i="109"/>
  <c r="N275" i="109"/>
  <c r="N267" i="109"/>
  <c r="N259" i="109"/>
  <c r="N251" i="109"/>
  <c r="N243" i="109"/>
  <c r="N235" i="109"/>
  <c r="N227" i="109"/>
  <c r="N219" i="109"/>
  <c r="N211" i="109"/>
  <c r="N203" i="109"/>
  <c r="N195" i="109"/>
  <c r="N187" i="109"/>
  <c r="N179" i="109"/>
  <c r="N171" i="109"/>
  <c r="N163" i="109"/>
  <c r="N155" i="109"/>
  <c r="N147" i="109"/>
  <c r="N139" i="109"/>
  <c r="N807" i="109"/>
  <c r="N806" i="109"/>
  <c r="N798" i="109"/>
  <c r="N790" i="109"/>
  <c r="N782" i="109"/>
  <c r="N774" i="109"/>
  <c r="N766" i="109"/>
  <c r="N758" i="109"/>
  <c r="N750" i="109"/>
  <c r="N742" i="109"/>
  <c r="N734" i="109"/>
  <c r="N726" i="109"/>
  <c r="N718" i="109"/>
  <c r="N710" i="109"/>
  <c r="N702" i="109"/>
  <c r="N694" i="109"/>
  <c r="N686" i="109"/>
  <c r="N678" i="109"/>
  <c r="N670" i="109"/>
  <c r="N662" i="109"/>
  <c r="N654" i="109"/>
  <c r="N646" i="109"/>
  <c r="N638" i="109"/>
  <c r="N630" i="109"/>
  <c r="N622" i="109"/>
  <c r="N614" i="109"/>
  <c r="N606" i="109"/>
  <c r="N598" i="109"/>
  <c r="N590" i="109"/>
  <c r="N582" i="109"/>
  <c r="N574" i="109"/>
  <c r="N566" i="109"/>
  <c r="N558" i="109"/>
  <c r="N550" i="109"/>
  <c r="N542" i="109"/>
  <c r="N534" i="109"/>
  <c r="N526" i="109"/>
  <c r="N518" i="109"/>
  <c r="N510" i="109"/>
  <c r="N502" i="109"/>
  <c r="N494" i="109"/>
  <c r="N486" i="109"/>
  <c r="N478" i="109"/>
  <c r="N470" i="109"/>
  <c r="N805" i="109"/>
  <c r="N797" i="109"/>
  <c r="N789" i="109"/>
  <c r="N781" i="109"/>
  <c r="N773" i="109"/>
  <c r="N765" i="109"/>
  <c r="N757" i="109"/>
  <c r="N749" i="109"/>
  <c r="N741" i="109"/>
  <c r="N733" i="109"/>
  <c r="N725" i="109"/>
  <c r="N717" i="109"/>
  <c r="N709" i="109"/>
  <c r="N701" i="109"/>
  <c r="N693" i="109"/>
  <c r="N685" i="109"/>
  <c r="N677" i="109"/>
  <c r="N669" i="109"/>
  <c r="N661" i="109"/>
  <c r="N653" i="109"/>
  <c r="N645" i="109"/>
  <c r="N637" i="109"/>
  <c r="N629" i="109"/>
  <c r="N621" i="109"/>
  <c r="N613" i="109"/>
  <c r="N605" i="109"/>
  <c r="N597" i="109"/>
  <c r="N589" i="109"/>
  <c r="N581" i="109"/>
  <c r="N573" i="109"/>
  <c r="N565" i="109"/>
  <c r="N557" i="109"/>
  <c r="N549" i="109"/>
  <c r="N541" i="109"/>
  <c r="N533" i="109"/>
  <c r="N525" i="109"/>
  <c r="N517" i="109"/>
  <c r="N509" i="109"/>
  <c r="N501" i="109"/>
  <c r="N493" i="109"/>
  <c r="N485" i="109"/>
  <c r="N477" i="109"/>
  <c r="N469" i="109"/>
  <c r="N461" i="109"/>
  <c r="N453" i="109"/>
  <c r="N445" i="109"/>
  <c r="N437" i="109"/>
  <c r="N429" i="109"/>
  <c r="N421" i="109"/>
  <c r="N413" i="109"/>
  <c r="N405" i="109"/>
  <c r="N397" i="109"/>
  <c r="N389" i="109"/>
  <c r="N381" i="109"/>
  <c r="N373" i="109"/>
  <c r="N365" i="109"/>
  <c r="N357" i="109"/>
  <c r="N349" i="109"/>
  <c r="N341" i="109"/>
  <c r="N333" i="109"/>
  <c r="N325" i="109"/>
  <c r="N317" i="109"/>
  <c r="N309" i="109"/>
  <c r="N301" i="109"/>
  <c r="N293" i="109"/>
  <c r="N285" i="109"/>
  <c r="N277" i="109"/>
  <c r="N269" i="109"/>
  <c r="N261" i="109"/>
  <c r="N253" i="109"/>
  <c r="N245" i="109"/>
  <c r="N237" i="109"/>
  <c r="N229" i="109"/>
  <c r="N221" i="109"/>
  <c r="N213" i="109"/>
  <c r="N205" i="109"/>
  <c r="N197" i="109"/>
  <c r="N189" i="109"/>
  <c r="N181" i="109"/>
  <c r="N173" i="109"/>
  <c r="N165" i="109"/>
  <c r="N157" i="109"/>
  <c r="N149" i="109"/>
  <c r="N141" i="109"/>
  <c r="N133" i="109"/>
  <c r="N810" i="109"/>
  <c r="N796" i="109"/>
  <c r="N784" i="109"/>
  <c r="N770" i="109"/>
  <c r="N759" i="109"/>
  <c r="N745" i="109"/>
  <c r="N732" i="109"/>
  <c r="N720" i="109"/>
  <c r="N706" i="109"/>
  <c r="N695" i="109"/>
  <c r="N681" i="109"/>
  <c r="N668" i="109"/>
  <c r="N656" i="109"/>
  <c r="N642" i="109"/>
  <c r="N631" i="109"/>
  <c r="N617" i="109"/>
  <c r="N604" i="109"/>
  <c r="N592" i="109"/>
  <c r="N578" i="109"/>
  <c r="N567" i="109"/>
  <c r="N553" i="109"/>
  <c r="N540" i="109"/>
  <c r="N528" i="109"/>
  <c r="N514" i="109"/>
  <c r="N503" i="109"/>
  <c r="N489" i="109"/>
  <c r="N476" i="109"/>
  <c r="N464" i="109"/>
  <c r="N454" i="109"/>
  <c r="N442" i="109"/>
  <c r="N432" i="109"/>
  <c r="N422" i="109"/>
  <c r="N410" i="109"/>
  <c r="N400" i="109"/>
  <c r="N390" i="109"/>
  <c r="N378" i="109"/>
  <c r="N368" i="109"/>
  <c r="N358" i="109"/>
  <c r="N346" i="109"/>
  <c r="N336" i="109"/>
  <c r="N326" i="109"/>
  <c r="N314" i="109"/>
  <c r="N304" i="109"/>
  <c r="N294" i="109"/>
  <c r="N282" i="109"/>
  <c r="N272" i="109"/>
  <c r="N262" i="109"/>
  <c r="N250" i="109"/>
  <c r="N240" i="109"/>
  <c r="N230" i="109"/>
  <c r="N218" i="109"/>
  <c r="N208" i="109"/>
  <c r="N198" i="109"/>
  <c r="N186" i="109"/>
  <c r="N176" i="109"/>
  <c r="N166" i="109"/>
  <c r="N154" i="109"/>
  <c r="N144" i="109"/>
  <c r="N134" i="109"/>
  <c r="N125" i="109"/>
  <c r="N117" i="109"/>
  <c r="N109" i="109"/>
  <c r="N101" i="109"/>
  <c r="N93" i="109"/>
  <c r="N85" i="109"/>
  <c r="N77" i="109"/>
  <c r="N69" i="109"/>
  <c r="N61" i="109"/>
  <c r="N53" i="109"/>
  <c r="N45" i="109"/>
  <c r="N37" i="109"/>
  <c r="N29" i="109"/>
  <c r="N21" i="109"/>
  <c r="N13" i="109"/>
  <c r="N32" i="109"/>
  <c r="N95" i="109"/>
  <c r="N39" i="109"/>
  <c r="N23" i="109"/>
  <c r="N799" i="109"/>
  <c r="N568" i="109"/>
  <c r="N433" i="109"/>
  <c r="N809" i="109"/>
  <c r="N794" i="109"/>
  <c r="N783" i="109"/>
  <c r="N769" i="109"/>
  <c r="N756" i="109"/>
  <c r="N744" i="109"/>
  <c r="N730" i="109"/>
  <c r="N719" i="109"/>
  <c r="N705" i="109"/>
  <c r="N692" i="109"/>
  <c r="N680" i="109"/>
  <c r="N666" i="109"/>
  <c r="N655" i="109"/>
  <c r="N641" i="109"/>
  <c r="N628" i="109"/>
  <c r="N616" i="109"/>
  <c r="N602" i="109"/>
  <c r="N591" i="109"/>
  <c r="N577" i="109"/>
  <c r="N564" i="109"/>
  <c r="N552" i="109"/>
  <c r="N538" i="109"/>
  <c r="N527" i="109"/>
  <c r="N513" i="109"/>
  <c r="N500" i="109"/>
  <c r="N488" i="109"/>
  <c r="N474" i="109"/>
  <c r="N463" i="109"/>
  <c r="N452" i="109"/>
  <c r="N441" i="109"/>
  <c r="N431" i="109"/>
  <c r="N420" i="109"/>
  <c r="N409" i="109"/>
  <c r="N399" i="109"/>
  <c r="N388" i="109"/>
  <c r="N377" i="109"/>
  <c r="N367" i="109"/>
  <c r="N356" i="109"/>
  <c r="N345" i="109"/>
  <c r="N335" i="109"/>
  <c r="N324" i="109"/>
  <c r="N313" i="109"/>
  <c r="N303" i="109"/>
  <c r="N292" i="109"/>
  <c r="N281" i="109"/>
  <c r="N271" i="109"/>
  <c r="N260" i="109"/>
  <c r="N249" i="109"/>
  <c r="N239" i="109"/>
  <c r="N228" i="109"/>
  <c r="N217" i="109"/>
  <c r="N207" i="109"/>
  <c r="N196" i="109"/>
  <c r="N185" i="109"/>
  <c r="N175" i="109"/>
  <c r="N164" i="109"/>
  <c r="N153" i="109"/>
  <c r="N143" i="109"/>
  <c r="N132" i="109"/>
  <c r="N124" i="109"/>
  <c r="N116" i="109"/>
  <c r="N108" i="109"/>
  <c r="N100" i="109"/>
  <c r="N92" i="109"/>
  <c r="N84" i="109"/>
  <c r="N76" i="109"/>
  <c r="N68" i="109"/>
  <c r="N60" i="109"/>
  <c r="N52" i="109"/>
  <c r="N44" i="109"/>
  <c r="N36" i="109"/>
  <c r="N28" i="109"/>
  <c r="N20" i="109"/>
  <c r="N760" i="109"/>
  <c r="N607" i="109"/>
  <c r="N444" i="109"/>
  <c r="N808" i="109"/>
  <c r="N793" i="109"/>
  <c r="N780" i="109"/>
  <c r="N768" i="109"/>
  <c r="N754" i="109"/>
  <c r="N743" i="109"/>
  <c r="N729" i="109"/>
  <c r="N716" i="109"/>
  <c r="N704" i="109"/>
  <c r="N690" i="109"/>
  <c r="N679" i="109"/>
  <c r="N665" i="109"/>
  <c r="N652" i="109"/>
  <c r="N640" i="109"/>
  <c r="N626" i="109"/>
  <c r="N615" i="109"/>
  <c r="N601" i="109"/>
  <c r="N588" i="109"/>
  <c r="N576" i="109"/>
  <c r="N562" i="109"/>
  <c r="N551" i="109"/>
  <c r="N537" i="109"/>
  <c r="N524" i="109"/>
  <c r="N512" i="109"/>
  <c r="N498" i="109"/>
  <c r="N487" i="109"/>
  <c r="N473" i="109"/>
  <c r="N462" i="109"/>
  <c r="N450" i="109"/>
  <c r="N440" i="109"/>
  <c r="N430" i="109"/>
  <c r="N418" i="109"/>
  <c r="N408" i="109"/>
  <c r="N398" i="109"/>
  <c r="N386" i="109"/>
  <c r="N376" i="109"/>
  <c r="N366" i="109"/>
  <c r="N354" i="109"/>
  <c r="N344" i="109"/>
  <c r="N334" i="109"/>
  <c r="N322" i="109"/>
  <c r="N312" i="109"/>
  <c r="N302" i="109"/>
  <c r="N290" i="109"/>
  <c r="N280" i="109"/>
  <c r="N270" i="109"/>
  <c r="N258" i="109"/>
  <c r="N248" i="109"/>
  <c r="N238" i="109"/>
  <c r="N226" i="109"/>
  <c r="N216" i="109"/>
  <c r="N206" i="109"/>
  <c r="N194" i="109"/>
  <c r="N184" i="109"/>
  <c r="N174" i="109"/>
  <c r="N162" i="109"/>
  <c r="N152" i="109"/>
  <c r="N142" i="109"/>
  <c r="N131" i="109"/>
  <c r="N123" i="109"/>
  <c r="N115" i="109"/>
  <c r="N107" i="109"/>
  <c r="N99" i="109"/>
  <c r="N91" i="109"/>
  <c r="N83" i="109"/>
  <c r="N75" i="109"/>
  <c r="N67" i="109"/>
  <c r="N59" i="109"/>
  <c r="N51" i="109"/>
  <c r="N43" i="109"/>
  <c r="N35" i="109"/>
  <c r="N27" i="109"/>
  <c r="N19" i="109"/>
  <c r="N12" i="109"/>
  <c r="N16" i="109"/>
  <c r="N87" i="109"/>
  <c r="N47" i="109"/>
  <c r="N15" i="109"/>
  <c r="N785" i="109"/>
  <c r="N580" i="109"/>
  <c r="N423" i="109"/>
  <c r="N804" i="109"/>
  <c r="N792" i="109"/>
  <c r="N778" i="109"/>
  <c r="N767" i="109"/>
  <c r="N753" i="109"/>
  <c r="N740" i="109"/>
  <c r="N728" i="109"/>
  <c r="N714" i="109"/>
  <c r="N703" i="109"/>
  <c r="N689" i="109"/>
  <c r="N676" i="109"/>
  <c r="N664" i="109"/>
  <c r="N650" i="109"/>
  <c r="N639" i="109"/>
  <c r="N625" i="109"/>
  <c r="N612" i="109"/>
  <c r="N600" i="109"/>
  <c r="N586" i="109"/>
  <c r="N575" i="109"/>
  <c r="N561" i="109"/>
  <c r="N548" i="109"/>
  <c r="N536" i="109"/>
  <c r="N522" i="109"/>
  <c r="N511" i="109"/>
  <c r="N497" i="109"/>
  <c r="N484" i="109"/>
  <c r="N472" i="109"/>
  <c r="N460" i="109"/>
  <c r="N449" i="109"/>
  <c r="N439" i="109"/>
  <c r="N428" i="109"/>
  <c r="N417" i="109"/>
  <c r="N407" i="109"/>
  <c r="N396" i="109"/>
  <c r="N385" i="109"/>
  <c r="N375" i="109"/>
  <c r="N364" i="109"/>
  <c r="N353" i="109"/>
  <c r="N343" i="109"/>
  <c r="N332" i="109"/>
  <c r="N321" i="109"/>
  <c r="N311" i="109"/>
  <c r="N300" i="109"/>
  <c r="N289" i="109"/>
  <c r="N279" i="109"/>
  <c r="N268" i="109"/>
  <c r="N257" i="109"/>
  <c r="N247" i="109"/>
  <c r="N236" i="109"/>
  <c r="N225" i="109"/>
  <c r="N215" i="109"/>
  <c r="N204" i="109"/>
  <c r="N193" i="109"/>
  <c r="N183" i="109"/>
  <c r="N172" i="109"/>
  <c r="N161" i="109"/>
  <c r="N151" i="109"/>
  <c r="N140" i="109"/>
  <c r="N130" i="109"/>
  <c r="N122" i="109"/>
  <c r="N114" i="109"/>
  <c r="N106" i="109"/>
  <c r="N98" i="109"/>
  <c r="N90" i="109"/>
  <c r="N82" i="109"/>
  <c r="N74" i="109"/>
  <c r="N66" i="109"/>
  <c r="N58" i="109"/>
  <c r="N50" i="109"/>
  <c r="N42" i="109"/>
  <c r="N34" i="109"/>
  <c r="N26" i="109"/>
  <c r="N18" i="109"/>
  <c r="N772" i="109"/>
  <c r="N593" i="109"/>
  <c r="N465" i="109"/>
  <c r="N359" i="109"/>
  <c r="N802" i="109"/>
  <c r="N791" i="109"/>
  <c r="N777" i="109"/>
  <c r="N764" i="109"/>
  <c r="N752" i="109"/>
  <c r="N738" i="109"/>
  <c r="N727" i="109"/>
  <c r="N713" i="109"/>
  <c r="N700" i="109"/>
  <c r="N688" i="109"/>
  <c r="N674" i="109"/>
  <c r="N663" i="109"/>
  <c r="N649" i="109"/>
  <c r="N636" i="109"/>
  <c r="N624" i="109"/>
  <c r="N610" i="109"/>
  <c r="N599" i="109"/>
  <c r="N585" i="109"/>
  <c r="N572" i="109"/>
  <c r="N560" i="109"/>
  <c r="N546" i="109"/>
  <c r="N535" i="109"/>
  <c r="N521" i="109"/>
  <c r="N508" i="109"/>
  <c r="N496" i="109"/>
  <c r="N482" i="109"/>
  <c r="N471" i="109"/>
  <c r="N458" i="109"/>
  <c r="N448" i="109"/>
  <c r="N438" i="109"/>
  <c r="N426" i="109"/>
  <c r="N416" i="109"/>
  <c r="N406" i="109"/>
  <c r="N394" i="109"/>
  <c r="N384" i="109"/>
  <c r="N374" i="109"/>
  <c r="N362" i="109"/>
  <c r="N352" i="109"/>
  <c r="N342" i="109"/>
  <c r="N330" i="109"/>
  <c r="N320" i="109"/>
  <c r="N310" i="109"/>
  <c r="N298" i="109"/>
  <c r="N288" i="109"/>
  <c r="N278" i="109"/>
  <c r="N266" i="109"/>
  <c r="N256" i="109"/>
  <c r="N246" i="109"/>
  <c r="N234" i="109"/>
  <c r="N224" i="109"/>
  <c r="N214" i="109"/>
  <c r="N202" i="109"/>
  <c r="N192" i="109"/>
  <c r="N182" i="109"/>
  <c r="N170" i="109"/>
  <c r="N160" i="109"/>
  <c r="N150" i="109"/>
  <c r="N138" i="109"/>
  <c r="N129" i="109"/>
  <c r="N121" i="109"/>
  <c r="N113" i="109"/>
  <c r="N105" i="109"/>
  <c r="N97" i="109"/>
  <c r="N89" i="109"/>
  <c r="N81" i="109"/>
  <c r="N73" i="109"/>
  <c r="N65" i="109"/>
  <c r="N57" i="109"/>
  <c r="N49" i="109"/>
  <c r="N41" i="109"/>
  <c r="N33" i="109"/>
  <c r="N25" i="109"/>
  <c r="N17" i="109"/>
  <c r="N11" i="109"/>
  <c r="N63" i="109"/>
  <c r="N721" i="109"/>
  <c r="N801" i="109"/>
  <c r="N788" i="109"/>
  <c r="N776" i="109"/>
  <c r="N762" i="109"/>
  <c r="N751" i="109"/>
  <c r="N737" i="109"/>
  <c r="N724" i="109"/>
  <c r="N712" i="109"/>
  <c r="N698" i="109"/>
  <c r="N687" i="109"/>
  <c r="N673" i="109"/>
  <c r="N660" i="109"/>
  <c r="N648" i="109"/>
  <c r="N634" i="109"/>
  <c r="N623" i="109"/>
  <c r="N609" i="109"/>
  <c r="N596" i="109"/>
  <c r="N584" i="109"/>
  <c r="N570" i="109"/>
  <c r="N559" i="109"/>
  <c r="N545" i="109"/>
  <c r="N532" i="109"/>
  <c r="N520" i="109"/>
  <c r="N506" i="109"/>
  <c r="N495" i="109"/>
  <c r="N481" i="109"/>
  <c r="N468" i="109"/>
  <c r="N457" i="109"/>
  <c r="N447" i="109"/>
  <c r="N436" i="109"/>
  <c r="N425" i="109"/>
  <c r="N415" i="109"/>
  <c r="N404" i="109"/>
  <c r="N393" i="109"/>
  <c r="N383" i="109"/>
  <c r="N372" i="109"/>
  <c r="N361" i="109"/>
  <c r="N351" i="109"/>
  <c r="N340" i="109"/>
  <c r="N329" i="109"/>
  <c r="N319" i="109"/>
  <c r="N308" i="109"/>
  <c r="N297" i="109"/>
  <c r="N287" i="109"/>
  <c r="N276" i="109"/>
  <c r="N265" i="109"/>
  <c r="N255" i="109"/>
  <c r="N244" i="109"/>
  <c r="N233" i="109"/>
  <c r="N223" i="109"/>
  <c r="N212" i="109"/>
  <c r="N201" i="109"/>
  <c r="N191" i="109"/>
  <c r="N180" i="109"/>
  <c r="N169" i="109"/>
  <c r="N159" i="109"/>
  <c r="N148" i="109"/>
  <c r="N137" i="109"/>
  <c r="N128" i="109"/>
  <c r="N120" i="109"/>
  <c r="N112" i="109"/>
  <c r="N104" i="109"/>
  <c r="N96" i="109"/>
  <c r="N88" i="109"/>
  <c r="N80" i="109"/>
  <c r="N72" i="109"/>
  <c r="N64" i="109"/>
  <c r="N56" i="109"/>
  <c r="N48" i="109"/>
  <c r="N40" i="109"/>
  <c r="N24" i="109"/>
  <c r="N735" i="109"/>
  <c r="N696" i="109"/>
  <c r="N671" i="109"/>
  <c r="N644" i="109"/>
  <c r="N618" i="109"/>
  <c r="N543" i="109"/>
  <c r="N516" i="109"/>
  <c r="N490" i="109"/>
  <c r="N455" i="109"/>
  <c r="N401" i="109"/>
  <c r="N380" i="109"/>
  <c r="N337" i="109"/>
  <c r="N284" i="109"/>
  <c r="N263" i="109"/>
  <c r="N800" i="109"/>
  <c r="N786" i="109"/>
  <c r="N775" i="109"/>
  <c r="N761" i="109"/>
  <c r="N748" i="109"/>
  <c r="N736" i="109"/>
  <c r="N722" i="109"/>
  <c r="N711" i="109"/>
  <c r="N697" i="109"/>
  <c r="N684" i="109"/>
  <c r="N672" i="109"/>
  <c r="N658" i="109"/>
  <c r="N647" i="109"/>
  <c r="N633" i="109"/>
  <c r="N620" i="109"/>
  <c r="N608" i="109"/>
  <c r="N594" i="109"/>
  <c r="N583" i="109"/>
  <c r="N569" i="109"/>
  <c r="N556" i="109"/>
  <c r="N544" i="109"/>
  <c r="N530" i="109"/>
  <c r="N519" i="109"/>
  <c r="N505" i="109"/>
  <c r="N492" i="109"/>
  <c r="N480" i="109"/>
  <c r="N466" i="109"/>
  <c r="N456" i="109"/>
  <c r="N446" i="109"/>
  <c r="N434" i="109"/>
  <c r="N424" i="109"/>
  <c r="N414" i="109"/>
  <c r="N402" i="109"/>
  <c r="N392" i="109"/>
  <c r="N382" i="109"/>
  <c r="N370" i="109"/>
  <c r="N360" i="109"/>
  <c r="N350" i="109"/>
  <c r="N338" i="109"/>
  <c r="N328" i="109"/>
  <c r="N318" i="109"/>
  <c r="N306" i="109"/>
  <c r="N296" i="109"/>
  <c r="N286" i="109"/>
  <c r="N274" i="109"/>
  <c r="N264" i="109"/>
  <c r="N254" i="109"/>
  <c r="N242" i="109"/>
  <c r="N232" i="109"/>
  <c r="N222" i="109"/>
  <c r="N210" i="109"/>
  <c r="N200" i="109"/>
  <c r="N190" i="109"/>
  <c r="N178" i="109"/>
  <c r="N168" i="109"/>
  <c r="N158" i="109"/>
  <c r="N146" i="109"/>
  <c r="N136" i="109"/>
  <c r="N127" i="109"/>
  <c r="N119" i="109"/>
  <c r="N111" i="109"/>
  <c r="N103" i="109"/>
  <c r="N79" i="109"/>
  <c r="N71" i="109"/>
  <c r="N55" i="109"/>
  <c r="N31" i="109"/>
  <c r="N746" i="109"/>
  <c r="N708" i="109"/>
  <c r="N682" i="109"/>
  <c r="N657" i="109"/>
  <c r="N632" i="109"/>
  <c r="N554" i="109"/>
  <c r="N529" i="109"/>
  <c r="N504" i="109"/>
  <c r="N479" i="109"/>
  <c r="N412" i="109"/>
  <c r="N369" i="109"/>
  <c r="N327" i="109"/>
  <c r="N305" i="109"/>
  <c r="N273" i="109"/>
  <c r="N252" i="109"/>
  <c r="N38" i="109"/>
  <c r="N102" i="109"/>
  <c r="N177" i="109"/>
  <c r="N316" i="109"/>
  <c r="N209" i="109"/>
  <c r="N70" i="109"/>
  <c r="N14" i="109"/>
  <c r="N231" i="109"/>
  <c r="N46" i="109"/>
  <c r="N110" i="109"/>
  <c r="N188" i="109"/>
  <c r="N348" i="109"/>
  <c r="N54" i="109"/>
  <c r="N118" i="109"/>
  <c r="N199" i="109"/>
  <c r="N391" i="109"/>
  <c r="N25" i="108"/>
  <c r="N47" i="108"/>
  <c r="N66" i="108"/>
  <c r="N89" i="108"/>
  <c r="N111" i="108"/>
  <c r="N130" i="108"/>
  <c r="N294" i="108"/>
  <c r="N470" i="108"/>
  <c r="N622" i="108"/>
  <c r="N806" i="108"/>
  <c r="N11" i="108"/>
  <c r="N26" i="108"/>
  <c r="N49" i="108"/>
  <c r="N71" i="108"/>
  <c r="N90" i="108"/>
  <c r="N113" i="108"/>
  <c r="N150" i="108"/>
  <c r="N302" i="108"/>
  <c r="N486" i="108"/>
  <c r="N662" i="108"/>
  <c r="N33" i="108"/>
  <c r="N55" i="108"/>
  <c r="N74" i="108"/>
  <c r="N97" i="108"/>
  <c r="N119" i="108"/>
  <c r="N174" i="108"/>
  <c r="N358" i="108"/>
  <c r="N534" i="108"/>
  <c r="N686" i="108"/>
  <c r="N15" i="108"/>
  <c r="N34" i="108"/>
  <c r="N57" i="108"/>
  <c r="N79" i="108"/>
  <c r="N98" i="108"/>
  <c r="N121" i="108"/>
  <c r="N214" i="108"/>
  <c r="N366" i="108"/>
  <c r="N550" i="108"/>
  <c r="N726" i="108"/>
  <c r="N12" i="108"/>
  <c r="N19" i="108"/>
  <c r="N27" i="108"/>
  <c r="N35" i="108"/>
  <c r="N43" i="108"/>
  <c r="N51" i="108"/>
  <c r="N59" i="108"/>
  <c r="N67" i="108"/>
  <c r="N75" i="108"/>
  <c r="N83" i="108"/>
  <c r="N91" i="108"/>
  <c r="N99" i="108"/>
  <c r="N107" i="108"/>
  <c r="N115" i="108"/>
  <c r="N123" i="108"/>
  <c r="N131" i="108"/>
  <c r="N182" i="108"/>
  <c r="N246" i="108"/>
  <c r="N310" i="108"/>
  <c r="N374" i="108"/>
  <c r="N438" i="108"/>
  <c r="N502" i="108"/>
  <c r="N566" i="108"/>
  <c r="N630" i="108"/>
  <c r="N694" i="108"/>
  <c r="N758" i="108"/>
  <c r="N20" i="108"/>
  <c r="N28" i="108"/>
  <c r="N36" i="108"/>
  <c r="N44" i="108"/>
  <c r="N52" i="108"/>
  <c r="N60" i="108"/>
  <c r="N68" i="108"/>
  <c r="N76" i="108"/>
  <c r="N84" i="108"/>
  <c r="N92" i="108"/>
  <c r="N100" i="108"/>
  <c r="N108" i="108"/>
  <c r="N116" i="108"/>
  <c r="N124" i="108"/>
  <c r="N132" i="108"/>
  <c r="N190" i="108"/>
  <c r="N254" i="108"/>
  <c r="N318" i="108"/>
  <c r="N382" i="108"/>
  <c r="N446" i="108"/>
  <c r="N510" i="108"/>
  <c r="N574" i="108"/>
  <c r="N638" i="108"/>
  <c r="N702" i="108"/>
  <c r="N766" i="108"/>
  <c r="N13" i="108"/>
  <c r="N21" i="108"/>
  <c r="N29" i="108"/>
  <c r="N37" i="108"/>
  <c r="N45" i="108"/>
  <c r="N53" i="108"/>
  <c r="N61" i="108"/>
  <c r="N69" i="108"/>
  <c r="N77" i="108"/>
  <c r="N85" i="108"/>
  <c r="N93" i="108"/>
  <c r="N101" i="108"/>
  <c r="N109" i="108"/>
  <c r="N117" i="108"/>
  <c r="N125" i="108"/>
  <c r="N134" i="108"/>
  <c r="N198" i="108"/>
  <c r="N262" i="108"/>
  <c r="N326" i="108"/>
  <c r="N390" i="108"/>
  <c r="N454" i="108"/>
  <c r="N518" i="108"/>
  <c r="N582" i="108"/>
  <c r="N646" i="108"/>
  <c r="N710" i="108"/>
  <c r="N811" i="108"/>
  <c r="N803" i="108"/>
  <c r="N795" i="108"/>
  <c r="N787" i="108"/>
  <c r="N779" i="108"/>
  <c r="N771" i="108"/>
  <c r="N763" i="108"/>
  <c r="N755" i="108"/>
  <c r="N747" i="108"/>
  <c r="N739" i="108"/>
  <c r="N731" i="108"/>
  <c r="N723" i="108"/>
  <c r="N715" i="108"/>
  <c r="N707" i="108"/>
  <c r="N699" i="108"/>
  <c r="N691" i="108"/>
  <c r="N683" i="108"/>
  <c r="N675" i="108"/>
  <c r="N667" i="108"/>
  <c r="N659" i="108"/>
  <c r="N651" i="108"/>
  <c r="N643" i="108"/>
  <c r="N635" i="108"/>
  <c r="N627" i="108"/>
  <c r="N619" i="108"/>
  <c r="N611" i="108"/>
  <c r="N603" i="108"/>
  <c r="N595" i="108"/>
  <c r="N587" i="108"/>
  <c r="N579" i="108"/>
  <c r="N571" i="108"/>
  <c r="N563" i="108"/>
  <c r="N555" i="108"/>
  <c r="N547" i="108"/>
  <c r="N539" i="108"/>
  <c r="N531" i="108"/>
  <c r="N523" i="108"/>
  <c r="N515" i="108"/>
  <c r="N507" i="108"/>
  <c r="N499" i="108"/>
  <c r="N491" i="108"/>
  <c r="N483" i="108"/>
  <c r="N475" i="108"/>
  <c r="N467" i="108"/>
  <c r="N459" i="108"/>
  <c r="N451" i="108"/>
  <c r="N443" i="108"/>
  <c r="N435" i="108"/>
  <c r="N427" i="108"/>
  <c r="N419" i="108"/>
  <c r="N411" i="108"/>
  <c r="N403" i="108"/>
  <c r="N395" i="108"/>
  <c r="N387" i="108"/>
  <c r="N379" i="108"/>
  <c r="N371" i="108"/>
  <c r="N363" i="108"/>
  <c r="N355" i="108"/>
  <c r="N347" i="108"/>
  <c r="N339" i="108"/>
  <c r="N331" i="108"/>
  <c r="N323" i="108"/>
  <c r="N315" i="108"/>
  <c r="N307" i="108"/>
  <c r="N299" i="108"/>
  <c r="N291" i="108"/>
  <c r="N283" i="108"/>
  <c r="N275" i="108"/>
  <c r="N267" i="108"/>
  <c r="N259" i="108"/>
  <c r="N251" i="108"/>
  <c r="N243" i="108"/>
  <c r="N235" i="108"/>
  <c r="N227" i="108"/>
  <c r="N219" i="108"/>
  <c r="N211" i="108"/>
  <c r="N203" i="108"/>
  <c r="N195" i="108"/>
  <c r="N187" i="108"/>
  <c r="N179" i="108"/>
  <c r="N171" i="108"/>
  <c r="N163" i="108"/>
  <c r="N155" i="108"/>
  <c r="N147" i="108"/>
  <c r="N139" i="108"/>
  <c r="N810" i="108"/>
  <c r="N802" i="108"/>
  <c r="N794" i="108"/>
  <c r="N786" i="108"/>
  <c r="N778" i="108"/>
  <c r="N770" i="108"/>
  <c r="N762" i="108"/>
  <c r="N754" i="108"/>
  <c r="N746" i="108"/>
  <c r="N738" i="108"/>
  <c r="N730" i="108"/>
  <c r="N722" i="108"/>
  <c r="N714" i="108"/>
  <c r="N706" i="108"/>
  <c r="N698" i="108"/>
  <c r="N690" i="108"/>
  <c r="N682" i="108"/>
  <c r="N674" i="108"/>
  <c r="N666" i="108"/>
  <c r="N658" i="108"/>
  <c r="N650" i="108"/>
  <c r="N642" i="108"/>
  <c r="N634" i="108"/>
  <c r="N626" i="108"/>
  <c r="N618" i="108"/>
  <c r="N610" i="108"/>
  <c r="N602" i="108"/>
  <c r="N594" i="108"/>
  <c r="N586" i="108"/>
  <c r="N578" i="108"/>
  <c r="N570" i="108"/>
  <c r="N562" i="108"/>
  <c r="N554" i="108"/>
  <c r="N546" i="108"/>
  <c r="N538" i="108"/>
  <c r="N530" i="108"/>
  <c r="N522" i="108"/>
  <c r="N514" i="108"/>
  <c r="N506" i="108"/>
  <c r="N498" i="108"/>
  <c r="N490" i="108"/>
  <c r="N482" i="108"/>
  <c r="N474" i="108"/>
  <c r="N466" i="108"/>
  <c r="N458" i="108"/>
  <c r="N450" i="108"/>
  <c r="N442" i="108"/>
  <c r="N434" i="108"/>
  <c r="N426" i="108"/>
  <c r="N418" i="108"/>
  <c r="N410" i="108"/>
  <c r="N402" i="108"/>
  <c r="N394" i="108"/>
  <c r="N386" i="108"/>
  <c r="N378" i="108"/>
  <c r="N370" i="108"/>
  <c r="N362" i="108"/>
  <c r="N354" i="108"/>
  <c r="N346" i="108"/>
  <c r="N338" i="108"/>
  <c r="N330" i="108"/>
  <c r="N322" i="108"/>
  <c r="N314" i="108"/>
  <c r="N306" i="108"/>
  <c r="N298" i="108"/>
  <c r="N290" i="108"/>
  <c r="N282" i="108"/>
  <c r="N274" i="108"/>
  <c r="N266" i="108"/>
  <c r="N258" i="108"/>
  <c r="N250" i="108"/>
  <c r="N242" i="108"/>
  <c r="N234" i="108"/>
  <c r="N226" i="108"/>
  <c r="N218" i="108"/>
  <c r="N210" i="108"/>
  <c r="N202" i="108"/>
  <c r="N194" i="108"/>
  <c r="N186" i="108"/>
  <c r="N178" i="108"/>
  <c r="N170" i="108"/>
  <c r="N162" i="108"/>
  <c r="N154" i="108"/>
  <c r="N146" i="108"/>
  <c r="N138" i="108"/>
  <c r="N809" i="108"/>
  <c r="N801" i="108"/>
  <c r="N793" i="108"/>
  <c r="N785" i="108"/>
  <c r="N777" i="108"/>
  <c r="N769" i="108"/>
  <c r="N761" i="108"/>
  <c r="N753" i="108"/>
  <c r="N745" i="108"/>
  <c r="N737" i="108"/>
  <c r="N729" i="108"/>
  <c r="N721" i="108"/>
  <c r="N713" i="108"/>
  <c r="N705" i="108"/>
  <c r="N697" i="108"/>
  <c r="N689" i="108"/>
  <c r="N681" i="108"/>
  <c r="N673" i="108"/>
  <c r="N665" i="108"/>
  <c r="N657" i="108"/>
  <c r="N649" i="108"/>
  <c r="N641" i="108"/>
  <c r="N633" i="108"/>
  <c r="N625" i="108"/>
  <c r="N617" i="108"/>
  <c r="N609" i="108"/>
  <c r="N601" i="108"/>
  <c r="N593" i="108"/>
  <c r="N585" i="108"/>
  <c r="N577" i="108"/>
  <c r="N569" i="108"/>
  <c r="N561" i="108"/>
  <c r="N553" i="108"/>
  <c r="N545" i="108"/>
  <c r="N537" i="108"/>
  <c r="N529" i="108"/>
  <c r="N521" i="108"/>
  <c r="N513" i="108"/>
  <c r="N505" i="108"/>
  <c r="N497" i="108"/>
  <c r="N489" i="108"/>
  <c r="N481" i="108"/>
  <c r="N473" i="108"/>
  <c r="N465" i="108"/>
  <c r="N457" i="108"/>
  <c r="N449" i="108"/>
  <c r="N441" i="108"/>
  <c r="N433" i="108"/>
  <c r="N425" i="108"/>
  <c r="N417" i="108"/>
  <c r="N409" i="108"/>
  <c r="N401" i="108"/>
  <c r="N393" i="108"/>
  <c r="N385" i="108"/>
  <c r="N377" i="108"/>
  <c r="N369" i="108"/>
  <c r="N361" i="108"/>
  <c r="N353" i="108"/>
  <c r="N345" i="108"/>
  <c r="N337" i="108"/>
  <c r="N329" i="108"/>
  <c r="N321" i="108"/>
  <c r="N313" i="108"/>
  <c r="N305" i="108"/>
  <c r="N297" i="108"/>
  <c r="N289" i="108"/>
  <c r="N281" i="108"/>
  <c r="N273" i="108"/>
  <c r="N265" i="108"/>
  <c r="N257" i="108"/>
  <c r="N249" i="108"/>
  <c r="N241" i="108"/>
  <c r="N233" i="108"/>
  <c r="N225" i="108"/>
  <c r="N217" i="108"/>
  <c r="N209" i="108"/>
  <c r="N201" i="108"/>
  <c r="N193" i="108"/>
  <c r="N185" i="108"/>
  <c r="N177" i="108"/>
  <c r="N169" i="108"/>
  <c r="N161" i="108"/>
  <c r="N153" i="108"/>
  <c r="N145" i="108"/>
  <c r="N137" i="108"/>
  <c r="N808" i="108"/>
  <c r="N800" i="108"/>
  <c r="N792" i="108"/>
  <c r="N784" i="108"/>
  <c r="N776" i="108"/>
  <c r="N768" i="108"/>
  <c r="N760" i="108"/>
  <c r="N752" i="108"/>
  <c r="N744" i="108"/>
  <c r="N736" i="108"/>
  <c r="N728" i="108"/>
  <c r="N720" i="108"/>
  <c r="N712" i="108"/>
  <c r="N704" i="108"/>
  <c r="N696" i="108"/>
  <c r="N688" i="108"/>
  <c r="N680" i="108"/>
  <c r="N672" i="108"/>
  <c r="N664" i="108"/>
  <c r="N656" i="108"/>
  <c r="N648" i="108"/>
  <c r="N640" i="108"/>
  <c r="N632" i="108"/>
  <c r="N624" i="108"/>
  <c r="N616" i="108"/>
  <c r="N608" i="108"/>
  <c r="N600" i="108"/>
  <c r="N592" i="108"/>
  <c r="N584" i="108"/>
  <c r="N576" i="108"/>
  <c r="N568" i="108"/>
  <c r="N560" i="108"/>
  <c r="N552" i="108"/>
  <c r="N544" i="108"/>
  <c r="N536" i="108"/>
  <c r="N528" i="108"/>
  <c r="N520" i="108"/>
  <c r="N512" i="108"/>
  <c r="N504" i="108"/>
  <c r="N496" i="108"/>
  <c r="N488" i="108"/>
  <c r="N480" i="108"/>
  <c r="N472" i="108"/>
  <c r="N464" i="108"/>
  <c r="N456" i="108"/>
  <c r="N448" i="108"/>
  <c r="N440" i="108"/>
  <c r="N432" i="108"/>
  <c r="N424" i="108"/>
  <c r="N416" i="108"/>
  <c r="N408" i="108"/>
  <c r="N400" i="108"/>
  <c r="N392" i="108"/>
  <c r="N384" i="108"/>
  <c r="N376" i="108"/>
  <c r="N368" i="108"/>
  <c r="N360" i="108"/>
  <c r="N352" i="108"/>
  <c r="N344" i="108"/>
  <c r="N336" i="108"/>
  <c r="N328" i="108"/>
  <c r="N320" i="108"/>
  <c r="N312" i="108"/>
  <c r="N304" i="108"/>
  <c r="N296" i="108"/>
  <c r="N288" i="108"/>
  <c r="N280" i="108"/>
  <c r="N272" i="108"/>
  <c r="N264" i="108"/>
  <c r="N256" i="108"/>
  <c r="N248" i="108"/>
  <c r="N240" i="108"/>
  <c r="N232" i="108"/>
  <c r="N224" i="108"/>
  <c r="N216" i="108"/>
  <c r="N208" i="108"/>
  <c r="N200" i="108"/>
  <c r="N192" i="108"/>
  <c r="N184" i="108"/>
  <c r="N176" i="108"/>
  <c r="N168" i="108"/>
  <c r="N160" i="108"/>
  <c r="N152" i="108"/>
  <c r="N144" i="108"/>
  <c r="N136" i="108"/>
  <c r="N807" i="108"/>
  <c r="N799" i="108"/>
  <c r="N791" i="108"/>
  <c r="N783" i="108"/>
  <c r="N775" i="108"/>
  <c r="N767" i="108"/>
  <c r="N759" i="108"/>
  <c r="N751" i="108"/>
  <c r="N743" i="108"/>
  <c r="N735" i="108"/>
  <c r="N727" i="108"/>
  <c r="N719" i="108"/>
  <c r="N711" i="108"/>
  <c r="N703" i="108"/>
  <c r="N695" i="108"/>
  <c r="N687" i="108"/>
  <c r="N679" i="108"/>
  <c r="N671" i="108"/>
  <c r="N663" i="108"/>
  <c r="N655" i="108"/>
  <c r="N647" i="108"/>
  <c r="N639" i="108"/>
  <c r="N631" i="108"/>
  <c r="N623" i="108"/>
  <c r="N615" i="108"/>
  <c r="N607" i="108"/>
  <c r="N599" i="108"/>
  <c r="N591" i="108"/>
  <c r="N583" i="108"/>
  <c r="N575" i="108"/>
  <c r="N567" i="108"/>
  <c r="N559" i="108"/>
  <c r="N551" i="108"/>
  <c r="N543" i="108"/>
  <c r="N535" i="108"/>
  <c r="N527" i="108"/>
  <c r="N519" i="108"/>
  <c r="N511" i="108"/>
  <c r="N503" i="108"/>
  <c r="N495" i="108"/>
  <c r="N487" i="108"/>
  <c r="N479" i="108"/>
  <c r="N471" i="108"/>
  <c r="N463" i="108"/>
  <c r="N455" i="108"/>
  <c r="N447" i="108"/>
  <c r="N439" i="108"/>
  <c r="N431" i="108"/>
  <c r="N423" i="108"/>
  <c r="N415" i="108"/>
  <c r="N407" i="108"/>
  <c r="N399" i="108"/>
  <c r="N391" i="108"/>
  <c r="N383" i="108"/>
  <c r="N375" i="108"/>
  <c r="N367" i="108"/>
  <c r="N359" i="108"/>
  <c r="N351" i="108"/>
  <c r="N343" i="108"/>
  <c r="N335" i="108"/>
  <c r="N327" i="108"/>
  <c r="N319" i="108"/>
  <c r="N311" i="108"/>
  <c r="N303" i="108"/>
  <c r="N295" i="108"/>
  <c r="N287" i="108"/>
  <c r="N279" i="108"/>
  <c r="N271" i="108"/>
  <c r="N263" i="108"/>
  <c r="N255" i="108"/>
  <c r="N247" i="108"/>
  <c r="N239" i="108"/>
  <c r="N231" i="108"/>
  <c r="N223" i="108"/>
  <c r="N215" i="108"/>
  <c r="N207" i="108"/>
  <c r="N199" i="108"/>
  <c r="N191" i="108"/>
  <c r="N183" i="108"/>
  <c r="N175" i="108"/>
  <c r="N167" i="108"/>
  <c r="N159" i="108"/>
  <c r="N151" i="108"/>
  <c r="N143" i="108"/>
  <c r="N135" i="108"/>
  <c r="N805" i="108"/>
  <c r="N797" i="108"/>
  <c r="N789" i="108"/>
  <c r="N781" i="108"/>
  <c r="N773" i="108"/>
  <c r="N765" i="108"/>
  <c r="N757" i="108"/>
  <c r="N749" i="108"/>
  <c r="N741" i="108"/>
  <c r="N733" i="108"/>
  <c r="N725" i="108"/>
  <c r="N717" i="108"/>
  <c r="N709" i="108"/>
  <c r="N701" i="108"/>
  <c r="N693" i="108"/>
  <c r="N685" i="108"/>
  <c r="N677" i="108"/>
  <c r="N669" i="108"/>
  <c r="N661" i="108"/>
  <c r="N653" i="108"/>
  <c r="N645" i="108"/>
  <c r="N637" i="108"/>
  <c r="N629" i="108"/>
  <c r="N621" i="108"/>
  <c r="N613" i="108"/>
  <c r="N605" i="108"/>
  <c r="N597" i="108"/>
  <c r="N589" i="108"/>
  <c r="N581" i="108"/>
  <c r="N573" i="108"/>
  <c r="N565" i="108"/>
  <c r="N557" i="108"/>
  <c r="N549" i="108"/>
  <c r="N541" i="108"/>
  <c r="N533" i="108"/>
  <c r="N525" i="108"/>
  <c r="N517" i="108"/>
  <c r="N509" i="108"/>
  <c r="N501" i="108"/>
  <c r="N493" i="108"/>
  <c r="N485" i="108"/>
  <c r="N477" i="108"/>
  <c r="N469" i="108"/>
  <c r="N461" i="108"/>
  <c r="N453" i="108"/>
  <c r="N445" i="108"/>
  <c r="N437" i="108"/>
  <c r="N429" i="108"/>
  <c r="N421" i="108"/>
  <c r="N413" i="108"/>
  <c r="N405" i="108"/>
  <c r="N397" i="108"/>
  <c r="N389" i="108"/>
  <c r="N381" i="108"/>
  <c r="N373" i="108"/>
  <c r="N365" i="108"/>
  <c r="N357" i="108"/>
  <c r="N349" i="108"/>
  <c r="N341" i="108"/>
  <c r="N333" i="108"/>
  <c r="N325" i="108"/>
  <c r="N317" i="108"/>
  <c r="N309" i="108"/>
  <c r="N301" i="108"/>
  <c r="N293" i="108"/>
  <c r="N285" i="108"/>
  <c r="N277" i="108"/>
  <c r="N269" i="108"/>
  <c r="N261" i="108"/>
  <c r="N253" i="108"/>
  <c r="N245" i="108"/>
  <c r="N237" i="108"/>
  <c r="N229" i="108"/>
  <c r="N221" i="108"/>
  <c r="N213" i="108"/>
  <c r="N205" i="108"/>
  <c r="N197" i="108"/>
  <c r="N189" i="108"/>
  <c r="N181" i="108"/>
  <c r="N173" i="108"/>
  <c r="N165" i="108"/>
  <c r="N157" i="108"/>
  <c r="N149" i="108"/>
  <c r="N141" i="108"/>
  <c r="N133" i="108"/>
  <c r="N804" i="108"/>
  <c r="N796" i="108"/>
  <c r="N788" i="108"/>
  <c r="N780" i="108"/>
  <c r="N772" i="108"/>
  <c r="N764" i="108"/>
  <c r="N756" i="108"/>
  <c r="N748" i="108"/>
  <c r="N740" i="108"/>
  <c r="N732" i="108"/>
  <c r="N724" i="108"/>
  <c r="N716" i="108"/>
  <c r="N708" i="108"/>
  <c r="N700" i="108"/>
  <c r="N692" i="108"/>
  <c r="N684" i="108"/>
  <c r="N676" i="108"/>
  <c r="N668" i="108"/>
  <c r="N660" i="108"/>
  <c r="N652" i="108"/>
  <c r="N644" i="108"/>
  <c r="N636" i="108"/>
  <c r="N628" i="108"/>
  <c r="N620" i="108"/>
  <c r="N612" i="108"/>
  <c r="N604" i="108"/>
  <c r="N596" i="108"/>
  <c r="N588" i="108"/>
  <c r="N580" i="108"/>
  <c r="N572" i="108"/>
  <c r="N564" i="108"/>
  <c r="N556" i="108"/>
  <c r="N548" i="108"/>
  <c r="N540" i="108"/>
  <c r="N532" i="108"/>
  <c r="N524" i="108"/>
  <c r="N516" i="108"/>
  <c r="N508" i="108"/>
  <c r="N500" i="108"/>
  <c r="N492" i="108"/>
  <c r="N484" i="108"/>
  <c r="N476" i="108"/>
  <c r="N468" i="108"/>
  <c r="N460" i="108"/>
  <c r="N452" i="108"/>
  <c r="N444" i="108"/>
  <c r="N436" i="108"/>
  <c r="N428" i="108"/>
  <c r="N420" i="108"/>
  <c r="N412" i="108"/>
  <c r="N404" i="108"/>
  <c r="N396" i="108"/>
  <c r="N388" i="108"/>
  <c r="N380" i="108"/>
  <c r="N372" i="108"/>
  <c r="N364" i="108"/>
  <c r="N356" i="108"/>
  <c r="N348" i="108"/>
  <c r="N340" i="108"/>
  <c r="N332" i="108"/>
  <c r="N324" i="108"/>
  <c r="N316" i="108"/>
  <c r="N308" i="108"/>
  <c r="N300" i="108"/>
  <c r="N292" i="108"/>
  <c r="N284" i="108"/>
  <c r="N276" i="108"/>
  <c r="N268" i="108"/>
  <c r="N260" i="108"/>
  <c r="N252" i="108"/>
  <c r="N244" i="108"/>
  <c r="N236" i="108"/>
  <c r="N228" i="108"/>
  <c r="N220" i="108"/>
  <c r="N212" i="108"/>
  <c r="N204" i="108"/>
  <c r="N196" i="108"/>
  <c r="N188" i="108"/>
  <c r="N180" i="108"/>
  <c r="N172" i="108"/>
  <c r="N164" i="108"/>
  <c r="N156" i="108"/>
  <c r="N148" i="108"/>
  <c r="N140" i="108"/>
  <c r="N14" i="108"/>
  <c r="N22" i="108"/>
  <c r="N30" i="108"/>
  <c r="N38" i="108"/>
  <c r="N46" i="108"/>
  <c r="N54" i="108"/>
  <c r="N62" i="108"/>
  <c r="N70" i="108"/>
  <c r="N78" i="108"/>
  <c r="N86" i="108"/>
  <c r="N94" i="108"/>
  <c r="N102" i="108"/>
  <c r="N110" i="108"/>
  <c r="N118" i="108"/>
  <c r="N126" i="108"/>
  <c r="N142" i="108"/>
  <c r="N206" i="108"/>
  <c r="N270" i="108"/>
  <c r="N334" i="108"/>
  <c r="N398" i="108"/>
  <c r="N462" i="108"/>
  <c r="N526" i="108"/>
  <c r="N590" i="108"/>
  <c r="N654" i="108"/>
  <c r="N718" i="108"/>
  <c r="N782" i="108"/>
  <c r="N16" i="108"/>
  <c r="N24" i="108"/>
  <c r="N32" i="108"/>
  <c r="N40" i="108"/>
  <c r="N48" i="108"/>
  <c r="N56" i="108"/>
  <c r="N64" i="108"/>
  <c r="N72" i="108"/>
  <c r="N80" i="108"/>
  <c r="N88" i="108"/>
  <c r="N96" i="108"/>
  <c r="N104" i="108"/>
  <c r="N112" i="108"/>
  <c r="N120" i="108"/>
  <c r="N128" i="108"/>
  <c r="N158" i="108"/>
  <c r="N222" i="108"/>
  <c r="N286" i="108"/>
  <c r="N350" i="108"/>
  <c r="N414" i="108"/>
  <c r="N478" i="108"/>
  <c r="N542" i="108"/>
  <c r="N606" i="108"/>
  <c r="N670" i="108"/>
  <c r="N734" i="108"/>
  <c r="N798" i="108"/>
  <c r="N93" i="107"/>
  <c r="N125" i="107"/>
  <c r="N420" i="107"/>
  <c r="N28" i="107"/>
  <c r="N13" i="107"/>
  <c r="N36" i="107"/>
  <c r="N58" i="107"/>
  <c r="N77" i="107"/>
  <c r="N109" i="107"/>
  <c r="N164" i="107"/>
  <c r="N676" i="107"/>
  <c r="N18" i="107"/>
  <c r="N37" i="107"/>
  <c r="N60" i="107"/>
  <c r="N84" i="107"/>
  <c r="N116" i="107"/>
  <c r="N228" i="107"/>
  <c r="N740" i="107"/>
  <c r="N20" i="107"/>
  <c r="N42" i="107"/>
  <c r="N61" i="107"/>
  <c r="N85" i="107"/>
  <c r="N117" i="107"/>
  <c r="N292" i="107"/>
  <c r="N804" i="107"/>
  <c r="N21" i="107"/>
  <c r="N44" i="107"/>
  <c r="N66" i="107"/>
  <c r="N92" i="107"/>
  <c r="N124" i="107"/>
  <c r="N356" i="107"/>
  <c r="N50" i="107"/>
  <c r="N69" i="107"/>
  <c r="N100" i="107"/>
  <c r="N132" i="107"/>
  <c r="N484" i="107"/>
  <c r="N29" i="107"/>
  <c r="N52" i="107"/>
  <c r="N74" i="107"/>
  <c r="N101" i="107"/>
  <c r="N133" i="107"/>
  <c r="N548" i="107"/>
  <c r="N34" i="107"/>
  <c r="N53" i="107"/>
  <c r="N76" i="107"/>
  <c r="N108" i="107"/>
  <c r="N142" i="107"/>
  <c r="N811" i="107"/>
  <c r="N803" i="107"/>
  <c r="N795" i="107"/>
  <c r="N787" i="107"/>
  <c r="N779" i="107"/>
  <c r="N771" i="107"/>
  <c r="N763" i="107"/>
  <c r="N755" i="107"/>
  <c r="N747" i="107"/>
  <c r="N739" i="107"/>
  <c r="N731" i="107"/>
  <c r="N723" i="107"/>
  <c r="N715" i="107"/>
  <c r="N707" i="107"/>
  <c r="N699" i="107"/>
  <c r="N691" i="107"/>
  <c r="N683" i="107"/>
  <c r="N675" i="107"/>
  <c r="N667" i="107"/>
  <c r="N659" i="107"/>
  <c r="N651" i="107"/>
  <c r="N643" i="107"/>
  <c r="N635" i="107"/>
  <c r="N627" i="107"/>
  <c r="N619" i="107"/>
  <c r="N611" i="107"/>
  <c r="N603" i="107"/>
  <c r="N595" i="107"/>
  <c r="N587" i="107"/>
  <c r="N579" i="107"/>
  <c r="N571" i="107"/>
  <c r="N563" i="107"/>
  <c r="N555" i="107"/>
  <c r="N547" i="107"/>
  <c r="N539" i="107"/>
  <c r="N531" i="107"/>
  <c r="N523" i="107"/>
  <c r="N515" i="107"/>
  <c r="N507" i="107"/>
  <c r="N499" i="107"/>
  <c r="N491" i="107"/>
  <c r="N483" i="107"/>
  <c r="N475" i="107"/>
  <c r="N467" i="107"/>
  <c r="N459" i="107"/>
  <c r="N451" i="107"/>
  <c r="N443" i="107"/>
  <c r="N435" i="107"/>
  <c r="N427" i="107"/>
  <c r="N419" i="107"/>
  <c r="N411" i="107"/>
  <c r="N403" i="107"/>
  <c r="N395" i="107"/>
  <c r="N387" i="107"/>
  <c r="N379" i="107"/>
  <c r="N371" i="107"/>
  <c r="N363" i="107"/>
  <c r="N355" i="107"/>
  <c r="N347" i="107"/>
  <c r="N339" i="107"/>
  <c r="N331" i="107"/>
  <c r="N323" i="107"/>
  <c r="N315" i="107"/>
  <c r="N307" i="107"/>
  <c r="N299" i="107"/>
  <c r="N291" i="107"/>
  <c r="N283" i="107"/>
  <c r="N275" i="107"/>
  <c r="N267" i="107"/>
  <c r="N259" i="107"/>
  <c r="N251" i="107"/>
  <c r="N243" i="107"/>
  <c r="N235" i="107"/>
  <c r="N227" i="107"/>
  <c r="N219" i="107"/>
  <c r="N211" i="107"/>
  <c r="N203" i="107"/>
  <c r="N195" i="107"/>
  <c r="N187" i="107"/>
  <c r="N179" i="107"/>
  <c r="N171" i="107"/>
  <c r="N163" i="107"/>
  <c r="N155" i="107"/>
  <c r="N810" i="107"/>
  <c r="N802" i="107"/>
  <c r="N794" i="107"/>
  <c r="N786" i="107"/>
  <c r="N778" i="107"/>
  <c r="N770" i="107"/>
  <c r="N762" i="107"/>
  <c r="N754" i="107"/>
  <c r="N746" i="107"/>
  <c r="N738" i="107"/>
  <c r="N730" i="107"/>
  <c r="N722" i="107"/>
  <c r="N714" i="107"/>
  <c r="N706" i="107"/>
  <c r="N698" i="107"/>
  <c r="N690" i="107"/>
  <c r="N682" i="107"/>
  <c r="N674" i="107"/>
  <c r="N666" i="107"/>
  <c r="N658" i="107"/>
  <c r="N650" i="107"/>
  <c r="N642" i="107"/>
  <c r="N634" i="107"/>
  <c r="N626" i="107"/>
  <c r="N618" i="107"/>
  <c r="N610" i="107"/>
  <c r="N602" i="107"/>
  <c r="N594" i="107"/>
  <c r="N586" i="107"/>
  <c r="N578" i="107"/>
  <c r="N570" i="107"/>
  <c r="N562" i="107"/>
  <c r="N554" i="107"/>
  <c r="N546" i="107"/>
  <c r="N538" i="107"/>
  <c r="N530" i="107"/>
  <c r="N522" i="107"/>
  <c r="N514" i="107"/>
  <c r="N506" i="107"/>
  <c r="N498" i="107"/>
  <c r="N490" i="107"/>
  <c r="N482" i="107"/>
  <c r="N474" i="107"/>
  <c r="N466" i="107"/>
  <c r="N458" i="107"/>
  <c r="N450" i="107"/>
  <c r="N442" i="107"/>
  <c r="N434" i="107"/>
  <c r="N426" i="107"/>
  <c r="N418" i="107"/>
  <c r="N410" i="107"/>
  <c r="N402" i="107"/>
  <c r="N394" i="107"/>
  <c r="N386" i="107"/>
  <c r="N378" i="107"/>
  <c r="N370" i="107"/>
  <c r="N362" i="107"/>
  <c r="N354" i="107"/>
  <c r="N346" i="107"/>
  <c r="N338" i="107"/>
  <c r="N330" i="107"/>
  <c r="N322" i="107"/>
  <c r="N314" i="107"/>
  <c r="N306" i="107"/>
  <c r="N298" i="107"/>
  <c r="N290" i="107"/>
  <c r="N282" i="107"/>
  <c r="N274" i="107"/>
  <c r="N266" i="107"/>
  <c r="N258" i="107"/>
  <c r="N250" i="107"/>
  <c r="N242" i="107"/>
  <c r="N234" i="107"/>
  <c r="N226" i="107"/>
  <c r="N218" i="107"/>
  <c r="N210" i="107"/>
  <c r="N202" i="107"/>
  <c r="N194" i="107"/>
  <c r="N186" i="107"/>
  <c r="N178" i="107"/>
  <c r="N170" i="107"/>
  <c r="N162" i="107"/>
  <c r="N154" i="107"/>
  <c r="N146" i="107"/>
  <c r="N138" i="107"/>
  <c r="N809" i="107"/>
  <c r="N801" i="107"/>
  <c r="N793" i="107"/>
  <c r="N785" i="107"/>
  <c r="N777" i="107"/>
  <c r="N769" i="107"/>
  <c r="N761" i="107"/>
  <c r="N753" i="107"/>
  <c r="N745" i="107"/>
  <c r="N737" i="107"/>
  <c r="N729" i="107"/>
  <c r="N721" i="107"/>
  <c r="N713" i="107"/>
  <c r="N705" i="107"/>
  <c r="N697" i="107"/>
  <c r="N689" i="107"/>
  <c r="N681" i="107"/>
  <c r="N673" i="107"/>
  <c r="N665" i="107"/>
  <c r="N657" i="107"/>
  <c r="N649" i="107"/>
  <c r="N641" i="107"/>
  <c r="N633" i="107"/>
  <c r="N625" i="107"/>
  <c r="N617" i="107"/>
  <c r="N609" i="107"/>
  <c r="N601" i="107"/>
  <c r="N593" i="107"/>
  <c r="N585" i="107"/>
  <c r="N577" i="107"/>
  <c r="N569" i="107"/>
  <c r="N561" i="107"/>
  <c r="N553" i="107"/>
  <c r="N545" i="107"/>
  <c r="N537" i="107"/>
  <c r="N529" i="107"/>
  <c r="N521" i="107"/>
  <c r="N513" i="107"/>
  <c r="N505" i="107"/>
  <c r="N497" i="107"/>
  <c r="N489" i="107"/>
  <c r="N481" i="107"/>
  <c r="N473" i="107"/>
  <c r="N465" i="107"/>
  <c r="N457" i="107"/>
  <c r="N449" i="107"/>
  <c r="N441" i="107"/>
  <c r="N433" i="107"/>
  <c r="N425" i="107"/>
  <c r="N417" i="107"/>
  <c r="N409" i="107"/>
  <c r="N401" i="107"/>
  <c r="N393" i="107"/>
  <c r="N385" i="107"/>
  <c r="N377" i="107"/>
  <c r="N369" i="107"/>
  <c r="N361" i="107"/>
  <c r="N353" i="107"/>
  <c r="N345" i="107"/>
  <c r="N337" i="107"/>
  <c r="N329" i="107"/>
  <c r="N321" i="107"/>
  <c r="N313" i="107"/>
  <c r="N305" i="107"/>
  <c r="N297" i="107"/>
  <c r="N289" i="107"/>
  <c r="N281" i="107"/>
  <c r="N273" i="107"/>
  <c r="N265" i="107"/>
  <c r="N257" i="107"/>
  <c r="N249" i="107"/>
  <c r="N241" i="107"/>
  <c r="N233" i="107"/>
  <c r="N225" i="107"/>
  <c r="N217" i="107"/>
  <c r="N209" i="107"/>
  <c r="N201" i="107"/>
  <c r="N193" i="107"/>
  <c r="N185" i="107"/>
  <c r="N177" i="107"/>
  <c r="N169" i="107"/>
  <c r="N161" i="107"/>
  <c r="N153" i="107"/>
  <c r="N808" i="107"/>
  <c r="N800" i="107"/>
  <c r="N792" i="107"/>
  <c r="N784" i="107"/>
  <c r="N776" i="107"/>
  <c r="N768" i="107"/>
  <c r="N760" i="107"/>
  <c r="N752" i="107"/>
  <c r="N744" i="107"/>
  <c r="N736" i="107"/>
  <c r="N728" i="107"/>
  <c r="N720" i="107"/>
  <c r="N712" i="107"/>
  <c r="N704" i="107"/>
  <c r="N696" i="107"/>
  <c r="N688" i="107"/>
  <c r="N680" i="107"/>
  <c r="N672" i="107"/>
  <c r="N664" i="107"/>
  <c r="N656" i="107"/>
  <c r="N648" i="107"/>
  <c r="N640" i="107"/>
  <c r="N632" i="107"/>
  <c r="N624" i="107"/>
  <c r="N616" i="107"/>
  <c r="N608" i="107"/>
  <c r="N600" i="107"/>
  <c r="N592" i="107"/>
  <c r="N584" i="107"/>
  <c r="N576" i="107"/>
  <c r="N568" i="107"/>
  <c r="N560" i="107"/>
  <c r="N552" i="107"/>
  <c r="N544" i="107"/>
  <c r="N536" i="107"/>
  <c r="N528" i="107"/>
  <c r="N520" i="107"/>
  <c r="N512" i="107"/>
  <c r="N504" i="107"/>
  <c r="N496" i="107"/>
  <c r="N488" i="107"/>
  <c r="N480" i="107"/>
  <c r="N472" i="107"/>
  <c r="N464" i="107"/>
  <c r="N456" i="107"/>
  <c r="N448" i="107"/>
  <c r="N440" i="107"/>
  <c r="N432" i="107"/>
  <c r="N424" i="107"/>
  <c r="N416" i="107"/>
  <c r="N408" i="107"/>
  <c r="N400" i="107"/>
  <c r="N392" i="107"/>
  <c r="N384" i="107"/>
  <c r="N376" i="107"/>
  <c r="N368" i="107"/>
  <c r="N360" i="107"/>
  <c r="N352" i="107"/>
  <c r="N344" i="107"/>
  <c r="N336" i="107"/>
  <c r="N328" i="107"/>
  <c r="N320" i="107"/>
  <c r="N312" i="107"/>
  <c r="N304" i="107"/>
  <c r="N296" i="107"/>
  <c r="N288" i="107"/>
  <c r="N280" i="107"/>
  <c r="N272" i="107"/>
  <c r="N264" i="107"/>
  <c r="N256" i="107"/>
  <c r="N248" i="107"/>
  <c r="N240" i="107"/>
  <c r="N232" i="107"/>
  <c r="N224" i="107"/>
  <c r="N216" i="107"/>
  <c r="N208" i="107"/>
  <c r="N200" i="107"/>
  <c r="N192" i="107"/>
  <c r="N184" i="107"/>
  <c r="N176" i="107"/>
  <c r="N168" i="107"/>
  <c r="N160" i="107"/>
  <c r="N152" i="107"/>
  <c r="N807" i="107"/>
  <c r="N799" i="107"/>
  <c r="N791" i="107"/>
  <c r="N783" i="107"/>
  <c r="N775" i="107"/>
  <c r="N767" i="107"/>
  <c r="N759" i="107"/>
  <c r="N751" i="107"/>
  <c r="N743" i="107"/>
  <c r="N735" i="107"/>
  <c r="N727" i="107"/>
  <c r="N719" i="107"/>
  <c r="N711" i="107"/>
  <c r="N703" i="107"/>
  <c r="N695" i="107"/>
  <c r="N687" i="107"/>
  <c r="N679" i="107"/>
  <c r="N671" i="107"/>
  <c r="N663" i="107"/>
  <c r="N655" i="107"/>
  <c r="N647" i="107"/>
  <c r="N639" i="107"/>
  <c r="N631" i="107"/>
  <c r="N623" i="107"/>
  <c r="N615" i="107"/>
  <c r="N607" i="107"/>
  <c r="N599" i="107"/>
  <c r="N591" i="107"/>
  <c r="N583" i="107"/>
  <c r="N575" i="107"/>
  <c r="N567" i="107"/>
  <c r="N559" i="107"/>
  <c r="N551" i="107"/>
  <c r="N543" i="107"/>
  <c r="N535" i="107"/>
  <c r="N527" i="107"/>
  <c r="N519" i="107"/>
  <c r="N511" i="107"/>
  <c r="N503" i="107"/>
  <c r="N495" i="107"/>
  <c r="N487" i="107"/>
  <c r="N479" i="107"/>
  <c r="N471" i="107"/>
  <c r="N463" i="107"/>
  <c r="N455" i="107"/>
  <c r="N447" i="107"/>
  <c r="N439" i="107"/>
  <c r="N431" i="107"/>
  <c r="N423" i="107"/>
  <c r="N415" i="107"/>
  <c r="N407" i="107"/>
  <c r="N399" i="107"/>
  <c r="N391" i="107"/>
  <c r="N383" i="107"/>
  <c r="N375" i="107"/>
  <c r="N367" i="107"/>
  <c r="N359" i="107"/>
  <c r="N351" i="107"/>
  <c r="N343" i="107"/>
  <c r="N335" i="107"/>
  <c r="N327" i="107"/>
  <c r="N319" i="107"/>
  <c r="N311" i="107"/>
  <c r="N303" i="107"/>
  <c r="N295" i="107"/>
  <c r="N287" i="107"/>
  <c r="N279" i="107"/>
  <c r="N271" i="107"/>
  <c r="N263" i="107"/>
  <c r="N255" i="107"/>
  <c r="N247" i="107"/>
  <c r="N239" i="107"/>
  <c r="N231" i="107"/>
  <c r="N223" i="107"/>
  <c r="N215" i="107"/>
  <c r="N207" i="107"/>
  <c r="N199" i="107"/>
  <c r="N191" i="107"/>
  <c r="N183" i="107"/>
  <c r="N175" i="107"/>
  <c r="N167" i="107"/>
  <c r="N159" i="107"/>
  <c r="N151" i="107"/>
  <c r="N806" i="107"/>
  <c r="N798" i="107"/>
  <c r="N790" i="107"/>
  <c r="N782" i="107"/>
  <c r="N774" i="107"/>
  <c r="N766" i="107"/>
  <c r="N758" i="107"/>
  <c r="N750" i="107"/>
  <c r="N742" i="107"/>
  <c r="N734" i="107"/>
  <c r="N726" i="107"/>
  <c r="N718" i="107"/>
  <c r="N710" i="107"/>
  <c r="N702" i="107"/>
  <c r="N694" i="107"/>
  <c r="N686" i="107"/>
  <c r="N678" i="107"/>
  <c r="N670" i="107"/>
  <c r="N662" i="107"/>
  <c r="N654" i="107"/>
  <c r="N646" i="107"/>
  <c r="N638" i="107"/>
  <c r="N630" i="107"/>
  <c r="N622" i="107"/>
  <c r="N614" i="107"/>
  <c r="N606" i="107"/>
  <c r="N598" i="107"/>
  <c r="N590" i="107"/>
  <c r="N582" i="107"/>
  <c r="N574" i="107"/>
  <c r="N566" i="107"/>
  <c r="N558" i="107"/>
  <c r="N550" i="107"/>
  <c r="N542" i="107"/>
  <c r="N534" i="107"/>
  <c r="N526" i="107"/>
  <c r="N518" i="107"/>
  <c r="N510" i="107"/>
  <c r="N502" i="107"/>
  <c r="N494" i="107"/>
  <c r="N486" i="107"/>
  <c r="N478" i="107"/>
  <c r="N470" i="107"/>
  <c r="N462" i="107"/>
  <c r="N454" i="107"/>
  <c r="N446" i="107"/>
  <c r="N438" i="107"/>
  <c r="N430" i="107"/>
  <c r="N422" i="107"/>
  <c r="N414" i="107"/>
  <c r="N406" i="107"/>
  <c r="N398" i="107"/>
  <c r="N390" i="107"/>
  <c r="N382" i="107"/>
  <c r="N374" i="107"/>
  <c r="N366" i="107"/>
  <c r="N358" i="107"/>
  <c r="N350" i="107"/>
  <c r="N342" i="107"/>
  <c r="N334" i="107"/>
  <c r="N326" i="107"/>
  <c r="N318" i="107"/>
  <c r="N310" i="107"/>
  <c r="N302" i="107"/>
  <c r="N294" i="107"/>
  <c r="N286" i="107"/>
  <c r="N278" i="107"/>
  <c r="N270" i="107"/>
  <c r="N262" i="107"/>
  <c r="N254" i="107"/>
  <c r="N246" i="107"/>
  <c r="N238" i="107"/>
  <c r="N230" i="107"/>
  <c r="N222" i="107"/>
  <c r="N214" i="107"/>
  <c r="N206" i="107"/>
  <c r="N198" i="107"/>
  <c r="N190" i="107"/>
  <c r="N182" i="107"/>
  <c r="N174" i="107"/>
  <c r="N166" i="107"/>
  <c r="N158" i="107"/>
  <c r="N805" i="107"/>
  <c r="N797" i="107"/>
  <c r="N789" i="107"/>
  <c r="N781" i="107"/>
  <c r="N773" i="107"/>
  <c r="N765" i="107"/>
  <c r="N757" i="107"/>
  <c r="N749" i="107"/>
  <c r="N741" i="107"/>
  <c r="N733" i="107"/>
  <c r="N725" i="107"/>
  <c r="N717" i="107"/>
  <c r="N709" i="107"/>
  <c r="N701" i="107"/>
  <c r="N693" i="107"/>
  <c r="N685" i="107"/>
  <c r="N677" i="107"/>
  <c r="N669" i="107"/>
  <c r="N661" i="107"/>
  <c r="N653" i="107"/>
  <c r="N645" i="107"/>
  <c r="N637" i="107"/>
  <c r="N629" i="107"/>
  <c r="N621" i="107"/>
  <c r="N613" i="107"/>
  <c r="N605" i="107"/>
  <c r="N597" i="107"/>
  <c r="N589" i="107"/>
  <c r="N581" i="107"/>
  <c r="N573" i="107"/>
  <c r="N565" i="107"/>
  <c r="N557" i="107"/>
  <c r="N549" i="107"/>
  <c r="N541" i="107"/>
  <c r="N533" i="107"/>
  <c r="N525" i="107"/>
  <c r="N517" i="107"/>
  <c r="N509" i="107"/>
  <c r="N501" i="107"/>
  <c r="N493" i="107"/>
  <c r="N485" i="107"/>
  <c r="N477" i="107"/>
  <c r="N469" i="107"/>
  <c r="N461" i="107"/>
  <c r="N453" i="107"/>
  <c r="N445" i="107"/>
  <c r="N437" i="107"/>
  <c r="N429" i="107"/>
  <c r="N421" i="107"/>
  <c r="N413" i="107"/>
  <c r="N405" i="107"/>
  <c r="N397" i="107"/>
  <c r="N389" i="107"/>
  <c r="N381" i="107"/>
  <c r="N373" i="107"/>
  <c r="N365" i="107"/>
  <c r="N357" i="107"/>
  <c r="N349" i="107"/>
  <c r="N341" i="107"/>
  <c r="N333" i="107"/>
  <c r="N325" i="107"/>
  <c r="N317" i="107"/>
  <c r="N309" i="107"/>
  <c r="N301" i="107"/>
  <c r="N293" i="107"/>
  <c r="N285" i="107"/>
  <c r="N277" i="107"/>
  <c r="N269" i="107"/>
  <c r="N261" i="107"/>
  <c r="N253" i="107"/>
  <c r="N245" i="107"/>
  <c r="N237" i="107"/>
  <c r="N229" i="107"/>
  <c r="N221" i="107"/>
  <c r="N213" i="107"/>
  <c r="N205" i="107"/>
  <c r="N197" i="107"/>
  <c r="N189" i="107"/>
  <c r="N181" i="107"/>
  <c r="N173" i="107"/>
  <c r="N165" i="107"/>
  <c r="N157" i="107"/>
  <c r="N149" i="107"/>
  <c r="N141" i="107"/>
  <c r="N14" i="107"/>
  <c r="N22" i="107"/>
  <c r="N30" i="107"/>
  <c r="N38" i="107"/>
  <c r="N46" i="107"/>
  <c r="N54" i="107"/>
  <c r="N62" i="107"/>
  <c r="N70" i="107"/>
  <c r="N78" i="107"/>
  <c r="N86" i="107"/>
  <c r="N94" i="107"/>
  <c r="N102" i="107"/>
  <c r="N110" i="107"/>
  <c r="N118" i="107"/>
  <c r="N126" i="107"/>
  <c r="N134" i="107"/>
  <c r="N144" i="107"/>
  <c r="N180" i="107"/>
  <c r="N244" i="107"/>
  <c r="N308" i="107"/>
  <c r="N372" i="107"/>
  <c r="N436" i="107"/>
  <c r="N500" i="107"/>
  <c r="N564" i="107"/>
  <c r="N628" i="107"/>
  <c r="N692" i="107"/>
  <c r="N756" i="107"/>
  <c r="N620" i="107"/>
  <c r="N15" i="107"/>
  <c r="N23" i="107"/>
  <c r="N31" i="107"/>
  <c r="N39" i="107"/>
  <c r="N47" i="107"/>
  <c r="N55" i="107"/>
  <c r="N63" i="107"/>
  <c r="N71" i="107"/>
  <c r="N79" i="107"/>
  <c r="N87" i="107"/>
  <c r="N95" i="107"/>
  <c r="N103" i="107"/>
  <c r="N111" i="107"/>
  <c r="N119" i="107"/>
  <c r="N127" i="107"/>
  <c r="N135" i="107"/>
  <c r="N145" i="107"/>
  <c r="N188" i="107"/>
  <c r="N252" i="107"/>
  <c r="N316" i="107"/>
  <c r="N380" i="107"/>
  <c r="N444" i="107"/>
  <c r="N508" i="107"/>
  <c r="N572" i="107"/>
  <c r="N636" i="107"/>
  <c r="N700" i="107"/>
  <c r="N764" i="107"/>
  <c r="N143" i="107"/>
  <c r="N236" i="107"/>
  <c r="N364" i="107"/>
  <c r="N428" i="107"/>
  <c r="N492" i="107"/>
  <c r="N556" i="107"/>
  <c r="N748" i="107"/>
  <c r="N16" i="107"/>
  <c r="N32" i="107"/>
  <c r="N48" i="107"/>
  <c r="N64" i="107"/>
  <c r="N72" i="107"/>
  <c r="N80" i="107"/>
  <c r="N88" i="107"/>
  <c r="N96" i="107"/>
  <c r="N104" i="107"/>
  <c r="N112" i="107"/>
  <c r="N120" i="107"/>
  <c r="N128" i="107"/>
  <c r="N136" i="107"/>
  <c r="N147" i="107"/>
  <c r="N196" i="107"/>
  <c r="N260" i="107"/>
  <c r="N324" i="107"/>
  <c r="N388" i="107"/>
  <c r="N452" i="107"/>
  <c r="N516" i="107"/>
  <c r="N580" i="107"/>
  <c r="N644" i="107"/>
  <c r="N708" i="107"/>
  <c r="N772" i="107"/>
  <c r="N172" i="107"/>
  <c r="N300" i="107"/>
  <c r="N684" i="107"/>
  <c r="N24" i="107"/>
  <c r="N40" i="107"/>
  <c r="N56" i="107"/>
  <c r="N11" i="107"/>
  <c r="N17" i="107"/>
  <c r="N25" i="107"/>
  <c r="N33" i="107"/>
  <c r="N41" i="107"/>
  <c r="N49" i="107"/>
  <c r="N57" i="107"/>
  <c r="N65" i="107"/>
  <c r="N73" i="107"/>
  <c r="N81" i="107"/>
  <c r="N89" i="107"/>
  <c r="N97" i="107"/>
  <c r="N105" i="107"/>
  <c r="N113" i="107"/>
  <c r="N121" i="107"/>
  <c r="N129" i="107"/>
  <c r="N137" i="107"/>
  <c r="N148" i="107"/>
  <c r="N204" i="107"/>
  <c r="N268" i="107"/>
  <c r="N332" i="107"/>
  <c r="N396" i="107"/>
  <c r="N460" i="107"/>
  <c r="N524" i="107"/>
  <c r="N588" i="107"/>
  <c r="N652" i="107"/>
  <c r="N716" i="107"/>
  <c r="N780" i="107"/>
  <c r="N82" i="107"/>
  <c r="N90" i="107"/>
  <c r="N98" i="107"/>
  <c r="N106" i="107"/>
  <c r="N114" i="107"/>
  <c r="N122" i="107"/>
  <c r="N130" i="107"/>
  <c r="N139" i="107"/>
  <c r="N150" i="107"/>
  <c r="N212" i="107"/>
  <c r="N276" i="107"/>
  <c r="N340" i="107"/>
  <c r="N404" i="107"/>
  <c r="N468" i="107"/>
  <c r="N532" i="107"/>
  <c r="N596" i="107"/>
  <c r="N660" i="107"/>
  <c r="N724" i="107"/>
  <c r="N788" i="107"/>
  <c r="N12" i="107"/>
  <c r="N19" i="107"/>
  <c r="N27" i="107"/>
  <c r="N35" i="107"/>
  <c r="N43" i="107"/>
  <c r="N51" i="107"/>
  <c r="N59" i="107"/>
  <c r="N67" i="107"/>
  <c r="N75" i="107"/>
  <c r="N83" i="107"/>
  <c r="N91" i="107"/>
  <c r="N99" i="107"/>
  <c r="N107" i="107"/>
  <c r="N115" i="107"/>
  <c r="N123" i="107"/>
  <c r="N131" i="107"/>
  <c r="N140" i="107"/>
  <c r="N156" i="107"/>
  <c r="N220" i="107"/>
  <c r="N284" i="107"/>
  <c r="N348" i="107"/>
  <c r="N412" i="107"/>
  <c r="N476" i="107"/>
  <c r="N540" i="107"/>
  <c r="N604" i="107"/>
  <c r="N668" i="107"/>
  <c r="N732" i="107"/>
  <c r="N796" i="107"/>
  <c r="N49" i="106"/>
  <c r="N113" i="106"/>
  <c r="N252" i="106"/>
  <c r="N422" i="106"/>
  <c r="N595" i="106"/>
  <c r="N11" i="106"/>
  <c r="N57" i="106"/>
  <c r="N121" i="106"/>
  <c r="N275" i="106"/>
  <c r="N444" i="106"/>
  <c r="N614" i="106"/>
  <c r="N294" i="106"/>
  <c r="N636" i="106"/>
  <c r="N73" i="106"/>
  <c r="N147" i="106"/>
  <c r="N316" i="106"/>
  <c r="N486" i="106"/>
  <c r="N659" i="106"/>
  <c r="N678" i="106"/>
  <c r="N65" i="106"/>
  <c r="N129" i="106"/>
  <c r="N467" i="106"/>
  <c r="N17" i="106"/>
  <c r="N81" i="106"/>
  <c r="N166" i="106"/>
  <c r="N339" i="106"/>
  <c r="N508" i="106"/>
  <c r="N25" i="106"/>
  <c r="N89" i="106"/>
  <c r="N188" i="106"/>
  <c r="N358" i="106"/>
  <c r="N531" i="106"/>
  <c r="N700" i="106"/>
  <c r="N33" i="106"/>
  <c r="N97" i="106"/>
  <c r="N211" i="106"/>
  <c r="N380" i="106"/>
  <c r="N550" i="106"/>
  <c r="N742" i="106"/>
  <c r="N41" i="106"/>
  <c r="N105" i="106"/>
  <c r="N230" i="106"/>
  <c r="N403" i="106"/>
  <c r="N572" i="106"/>
  <c r="N764" i="106"/>
  <c r="N787" i="106"/>
  <c r="N18" i="106"/>
  <c r="N26" i="106"/>
  <c r="N34" i="106"/>
  <c r="N42" i="106"/>
  <c r="N50" i="106"/>
  <c r="N58" i="106"/>
  <c r="N66" i="106"/>
  <c r="N74" i="106"/>
  <c r="N82" i="106"/>
  <c r="N90" i="106"/>
  <c r="N98" i="106"/>
  <c r="N106" i="106"/>
  <c r="N114" i="106"/>
  <c r="N122" i="106"/>
  <c r="N130" i="106"/>
  <c r="N148" i="106"/>
  <c r="N171" i="106"/>
  <c r="N190" i="106"/>
  <c r="N212" i="106"/>
  <c r="N235" i="106"/>
  <c r="N254" i="106"/>
  <c r="N276" i="106"/>
  <c r="N299" i="106"/>
  <c r="N318" i="106"/>
  <c r="N340" i="106"/>
  <c r="N363" i="106"/>
  <c r="N382" i="106"/>
  <c r="N404" i="106"/>
  <c r="N427" i="106"/>
  <c r="N446" i="106"/>
  <c r="N468" i="106"/>
  <c r="N491" i="106"/>
  <c r="N510" i="106"/>
  <c r="N532" i="106"/>
  <c r="N555" i="106"/>
  <c r="N574" i="106"/>
  <c r="N596" i="106"/>
  <c r="N619" i="106"/>
  <c r="N638" i="106"/>
  <c r="N660" i="106"/>
  <c r="N683" i="106"/>
  <c r="N702" i="106"/>
  <c r="N724" i="106"/>
  <c r="N747" i="106"/>
  <c r="N766" i="106"/>
  <c r="N788" i="106"/>
  <c r="N723" i="106"/>
  <c r="N27" i="106"/>
  <c r="N35" i="106"/>
  <c r="N43" i="106"/>
  <c r="N51" i="106"/>
  <c r="N59" i="106"/>
  <c r="N67" i="106"/>
  <c r="N75" i="106"/>
  <c r="N83" i="106"/>
  <c r="N91" i="106"/>
  <c r="N99" i="106"/>
  <c r="N107" i="106"/>
  <c r="N115" i="106"/>
  <c r="N123" i="106"/>
  <c r="N131" i="106"/>
  <c r="N150" i="106"/>
  <c r="N172" i="106"/>
  <c r="N195" i="106"/>
  <c r="N214" i="106"/>
  <c r="N236" i="106"/>
  <c r="N259" i="106"/>
  <c r="N278" i="106"/>
  <c r="N300" i="106"/>
  <c r="N323" i="106"/>
  <c r="N342" i="106"/>
  <c r="N364" i="106"/>
  <c r="N387" i="106"/>
  <c r="N406" i="106"/>
  <c r="N428" i="106"/>
  <c r="N451" i="106"/>
  <c r="N470" i="106"/>
  <c r="N492" i="106"/>
  <c r="N515" i="106"/>
  <c r="N534" i="106"/>
  <c r="N556" i="106"/>
  <c r="N579" i="106"/>
  <c r="N598" i="106"/>
  <c r="N620" i="106"/>
  <c r="N643" i="106"/>
  <c r="N662" i="106"/>
  <c r="N684" i="106"/>
  <c r="N707" i="106"/>
  <c r="N726" i="106"/>
  <c r="N748" i="106"/>
  <c r="N771" i="106"/>
  <c r="N790" i="106"/>
  <c r="N28" i="106"/>
  <c r="N36" i="106"/>
  <c r="N44" i="106"/>
  <c r="N60" i="106"/>
  <c r="N68" i="106"/>
  <c r="N76" i="106"/>
  <c r="N84" i="106"/>
  <c r="N92" i="106"/>
  <c r="N100" i="106"/>
  <c r="N108" i="106"/>
  <c r="N116" i="106"/>
  <c r="N124" i="106"/>
  <c r="N132" i="106"/>
  <c r="N155" i="106"/>
  <c r="N174" i="106"/>
  <c r="N196" i="106"/>
  <c r="N219" i="106"/>
  <c r="N238" i="106"/>
  <c r="N260" i="106"/>
  <c r="N283" i="106"/>
  <c r="N302" i="106"/>
  <c r="N324" i="106"/>
  <c r="N347" i="106"/>
  <c r="N366" i="106"/>
  <c r="N388" i="106"/>
  <c r="N411" i="106"/>
  <c r="N430" i="106"/>
  <c r="N452" i="106"/>
  <c r="N475" i="106"/>
  <c r="N494" i="106"/>
  <c r="N516" i="106"/>
  <c r="N539" i="106"/>
  <c r="N558" i="106"/>
  <c r="N580" i="106"/>
  <c r="N603" i="106"/>
  <c r="N622" i="106"/>
  <c r="N644" i="106"/>
  <c r="N667" i="106"/>
  <c r="N686" i="106"/>
  <c r="N708" i="106"/>
  <c r="N731" i="106"/>
  <c r="N750" i="106"/>
  <c r="N772" i="106"/>
  <c r="N795" i="106"/>
  <c r="N20" i="106"/>
  <c r="N52" i="106"/>
  <c r="N13" i="106"/>
  <c r="N21" i="106"/>
  <c r="N29" i="106"/>
  <c r="N37" i="106"/>
  <c r="N45" i="106"/>
  <c r="N53" i="106"/>
  <c r="N61" i="106"/>
  <c r="N69" i="106"/>
  <c r="N77" i="106"/>
  <c r="N85" i="106"/>
  <c r="N93" i="106"/>
  <c r="N101" i="106"/>
  <c r="N109" i="106"/>
  <c r="N117" i="106"/>
  <c r="N125" i="106"/>
  <c r="N134" i="106"/>
  <c r="N156" i="106"/>
  <c r="N179" i="106"/>
  <c r="N198" i="106"/>
  <c r="N220" i="106"/>
  <c r="N243" i="106"/>
  <c r="N262" i="106"/>
  <c r="N284" i="106"/>
  <c r="N307" i="106"/>
  <c r="N326" i="106"/>
  <c r="N348" i="106"/>
  <c r="N371" i="106"/>
  <c r="N390" i="106"/>
  <c r="N412" i="106"/>
  <c r="N435" i="106"/>
  <c r="N454" i="106"/>
  <c r="N476" i="106"/>
  <c r="N499" i="106"/>
  <c r="N518" i="106"/>
  <c r="N540" i="106"/>
  <c r="N563" i="106"/>
  <c r="N582" i="106"/>
  <c r="N604" i="106"/>
  <c r="N627" i="106"/>
  <c r="N646" i="106"/>
  <c r="N668" i="106"/>
  <c r="N691" i="106"/>
  <c r="N710" i="106"/>
  <c r="N732" i="106"/>
  <c r="N755" i="106"/>
  <c r="N774" i="106"/>
  <c r="N811" i="106"/>
  <c r="N810" i="106"/>
  <c r="N802" i="106"/>
  <c r="N794" i="106"/>
  <c r="N786" i="106"/>
  <c r="N778" i="106"/>
  <c r="N770" i="106"/>
  <c r="N762" i="106"/>
  <c r="N754" i="106"/>
  <c r="N746" i="106"/>
  <c r="N738" i="106"/>
  <c r="N730" i="106"/>
  <c r="N722" i="106"/>
  <c r="N714" i="106"/>
  <c r="N706" i="106"/>
  <c r="N698" i="106"/>
  <c r="N690" i="106"/>
  <c r="N682" i="106"/>
  <c r="N674" i="106"/>
  <c r="N666" i="106"/>
  <c r="N658" i="106"/>
  <c r="N650" i="106"/>
  <c r="N642" i="106"/>
  <c r="N634" i="106"/>
  <c r="N626" i="106"/>
  <c r="N618" i="106"/>
  <c r="N610" i="106"/>
  <c r="N602" i="106"/>
  <c r="N594" i="106"/>
  <c r="N586" i="106"/>
  <c r="N578" i="106"/>
  <c r="N570" i="106"/>
  <c r="N562" i="106"/>
  <c r="N554" i="106"/>
  <c r="N546" i="106"/>
  <c r="N538" i="106"/>
  <c r="N530" i="106"/>
  <c r="N522" i="106"/>
  <c r="N514" i="106"/>
  <c r="N506" i="106"/>
  <c r="N498" i="106"/>
  <c r="N490" i="106"/>
  <c r="N482" i="106"/>
  <c r="N474" i="106"/>
  <c r="N466" i="106"/>
  <c r="N458" i="106"/>
  <c r="N450" i="106"/>
  <c r="N442" i="106"/>
  <c r="N434" i="106"/>
  <c r="N426" i="106"/>
  <c r="N418" i="106"/>
  <c r="N410" i="106"/>
  <c r="N402" i="106"/>
  <c r="N394" i="106"/>
  <c r="N386" i="106"/>
  <c r="N378" i="106"/>
  <c r="N370" i="106"/>
  <c r="N362" i="106"/>
  <c r="N354" i="106"/>
  <c r="N346" i="106"/>
  <c r="N338" i="106"/>
  <c r="N330" i="106"/>
  <c r="N322" i="106"/>
  <c r="N314" i="106"/>
  <c r="N306" i="106"/>
  <c r="N298" i="106"/>
  <c r="N290" i="106"/>
  <c r="N282" i="106"/>
  <c r="N274" i="106"/>
  <c r="N266" i="106"/>
  <c r="N258" i="106"/>
  <c r="N250" i="106"/>
  <c r="N242" i="106"/>
  <c r="N234" i="106"/>
  <c r="N226" i="106"/>
  <c r="N218" i="106"/>
  <c r="N210" i="106"/>
  <c r="N202" i="106"/>
  <c r="N194" i="106"/>
  <c r="N186" i="106"/>
  <c r="N178" i="106"/>
  <c r="N170" i="106"/>
  <c r="N162" i="106"/>
  <c r="N154" i="106"/>
  <c r="N146" i="106"/>
  <c r="N138" i="106"/>
  <c r="N809" i="106"/>
  <c r="N801" i="106"/>
  <c r="N793" i="106"/>
  <c r="N785" i="106"/>
  <c r="N777" i="106"/>
  <c r="N769" i="106"/>
  <c r="N761" i="106"/>
  <c r="N753" i="106"/>
  <c r="N745" i="106"/>
  <c r="N737" i="106"/>
  <c r="N729" i="106"/>
  <c r="N721" i="106"/>
  <c r="N713" i="106"/>
  <c r="N705" i="106"/>
  <c r="N697" i="106"/>
  <c r="N689" i="106"/>
  <c r="N681" i="106"/>
  <c r="N673" i="106"/>
  <c r="N665" i="106"/>
  <c r="N657" i="106"/>
  <c r="N649" i="106"/>
  <c r="N641" i="106"/>
  <c r="N633" i="106"/>
  <c r="N625" i="106"/>
  <c r="N617" i="106"/>
  <c r="N609" i="106"/>
  <c r="N601" i="106"/>
  <c r="N593" i="106"/>
  <c r="N585" i="106"/>
  <c r="N577" i="106"/>
  <c r="N569" i="106"/>
  <c r="N561" i="106"/>
  <c r="N553" i="106"/>
  <c r="N545" i="106"/>
  <c r="N537" i="106"/>
  <c r="N529" i="106"/>
  <c r="N521" i="106"/>
  <c r="N513" i="106"/>
  <c r="N505" i="106"/>
  <c r="N497" i="106"/>
  <c r="N489" i="106"/>
  <c r="N481" i="106"/>
  <c r="N473" i="106"/>
  <c r="N465" i="106"/>
  <c r="N457" i="106"/>
  <c r="N449" i="106"/>
  <c r="N441" i="106"/>
  <c r="N433" i="106"/>
  <c r="N425" i="106"/>
  <c r="N417" i="106"/>
  <c r="N409" i="106"/>
  <c r="N401" i="106"/>
  <c r="N393" i="106"/>
  <c r="N385" i="106"/>
  <c r="N377" i="106"/>
  <c r="N369" i="106"/>
  <c r="N361" i="106"/>
  <c r="N353" i="106"/>
  <c r="N345" i="106"/>
  <c r="N337" i="106"/>
  <c r="N329" i="106"/>
  <c r="N321" i="106"/>
  <c r="N313" i="106"/>
  <c r="N305" i="106"/>
  <c r="N297" i="106"/>
  <c r="N289" i="106"/>
  <c r="N281" i="106"/>
  <c r="N273" i="106"/>
  <c r="N265" i="106"/>
  <c r="N257" i="106"/>
  <c r="N249" i="106"/>
  <c r="N241" i="106"/>
  <c r="N233" i="106"/>
  <c r="N225" i="106"/>
  <c r="N217" i="106"/>
  <c r="N209" i="106"/>
  <c r="N201" i="106"/>
  <c r="N193" i="106"/>
  <c r="N185" i="106"/>
  <c r="N177" i="106"/>
  <c r="N169" i="106"/>
  <c r="N161" i="106"/>
  <c r="N153" i="106"/>
  <c r="N145" i="106"/>
  <c r="N137" i="106"/>
  <c r="N808" i="106"/>
  <c r="N800" i="106"/>
  <c r="N792" i="106"/>
  <c r="N784" i="106"/>
  <c r="N776" i="106"/>
  <c r="N768" i="106"/>
  <c r="N760" i="106"/>
  <c r="N752" i="106"/>
  <c r="N744" i="106"/>
  <c r="N736" i="106"/>
  <c r="N728" i="106"/>
  <c r="N720" i="106"/>
  <c r="N712" i="106"/>
  <c r="N704" i="106"/>
  <c r="N696" i="106"/>
  <c r="N688" i="106"/>
  <c r="N680" i="106"/>
  <c r="N672" i="106"/>
  <c r="N664" i="106"/>
  <c r="N656" i="106"/>
  <c r="N648" i="106"/>
  <c r="N640" i="106"/>
  <c r="N632" i="106"/>
  <c r="N624" i="106"/>
  <c r="N616" i="106"/>
  <c r="N608" i="106"/>
  <c r="N600" i="106"/>
  <c r="N592" i="106"/>
  <c r="N584" i="106"/>
  <c r="N576" i="106"/>
  <c r="N568" i="106"/>
  <c r="N560" i="106"/>
  <c r="N552" i="106"/>
  <c r="N544" i="106"/>
  <c r="N536" i="106"/>
  <c r="N528" i="106"/>
  <c r="N520" i="106"/>
  <c r="N512" i="106"/>
  <c r="N504" i="106"/>
  <c r="N496" i="106"/>
  <c r="N488" i="106"/>
  <c r="N480" i="106"/>
  <c r="N472" i="106"/>
  <c r="N464" i="106"/>
  <c r="N456" i="106"/>
  <c r="N448" i="106"/>
  <c r="N440" i="106"/>
  <c r="N432" i="106"/>
  <c r="N424" i="106"/>
  <c r="N416" i="106"/>
  <c r="N408" i="106"/>
  <c r="N400" i="106"/>
  <c r="N392" i="106"/>
  <c r="N384" i="106"/>
  <c r="N376" i="106"/>
  <c r="N368" i="106"/>
  <c r="N360" i="106"/>
  <c r="N352" i="106"/>
  <c r="N344" i="106"/>
  <c r="N336" i="106"/>
  <c r="N328" i="106"/>
  <c r="N320" i="106"/>
  <c r="N312" i="106"/>
  <c r="N304" i="106"/>
  <c r="N296" i="106"/>
  <c r="N288" i="106"/>
  <c r="N280" i="106"/>
  <c r="N272" i="106"/>
  <c r="N264" i="106"/>
  <c r="N256" i="106"/>
  <c r="N248" i="106"/>
  <c r="N240" i="106"/>
  <c r="N232" i="106"/>
  <c r="N224" i="106"/>
  <c r="N216" i="106"/>
  <c r="N208" i="106"/>
  <c r="N200" i="106"/>
  <c r="N192" i="106"/>
  <c r="N184" i="106"/>
  <c r="N176" i="106"/>
  <c r="N168" i="106"/>
  <c r="N160" i="106"/>
  <c r="N152" i="106"/>
  <c r="N144" i="106"/>
  <c r="N136" i="106"/>
  <c r="N807" i="106"/>
  <c r="N799" i="106"/>
  <c r="N791" i="106"/>
  <c r="N783" i="106"/>
  <c r="N775" i="106"/>
  <c r="N767" i="106"/>
  <c r="N759" i="106"/>
  <c r="N751" i="106"/>
  <c r="N743" i="106"/>
  <c r="N735" i="106"/>
  <c r="N727" i="106"/>
  <c r="N719" i="106"/>
  <c r="N711" i="106"/>
  <c r="N703" i="106"/>
  <c r="N695" i="106"/>
  <c r="N687" i="106"/>
  <c r="N679" i="106"/>
  <c r="N671" i="106"/>
  <c r="N663" i="106"/>
  <c r="N655" i="106"/>
  <c r="N647" i="106"/>
  <c r="N639" i="106"/>
  <c r="N631" i="106"/>
  <c r="N623" i="106"/>
  <c r="N615" i="106"/>
  <c r="N607" i="106"/>
  <c r="N599" i="106"/>
  <c r="N591" i="106"/>
  <c r="N583" i="106"/>
  <c r="N575" i="106"/>
  <c r="N567" i="106"/>
  <c r="N559" i="106"/>
  <c r="N551" i="106"/>
  <c r="N543" i="106"/>
  <c r="N535" i="106"/>
  <c r="N527" i="106"/>
  <c r="N519" i="106"/>
  <c r="N511" i="106"/>
  <c r="N503" i="106"/>
  <c r="N495" i="106"/>
  <c r="N487" i="106"/>
  <c r="N479" i="106"/>
  <c r="N471" i="106"/>
  <c r="N463" i="106"/>
  <c r="N455" i="106"/>
  <c r="N447" i="106"/>
  <c r="N439" i="106"/>
  <c r="N431" i="106"/>
  <c r="N423" i="106"/>
  <c r="N415" i="106"/>
  <c r="N407" i="106"/>
  <c r="N399" i="106"/>
  <c r="N391" i="106"/>
  <c r="N383" i="106"/>
  <c r="N375" i="106"/>
  <c r="N367" i="106"/>
  <c r="N359" i="106"/>
  <c r="N351" i="106"/>
  <c r="N343" i="106"/>
  <c r="N335" i="106"/>
  <c r="N327" i="106"/>
  <c r="N319" i="106"/>
  <c r="N311" i="106"/>
  <c r="N303" i="106"/>
  <c r="N295" i="106"/>
  <c r="N287" i="106"/>
  <c r="N279" i="106"/>
  <c r="N271" i="106"/>
  <c r="N263" i="106"/>
  <c r="N255" i="106"/>
  <c r="N247" i="106"/>
  <c r="N239" i="106"/>
  <c r="N231" i="106"/>
  <c r="N223" i="106"/>
  <c r="N215" i="106"/>
  <c r="N207" i="106"/>
  <c r="N199" i="106"/>
  <c r="N191" i="106"/>
  <c r="N183" i="106"/>
  <c r="N175" i="106"/>
  <c r="N167" i="106"/>
  <c r="N159" i="106"/>
  <c r="N151" i="106"/>
  <c r="N143" i="106"/>
  <c r="N135" i="106"/>
  <c r="N806" i="106"/>
  <c r="N805" i="106"/>
  <c r="N797" i="106"/>
  <c r="N789" i="106"/>
  <c r="N781" i="106"/>
  <c r="N773" i="106"/>
  <c r="N765" i="106"/>
  <c r="N757" i="106"/>
  <c r="N749" i="106"/>
  <c r="N741" i="106"/>
  <c r="N733" i="106"/>
  <c r="N725" i="106"/>
  <c r="N717" i="106"/>
  <c r="N709" i="106"/>
  <c r="N701" i="106"/>
  <c r="N693" i="106"/>
  <c r="N685" i="106"/>
  <c r="N677" i="106"/>
  <c r="N669" i="106"/>
  <c r="N661" i="106"/>
  <c r="N653" i="106"/>
  <c r="N645" i="106"/>
  <c r="N637" i="106"/>
  <c r="N629" i="106"/>
  <c r="N621" i="106"/>
  <c r="N613" i="106"/>
  <c r="N605" i="106"/>
  <c r="N597" i="106"/>
  <c r="N589" i="106"/>
  <c r="N581" i="106"/>
  <c r="N573" i="106"/>
  <c r="N565" i="106"/>
  <c r="N557" i="106"/>
  <c r="N549" i="106"/>
  <c r="N541" i="106"/>
  <c r="N533" i="106"/>
  <c r="N525" i="106"/>
  <c r="N517" i="106"/>
  <c r="N509" i="106"/>
  <c r="N501" i="106"/>
  <c r="N493" i="106"/>
  <c r="N485" i="106"/>
  <c r="N477" i="106"/>
  <c r="N469" i="106"/>
  <c r="N461" i="106"/>
  <c r="N453" i="106"/>
  <c r="N445" i="106"/>
  <c r="N437" i="106"/>
  <c r="N429" i="106"/>
  <c r="N421" i="106"/>
  <c r="N413" i="106"/>
  <c r="N405" i="106"/>
  <c r="N397" i="106"/>
  <c r="N389" i="106"/>
  <c r="N381" i="106"/>
  <c r="N373" i="106"/>
  <c r="N365" i="106"/>
  <c r="N357" i="106"/>
  <c r="N349" i="106"/>
  <c r="N341" i="106"/>
  <c r="N333" i="106"/>
  <c r="N325" i="106"/>
  <c r="N317" i="106"/>
  <c r="N309" i="106"/>
  <c r="N301" i="106"/>
  <c r="N293" i="106"/>
  <c r="N285" i="106"/>
  <c r="N277" i="106"/>
  <c r="N269" i="106"/>
  <c r="N261" i="106"/>
  <c r="N253" i="106"/>
  <c r="N245" i="106"/>
  <c r="N237" i="106"/>
  <c r="N229" i="106"/>
  <c r="N221" i="106"/>
  <c r="N213" i="106"/>
  <c r="N205" i="106"/>
  <c r="N197" i="106"/>
  <c r="N189" i="106"/>
  <c r="N181" i="106"/>
  <c r="N173" i="106"/>
  <c r="N165" i="106"/>
  <c r="N157" i="106"/>
  <c r="N149" i="106"/>
  <c r="N141" i="106"/>
  <c r="N133" i="106"/>
  <c r="N14" i="106"/>
  <c r="N22" i="106"/>
  <c r="N30" i="106"/>
  <c r="N38" i="106"/>
  <c r="N46" i="106"/>
  <c r="N54" i="106"/>
  <c r="N62" i="106"/>
  <c r="N70" i="106"/>
  <c r="N78" i="106"/>
  <c r="N86" i="106"/>
  <c r="N94" i="106"/>
  <c r="N102" i="106"/>
  <c r="N110" i="106"/>
  <c r="N118" i="106"/>
  <c r="N126" i="106"/>
  <c r="N139" i="106"/>
  <c r="N158" i="106"/>
  <c r="N180" i="106"/>
  <c r="N203" i="106"/>
  <c r="N222" i="106"/>
  <c r="N244" i="106"/>
  <c r="N267" i="106"/>
  <c r="N286" i="106"/>
  <c r="N308" i="106"/>
  <c r="N331" i="106"/>
  <c r="N350" i="106"/>
  <c r="N372" i="106"/>
  <c r="N395" i="106"/>
  <c r="N414" i="106"/>
  <c r="N436" i="106"/>
  <c r="N459" i="106"/>
  <c r="N478" i="106"/>
  <c r="N500" i="106"/>
  <c r="N523" i="106"/>
  <c r="N542" i="106"/>
  <c r="N564" i="106"/>
  <c r="N587" i="106"/>
  <c r="N606" i="106"/>
  <c r="N628" i="106"/>
  <c r="N651" i="106"/>
  <c r="N670" i="106"/>
  <c r="N692" i="106"/>
  <c r="N715" i="106"/>
  <c r="N734" i="106"/>
  <c r="N756" i="106"/>
  <c r="N779" i="106"/>
  <c r="N798" i="106"/>
  <c r="N19" i="106"/>
  <c r="N15" i="106"/>
  <c r="N23" i="106"/>
  <c r="N31" i="106"/>
  <c r="N39" i="106"/>
  <c r="N47" i="106"/>
  <c r="N55" i="106"/>
  <c r="N63" i="106"/>
  <c r="N71" i="106"/>
  <c r="N79" i="106"/>
  <c r="N87" i="106"/>
  <c r="N95" i="106"/>
  <c r="N103" i="106"/>
  <c r="N111" i="106"/>
  <c r="N119" i="106"/>
  <c r="N127" i="106"/>
  <c r="N140" i="106"/>
  <c r="N163" i="106"/>
  <c r="N182" i="106"/>
  <c r="N204" i="106"/>
  <c r="N227" i="106"/>
  <c r="N246" i="106"/>
  <c r="N268" i="106"/>
  <c r="N291" i="106"/>
  <c r="N310" i="106"/>
  <c r="N332" i="106"/>
  <c r="N355" i="106"/>
  <c r="N374" i="106"/>
  <c r="N396" i="106"/>
  <c r="N419" i="106"/>
  <c r="N438" i="106"/>
  <c r="N460" i="106"/>
  <c r="N483" i="106"/>
  <c r="N502" i="106"/>
  <c r="N524" i="106"/>
  <c r="N547" i="106"/>
  <c r="N566" i="106"/>
  <c r="N588" i="106"/>
  <c r="N611" i="106"/>
  <c r="N630" i="106"/>
  <c r="N652" i="106"/>
  <c r="N675" i="106"/>
  <c r="N694" i="106"/>
  <c r="N716" i="106"/>
  <c r="N739" i="106"/>
  <c r="N758" i="106"/>
  <c r="N780" i="106"/>
  <c r="N803" i="106"/>
  <c r="N12" i="106"/>
  <c r="N16" i="106"/>
  <c r="N24" i="106"/>
  <c r="N32" i="106"/>
  <c r="N40" i="106"/>
  <c r="N48" i="106"/>
  <c r="N56" i="106"/>
  <c r="N64" i="106"/>
  <c r="N72" i="106"/>
  <c r="N80" i="106"/>
  <c r="N88" i="106"/>
  <c r="N96" i="106"/>
  <c r="N104" i="106"/>
  <c r="N112" i="106"/>
  <c r="N120" i="106"/>
  <c r="N128" i="106"/>
  <c r="N142" i="106"/>
  <c r="N164" i="106"/>
  <c r="N187" i="106"/>
  <c r="N206" i="106"/>
  <c r="N228" i="106"/>
  <c r="N251" i="106"/>
  <c r="N270" i="106"/>
  <c r="N292" i="106"/>
  <c r="N315" i="106"/>
  <c r="N334" i="106"/>
  <c r="N356" i="106"/>
  <c r="N379" i="106"/>
  <c r="N398" i="106"/>
  <c r="N420" i="106"/>
  <c r="N443" i="106"/>
  <c r="N462" i="106"/>
  <c r="N484" i="106"/>
  <c r="N507" i="106"/>
  <c r="N526" i="106"/>
  <c r="N548" i="106"/>
  <c r="N571" i="106"/>
  <c r="N590" i="106"/>
  <c r="N612" i="106"/>
  <c r="N635" i="106"/>
  <c r="N654" i="106"/>
  <c r="N676" i="106"/>
  <c r="N699" i="106"/>
  <c r="N718" i="106"/>
  <c r="N740" i="106"/>
  <c r="N763" i="106"/>
  <c r="N782" i="106"/>
  <c r="N804" i="106"/>
  <c r="N14" i="105"/>
  <c r="N22" i="105"/>
  <c r="N38" i="105"/>
  <c r="N54" i="105"/>
  <c r="N94" i="105"/>
  <c r="N118" i="105"/>
  <c r="N135" i="105"/>
  <c r="N183" i="105"/>
  <c r="N247" i="105"/>
  <c r="N334" i="105"/>
  <c r="N356" i="105"/>
  <c r="N375" i="105"/>
  <c r="N398" i="105"/>
  <c r="N420" i="105"/>
  <c r="N439" i="105"/>
  <c r="N462" i="105"/>
  <c r="N484" i="105"/>
  <c r="N503" i="105"/>
  <c r="N526" i="105"/>
  <c r="N548" i="105"/>
  <c r="N567" i="105"/>
  <c r="N590" i="105"/>
  <c r="N612" i="105"/>
  <c r="N631" i="105"/>
  <c r="N654" i="105"/>
  <c r="N676" i="105"/>
  <c r="N695" i="105"/>
  <c r="N718" i="105"/>
  <c r="N750" i="105"/>
  <c r="N782" i="105"/>
  <c r="N15" i="105"/>
  <c r="N23" i="105"/>
  <c r="N31" i="105"/>
  <c r="N39" i="105"/>
  <c r="N47" i="105"/>
  <c r="N55" i="105"/>
  <c r="N63" i="105"/>
  <c r="N71" i="105"/>
  <c r="N79" i="105"/>
  <c r="N87" i="105"/>
  <c r="N95" i="105"/>
  <c r="N103" i="105"/>
  <c r="N111" i="105"/>
  <c r="N119" i="105"/>
  <c r="N127" i="105"/>
  <c r="N137" i="105"/>
  <c r="N148" i="105"/>
  <c r="N166" i="105"/>
  <c r="N188" i="105"/>
  <c r="N207" i="105"/>
  <c r="N230" i="105"/>
  <c r="N252" i="105"/>
  <c r="N271" i="105"/>
  <c r="N294" i="105"/>
  <c r="N316" i="105"/>
  <c r="N335" i="105"/>
  <c r="N358" i="105"/>
  <c r="N380" i="105"/>
  <c r="N399" i="105"/>
  <c r="N422" i="105"/>
  <c r="N444" i="105"/>
  <c r="N463" i="105"/>
  <c r="N486" i="105"/>
  <c r="N508" i="105"/>
  <c r="N527" i="105"/>
  <c r="N550" i="105"/>
  <c r="N572" i="105"/>
  <c r="N591" i="105"/>
  <c r="N614" i="105"/>
  <c r="N636" i="105"/>
  <c r="N655" i="105"/>
  <c r="N678" i="105"/>
  <c r="N700" i="105"/>
  <c r="N719" i="105"/>
  <c r="N751" i="105"/>
  <c r="N783" i="105"/>
  <c r="N110" i="105"/>
  <c r="N270" i="105"/>
  <c r="N48" i="105"/>
  <c r="N120" i="105"/>
  <c r="N254" i="105"/>
  <c r="N359" i="105"/>
  <c r="N468" i="105"/>
  <c r="N551" i="105"/>
  <c r="N615" i="105"/>
  <c r="N638" i="105"/>
  <c r="N660" i="105"/>
  <c r="N679" i="105"/>
  <c r="N33" i="105"/>
  <c r="N57" i="105"/>
  <c r="N73" i="105"/>
  <c r="N89" i="105"/>
  <c r="N97" i="105"/>
  <c r="N105" i="105"/>
  <c r="N113" i="105"/>
  <c r="N121" i="105"/>
  <c r="N129" i="105"/>
  <c r="N139" i="105"/>
  <c r="N151" i="105"/>
  <c r="N172" i="105"/>
  <c r="N191" i="105"/>
  <c r="N214" i="105"/>
  <c r="N236" i="105"/>
  <c r="N255" i="105"/>
  <c r="N278" i="105"/>
  <c r="N300" i="105"/>
  <c r="N319" i="105"/>
  <c r="N342" i="105"/>
  <c r="N364" i="105"/>
  <c r="N383" i="105"/>
  <c r="N406" i="105"/>
  <c r="N428" i="105"/>
  <c r="N447" i="105"/>
  <c r="N470" i="105"/>
  <c r="N492" i="105"/>
  <c r="N511" i="105"/>
  <c r="N534" i="105"/>
  <c r="N556" i="105"/>
  <c r="N575" i="105"/>
  <c r="N598" i="105"/>
  <c r="N620" i="105"/>
  <c r="N639" i="105"/>
  <c r="N662" i="105"/>
  <c r="N684" i="105"/>
  <c r="N703" i="105"/>
  <c r="N727" i="105"/>
  <c r="N759" i="105"/>
  <c r="N791" i="105"/>
  <c r="N70" i="105"/>
  <c r="N146" i="105"/>
  <c r="N311" i="105"/>
  <c r="N56" i="105"/>
  <c r="N96" i="105"/>
  <c r="N138" i="105"/>
  <c r="N212" i="105"/>
  <c r="N340" i="105"/>
  <c r="N404" i="105"/>
  <c r="N532" i="105"/>
  <c r="N758" i="105"/>
  <c r="N18" i="105"/>
  <c r="N26" i="105"/>
  <c r="N34" i="105"/>
  <c r="N42" i="105"/>
  <c r="N50" i="105"/>
  <c r="N58" i="105"/>
  <c r="N66" i="105"/>
  <c r="N74" i="105"/>
  <c r="N82" i="105"/>
  <c r="N90" i="105"/>
  <c r="N98" i="105"/>
  <c r="N106" i="105"/>
  <c r="N114" i="105"/>
  <c r="N122" i="105"/>
  <c r="N130" i="105"/>
  <c r="N140" i="105"/>
  <c r="N153" i="105"/>
  <c r="N174" i="105"/>
  <c r="N196" i="105"/>
  <c r="N215" i="105"/>
  <c r="N238" i="105"/>
  <c r="N260" i="105"/>
  <c r="N279" i="105"/>
  <c r="N302" i="105"/>
  <c r="N324" i="105"/>
  <c r="N343" i="105"/>
  <c r="N366" i="105"/>
  <c r="N388" i="105"/>
  <c r="N407" i="105"/>
  <c r="N430" i="105"/>
  <c r="N452" i="105"/>
  <c r="N471" i="105"/>
  <c r="N494" i="105"/>
  <c r="N516" i="105"/>
  <c r="N535" i="105"/>
  <c r="N558" i="105"/>
  <c r="N580" i="105"/>
  <c r="N599" i="105"/>
  <c r="N622" i="105"/>
  <c r="N644" i="105"/>
  <c r="N663" i="105"/>
  <c r="N686" i="105"/>
  <c r="N708" i="105"/>
  <c r="N734" i="105"/>
  <c r="N766" i="105"/>
  <c r="N811" i="105"/>
  <c r="N803" i="105"/>
  <c r="N795" i="105"/>
  <c r="N787" i="105"/>
  <c r="N779" i="105"/>
  <c r="N771" i="105"/>
  <c r="N763" i="105"/>
  <c r="N755" i="105"/>
  <c r="N747" i="105"/>
  <c r="N739" i="105"/>
  <c r="N731" i="105"/>
  <c r="N723" i="105"/>
  <c r="N715" i="105"/>
  <c r="N707" i="105"/>
  <c r="N699" i="105"/>
  <c r="N691" i="105"/>
  <c r="N683" i="105"/>
  <c r="N675" i="105"/>
  <c r="N667" i="105"/>
  <c r="N659" i="105"/>
  <c r="N651" i="105"/>
  <c r="N643" i="105"/>
  <c r="N635" i="105"/>
  <c r="N627" i="105"/>
  <c r="N619" i="105"/>
  <c r="N611" i="105"/>
  <c r="N603" i="105"/>
  <c r="N595" i="105"/>
  <c r="N587" i="105"/>
  <c r="N579" i="105"/>
  <c r="N571" i="105"/>
  <c r="N563" i="105"/>
  <c r="N555" i="105"/>
  <c r="N547" i="105"/>
  <c r="N539" i="105"/>
  <c r="N531" i="105"/>
  <c r="N523" i="105"/>
  <c r="N515" i="105"/>
  <c r="N507" i="105"/>
  <c r="N499" i="105"/>
  <c r="N491" i="105"/>
  <c r="N483" i="105"/>
  <c r="N475" i="105"/>
  <c r="N467" i="105"/>
  <c r="N459" i="105"/>
  <c r="N451" i="105"/>
  <c r="N443" i="105"/>
  <c r="N435" i="105"/>
  <c r="N427" i="105"/>
  <c r="N419" i="105"/>
  <c r="N411" i="105"/>
  <c r="N403" i="105"/>
  <c r="N395" i="105"/>
  <c r="N387" i="105"/>
  <c r="N379" i="105"/>
  <c r="N371" i="105"/>
  <c r="N363" i="105"/>
  <c r="N355" i="105"/>
  <c r="N347" i="105"/>
  <c r="N339" i="105"/>
  <c r="N331" i="105"/>
  <c r="N323" i="105"/>
  <c r="N315" i="105"/>
  <c r="N307" i="105"/>
  <c r="N299" i="105"/>
  <c r="N291" i="105"/>
  <c r="N283" i="105"/>
  <c r="N275" i="105"/>
  <c r="N267" i="105"/>
  <c r="N259" i="105"/>
  <c r="N251" i="105"/>
  <c r="N243" i="105"/>
  <c r="N235" i="105"/>
  <c r="N227" i="105"/>
  <c r="N219" i="105"/>
  <c r="N211" i="105"/>
  <c r="N203" i="105"/>
  <c r="N195" i="105"/>
  <c r="N187" i="105"/>
  <c r="N179" i="105"/>
  <c r="N171" i="105"/>
  <c r="N163" i="105"/>
  <c r="N155" i="105"/>
  <c r="N147" i="105"/>
  <c r="N810" i="105"/>
  <c r="N802" i="105"/>
  <c r="N794" i="105"/>
  <c r="N786" i="105"/>
  <c r="N778" i="105"/>
  <c r="N770" i="105"/>
  <c r="N762" i="105"/>
  <c r="N754" i="105"/>
  <c r="N746" i="105"/>
  <c r="N738" i="105"/>
  <c r="N730" i="105"/>
  <c r="N722" i="105"/>
  <c r="N714" i="105"/>
  <c r="N706" i="105"/>
  <c r="N698" i="105"/>
  <c r="N690" i="105"/>
  <c r="N682" i="105"/>
  <c r="N674" i="105"/>
  <c r="N666" i="105"/>
  <c r="N658" i="105"/>
  <c r="N650" i="105"/>
  <c r="N642" i="105"/>
  <c r="N634" i="105"/>
  <c r="N626" i="105"/>
  <c r="N618" i="105"/>
  <c r="N610" i="105"/>
  <c r="N602" i="105"/>
  <c r="N594" i="105"/>
  <c r="N586" i="105"/>
  <c r="N578" i="105"/>
  <c r="N570" i="105"/>
  <c r="N562" i="105"/>
  <c r="N554" i="105"/>
  <c r="N546" i="105"/>
  <c r="N538" i="105"/>
  <c r="N530" i="105"/>
  <c r="N522" i="105"/>
  <c r="N514" i="105"/>
  <c r="N506" i="105"/>
  <c r="N498" i="105"/>
  <c r="N490" i="105"/>
  <c r="N482" i="105"/>
  <c r="N474" i="105"/>
  <c r="N466" i="105"/>
  <c r="N458" i="105"/>
  <c r="N450" i="105"/>
  <c r="N442" i="105"/>
  <c r="N434" i="105"/>
  <c r="N426" i="105"/>
  <c r="N418" i="105"/>
  <c r="N410" i="105"/>
  <c r="N402" i="105"/>
  <c r="N394" i="105"/>
  <c r="N386" i="105"/>
  <c r="N378" i="105"/>
  <c r="N370" i="105"/>
  <c r="N362" i="105"/>
  <c r="N354" i="105"/>
  <c r="N346" i="105"/>
  <c r="N338" i="105"/>
  <c r="N330" i="105"/>
  <c r="N322" i="105"/>
  <c r="N314" i="105"/>
  <c r="N306" i="105"/>
  <c r="N298" i="105"/>
  <c r="N290" i="105"/>
  <c r="N282" i="105"/>
  <c r="N274" i="105"/>
  <c r="N266" i="105"/>
  <c r="N258" i="105"/>
  <c r="N250" i="105"/>
  <c r="N242" i="105"/>
  <c r="N234" i="105"/>
  <c r="N226" i="105"/>
  <c r="N218" i="105"/>
  <c r="N210" i="105"/>
  <c r="N202" i="105"/>
  <c r="N194" i="105"/>
  <c r="N186" i="105"/>
  <c r="N178" i="105"/>
  <c r="N170" i="105"/>
  <c r="N162" i="105"/>
  <c r="N154" i="105"/>
  <c r="N809" i="105"/>
  <c r="N801" i="105"/>
  <c r="N793" i="105"/>
  <c r="N785" i="105"/>
  <c r="N777" i="105"/>
  <c r="N769" i="105"/>
  <c r="N761" i="105"/>
  <c r="N753" i="105"/>
  <c r="N745" i="105"/>
  <c r="N737" i="105"/>
  <c r="N729" i="105"/>
  <c r="N721" i="105"/>
  <c r="N713" i="105"/>
  <c r="N705" i="105"/>
  <c r="N697" i="105"/>
  <c r="N689" i="105"/>
  <c r="N681" i="105"/>
  <c r="N673" i="105"/>
  <c r="N665" i="105"/>
  <c r="N657" i="105"/>
  <c r="N649" i="105"/>
  <c r="N641" i="105"/>
  <c r="N633" i="105"/>
  <c r="N625" i="105"/>
  <c r="N617" i="105"/>
  <c r="N609" i="105"/>
  <c r="N601" i="105"/>
  <c r="N593" i="105"/>
  <c r="N585" i="105"/>
  <c r="N577" i="105"/>
  <c r="N569" i="105"/>
  <c r="N561" i="105"/>
  <c r="N553" i="105"/>
  <c r="N545" i="105"/>
  <c r="N537" i="105"/>
  <c r="N529" i="105"/>
  <c r="N521" i="105"/>
  <c r="N513" i="105"/>
  <c r="N505" i="105"/>
  <c r="N497" i="105"/>
  <c r="N489" i="105"/>
  <c r="N481" i="105"/>
  <c r="N473" i="105"/>
  <c r="N465" i="105"/>
  <c r="N457" i="105"/>
  <c r="N449" i="105"/>
  <c r="N441" i="105"/>
  <c r="N433" i="105"/>
  <c r="N425" i="105"/>
  <c r="N417" i="105"/>
  <c r="N409" i="105"/>
  <c r="N401" i="105"/>
  <c r="N393" i="105"/>
  <c r="N385" i="105"/>
  <c r="N377" i="105"/>
  <c r="N369" i="105"/>
  <c r="N361" i="105"/>
  <c r="N353" i="105"/>
  <c r="N345" i="105"/>
  <c r="N337" i="105"/>
  <c r="N329" i="105"/>
  <c r="N321" i="105"/>
  <c r="N313" i="105"/>
  <c r="N305" i="105"/>
  <c r="N297" i="105"/>
  <c r="N289" i="105"/>
  <c r="N281" i="105"/>
  <c r="N273" i="105"/>
  <c r="N265" i="105"/>
  <c r="N257" i="105"/>
  <c r="N249" i="105"/>
  <c r="N241" i="105"/>
  <c r="N233" i="105"/>
  <c r="N225" i="105"/>
  <c r="N217" i="105"/>
  <c r="N209" i="105"/>
  <c r="N201" i="105"/>
  <c r="N193" i="105"/>
  <c r="N185" i="105"/>
  <c r="N177" i="105"/>
  <c r="N169" i="105"/>
  <c r="N161" i="105"/>
  <c r="N808" i="105"/>
  <c r="N800" i="105"/>
  <c r="N792" i="105"/>
  <c r="N784" i="105"/>
  <c r="N776" i="105"/>
  <c r="N768" i="105"/>
  <c r="N760" i="105"/>
  <c r="N752" i="105"/>
  <c r="N744" i="105"/>
  <c r="N736" i="105"/>
  <c r="N728" i="105"/>
  <c r="N720" i="105"/>
  <c r="N712" i="105"/>
  <c r="N704" i="105"/>
  <c r="N696" i="105"/>
  <c r="N688" i="105"/>
  <c r="N680" i="105"/>
  <c r="N672" i="105"/>
  <c r="N664" i="105"/>
  <c r="N656" i="105"/>
  <c r="N648" i="105"/>
  <c r="N640" i="105"/>
  <c r="N632" i="105"/>
  <c r="N624" i="105"/>
  <c r="N616" i="105"/>
  <c r="N608" i="105"/>
  <c r="N600" i="105"/>
  <c r="N592" i="105"/>
  <c r="N584" i="105"/>
  <c r="N576" i="105"/>
  <c r="N568" i="105"/>
  <c r="N560" i="105"/>
  <c r="N552" i="105"/>
  <c r="N544" i="105"/>
  <c r="N536" i="105"/>
  <c r="N528" i="105"/>
  <c r="N520" i="105"/>
  <c r="N512" i="105"/>
  <c r="N504" i="105"/>
  <c r="N496" i="105"/>
  <c r="N488" i="105"/>
  <c r="N480" i="105"/>
  <c r="N472" i="105"/>
  <c r="N464" i="105"/>
  <c r="N456" i="105"/>
  <c r="N448" i="105"/>
  <c r="N440" i="105"/>
  <c r="N432" i="105"/>
  <c r="N424" i="105"/>
  <c r="N416" i="105"/>
  <c r="N408" i="105"/>
  <c r="N400" i="105"/>
  <c r="N392" i="105"/>
  <c r="N384" i="105"/>
  <c r="N376" i="105"/>
  <c r="N368" i="105"/>
  <c r="N360" i="105"/>
  <c r="N352" i="105"/>
  <c r="N344" i="105"/>
  <c r="N336" i="105"/>
  <c r="N328" i="105"/>
  <c r="N320" i="105"/>
  <c r="N312" i="105"/>
  <c r="N304" i="105"/>
  <c r="N296" i="105"/>
  <c r="N288" i="105"/>
  <c r="N280" i="105"/>
  <c r="N272" i="105"/>
  <c r="N264" i="105"/>
  <c r="N256" i="105"/>
  <c r="N248" i="105"/>
  <c r="N240" i="105"/>
  <c r="N232" i="105"/>
  <c r="N224" i="105"/>
  <c r="N216" i="105"/>
  <c r="N208" i="105"/>
  <c r="N200" i="105"/>
  <c r="N192" i="105"/>
  <c r="N184" i="105"/>
  <c r="N176" i="105"/>
  <c r="N168" i="105"/>
  <c r="N160" i="105"/>
  <c r="N152" i="105"/>
  <c r="N144" i="105"/>
  <c r="N136" i="105"/>
  <c r="N805" i="105"/>
  <c r="N797" i="105"/>
  <c r="N789" i="105"/>
  <c r="N781" i="105"/>
  <c r="N773" i="105"/>
  <c r="N765" i="105"/>
  <c r="N757" i="105"/>
  <c r="N749" i="105"/>
  <c r="N741" i="105"/>
  <c r="N733" i="105"/>
  <c r="N725" i="105"/>
  <c r="N717" i="105"/>
  <c r="N709" i="105"/>
  <c r="N701" i="105"/>
  <c r="N693" i="105"/>
  <c r="N685" i="105"/>
  <c r="N677" i="105"/>
  <c r="N669" i="105"/>
  <c r="N661" i="105"/>
  <c r="N653" i="105"/>
  <c r="N645" i="105"/>
  <c r="N637" i="105"/>
  <c r="N629" i="105"/>
  <c r="N621" i="105"/>
  <c r="N613" i="105"/>
  <c r="N605" i="105"/>
  <c r="N597" i="105"/>
  <c r="N589" i="105"/>
  <c r="N581" i="105"/>
  <c r="N573" i="105"/>
  <c r="N565" i="105"/>
  <c r="N557" i="105"/>
  <c r="N549" i="105"/>
  <c r="N541" i="105"/>
  <c r="N533" i="105"/>
  <c r="N525" i="105"/>
  <c r="N517" i="105"/>
  <c r="N509" i="105"/>
  <c r="N501" i="105"/>
  <c r="N493" i="105"/>
  <c r="N485" i="105"/>
  <c r="N477" i="105"/>
  <c r="N469" i="105"/>
  <c r="N461" i="105"/>
  <c r="N453" i="105"/>
  <c r="N445" i="105"/>
  <c r="N437" i="105"/>
  <c r="N429" i="105"/>
  <c r="N421" i="105"/>
  <c r="N413" i="105"/>
  <c r="N405" i="105"/>
  <c r="N397" i="105"/>
  <c r="N389" i="105"/>
  <c r="N381" i="105"/>
  <c r="N373" i="105"/>
  <c r="N365" i="105"/>
  <c r="N357" i="105"/>
  <c r="N349" i="105"/>
  <c r="N341" i="105"/>
  <c r="N333" i="105"/>
  <c r="N325" i="105"/>
  <c r="N317" i="105"/>
  <c r="N309" i="105"/>
  <c r="N301" i="105"/>
  <c r="N293" i="105"/>
  <c r="N285" i="105"/>
  <c r="N277" i="105"/>
  <c r="N269" i="105"/>
  <c r="N261" i="105"/>
  <c r="N253" i="105"/>
  <c r="N245" i="105"/>
  <c r="N237" i="105"/>
  <c r="N229" i="105"/>
  <c r="N221" i="105"/>
  <c r="N213" i="105"/>
  <c r="N205" i="105"/>
  <c r="N197" i="105"/>
  <c r="N189" i="105"/>
  <c r="N181" i="105"/>
  <c r="N173" i="105"/>
  <c r="N165" i="105"/>
  <c r="N157" i="105"/>
  <c r="N149" i="105"/>
  <c r="N141" i="105"/>
  <c r="N133" i="105"/>
  <c r="N804" i="105"/>
  <c r="N796" i="105"/>
  <c r="N788" i="105"/>
  <c r="N780" i="105"/>
  <c r="N772" i="105"/>
  <c r="N764" i="105"/>
  <c r="N756" i="105"/>
  <c r="N748" i="105"/>
  <c r="N740" i="105"/>
  <c r="N732" i="105"/>
  <c r="N724" i="105"/>
  <c r="N30" i="105"/>
  <c r="N46" i="105"/>
  <c r="N62" i="105"/>
  <c r="N86" i="105"/>
  <c r="N126" i="105"/>
  <c r="N228" i="105"/>
  <c r="N32" i="105"/>
  <c r="N40" i="105"/>
  <c r="N64" i="105"/>
  <c r="N80" i="105"/>
  <c r="N104" i="105"/>
  <c r="N128" i="105"/>
  <c r="N150" i="105"/>
  <c r="N190" i="105"/>
  <c r="N276" i="105"/>
  <c r="N318" i="105"/>
  <c r="N382" i="105"/>
  <c r="N487" i="105"/>
  <c r="N574" i="105"/>
  <c r="N726" i="105"/>
  <c r="N11" i="105"/>
  <c r="N25" i="105"/>
  <c r="N41" i="105"/>
  <c r="N65" i="105"/>
  <c r="N12" i="105"/>
  <c r="N19" i="105"/>
  <c r="N27" i="105"/>
  <c r="N35" i="105"/>
  <c r="N43" i="105"/>
  <c r="N51" i="105"/>
  <c r="N59" i="105"/>
  <c r="N67" i="105"/>
  <c r="N75" i="105"/>
  <c r="N83" i="105"/>
  <c r="N91" i="105"/>
  <c r="N99" i="105"/>
  <c r="N107" i="105"/>
  <c r="N115" i="105"/>
  <c r="N123" i="105"/>
  <c r="N131" i="105"/>
  <c r="N142" i="105"/>
  <c r="N156" i="105"/>
  <c r="N175" i="105"/>
  <c r="N198" i="105"/>
  <c r="N220" i="105"/>
  <c r="N239" i="105"/>
  <c r="N262" i="105"/>
  <c r="N284" i="105"/>
  <c r="N303" i="105"/>
  <c r="N326" i="105"/>
  <c r="N348" i="105"/>
  <c r="N367" i="105"/>
  <c r="N390" i="105"/>
  <c r="N412" i="105"/>
  <c r="N431" i="105"/>
  <c r="N454" i="105"/>
  <c r="N476" i="105"/>
  <c r="N495" i="105"/>
  <c r="N518" i="105"/>
  <c r="N540" i="105"/>
  <c r="N559" i="105"/>
  <c r="N582" i="105"/>
  <c r="N604" i="105"/>
  <c r="N623" i="105"/>
  <c r="N646" i="105"/>
  <c r="N668" i="105"/>
  <c r="N687" i="105"/>
  <c r="N710" i="105"/>
  <c r="N735" i="105"/>
  <c r="N767" i="105"/>
  <c r="N799" i="105"/>
  <c r="N102" i="105"/>
  <c r="N206" i="105"/>
  <c r="N16" i="105"/>
  <c r="N88" i="105"/>
  <c r="N231" i="105"/>
  <c r="N446" i="105"/>
  <c r="N790" i="105"/>
  <c r="N17" i="105"/>
  <c r="N49" i="105"/>
  <c r="N81" i="105"/>
  <c r="N20" i="105"/>
  <c r="N36" i="105"/>
  <c r="N52" i="105"/>
  <c r="N68" i="105"/>
  <c r="N84" i="105"/>
  <c r="N92" i="105"/>
  <c r="N100" i="105"/>
  <c r="N108" i="105"/>
  <c r="N116" i="105"/>
  <c r="N124" i="105"/>
  <c r="N132" i="105"/>
  <c r="N143" i="105"/>
  <c r="N158" i="105"/>
  <c r="N180" i="105"/>
  <c r="N199" i="105"/>
  <c r="N222" i="105"/>
  <c r="N244" i="105"/>
  <c r="N263" i="105"/>
  <c r="N286" i="105"/>
  <c r="N308" i="105"/>
  <c r="N327" i="105"/>
  <c r="N350" i="105"/>
  <c r="N372" i="105"/>
  <c r="N391" i="105"/>
  <c r="N414" i="105"/>
  <c r="N436" i="105"/>
  <c r="N455" i="105"/>
  <c r="N478" i="105"/>
  <c r="N500" i="105"/>
  <c r="N519" i="105"/>
  <c r="N542" i="105"/>
  <c r="N564" i="105"/>
  <c r="N583" i="105"/>
  <c r="N606" i="105"/>
  <c r="N628" i="105"/>
  <c r="N647" i="105"/>
  <c r="N670" i="105"/>
  <c r="N692" i="105"/>
  <c r="N711" i="105"/>
  <c r="N742" i="105"/>
  <c r="N774" i="105"/>
  <c r="N806" i="105"/>
  <c r="N78" i="105"/>
  <c r="N164" i="105"/>
  <c r="N292" i="105"/>
  <c r="N24" i="105"/>
  <c r="N72" i="105"/>
  <c r="N112" i="105"/>
  <c r="N167" i="105"/>
  <c r="N295" i="105"/>
  <c r="N423" i="105"/>
  <c r="N510" i="105"/>
  <c r="N596" i="105"/>
  <c r="N702" i="105"/>
  <c r="N28" i="105"/>
  <c r="N44" i="105"/>
  <c r="N60" i="105"/>
  <c r="N76" i="105"/>
  <c r="N13" i="105"/>
  <c r="N21" i="105"/>
  <c r="N29" i="105"/>
  <c r="N37" i="105"/>
  <c r="N45" i="105"/>
  <c r="N53" i="105"/>
  <c r="N61" i="105"/>
  <c r="N69" i="105"/>
  <c r="N77" i="105"/>
  <c r="N85" i="105"/>
  <c r="N93" i="105"/>
  <c r="N101" i="105"/>
  <c r="N109" i="105"/>
  <c r="N117" i="105"/>
  <c r="N125" i="105"/>
  <c r="N134" i="105"/>
  <c r="N145" i="105"/>
  <c r="N159" i="105"/>
  <c r="N182" i="105"/>
  <c r="N204" i="105"/>
  <c r="N223" i="105"/>
  <c r="N246" i="105"/>
  <c r="N268" i="105"/>
  <c r="N287" i="105"/>
  <c r="N310" i="105"/>
  <c r="N332" i="105"/>
  <c r="N351" i="105"/>
  <c r="N374" i="105"/>
  <c r="N396" i="105"/>
  <c r="N415" i="105"/>
  <c r="N438" i="105"/>
  <c r="N460" i="105"/>
  <c r="N479" i="105"/>
  <c r="N502" i="105"/>
  <c r="N524" i="105"/>
  <c r="N543" i="105"/>
  <c r="N566" i="105"/>
  <c r="N588" i="105"/>
  <c r="N607" i="105"/>
  <c r="N630" i="105"/>
  <c r="N652" i="105"/>
  <c r="N671" i="105"/>
  <c r="N694" i="105"/>
  <c r="N716" i="105"/>
  <c r="N743" i="105"/>
  <c r="N775" i="105"/>
  <c r="N807" i="105"/>
  <c r="N18" i="104"/>
  <c r="N39" i="104"/>
  <c r="N61" i="104"/>
  <c r="N82" i="104"/>
  <c r="N103" i="104"/>
  <c r="N125" i="104"/>
  <c r="N158" i="104"/>
  <c r="N199" i="104"/>
  <c r="N244" i="104"/>
  <c r="N286" i="104"/>
  <c r="N327" i="104"/>
  <c r="N388" i="104"/>
  <c r="N473" i="104"/>
  <c r="N558" i="104"/>
  <c r="N660" i="104"/>
  <c r="N21" i="104"/>
  <c r="N42" i="104"/>
  <c r="N63" i="104"/>
  <c r="N85" i="104"/>
  <c r="N106" i="104"/>
  <c r="N127" i="104"/>
  <c r="N164" i="104"/>
  <c r="N206" i="104"/>
  <c r="N247" i="104"/>
  <c r="N292" i="104"/>
  <c r="N334" i="104"/>
  <c r="N404" i="104"/>
  <c r="N489" i="104"/>
  <c r="N574" i="104"/>
  <c r="N684" i="104"/>
  <c r="N23" i="104"/>
  <c r="N45" i="104"/>
  <c r="N66" i="104"/>
  <c r="N87" i="104"/>
  <c r="N109" i="104"/>
  <c r="N130" i="104"/>
  <c r="N167" i="104"/>
  <c r="N212" i="104"/>
  <c r="N254" i="104"/>
  <c r="N295" i="104"/>
  <c r="N340" i="104"/>
  <c r="N409" i="104"/>
  <c r="N494" i="104"/>
  <c r="N580" i="104"/>
  <c r="N692" i="104"/>
  <c r="N26" i="104"/>
  <c r="N47" i="104"/>
  <c r="N69" i="104"/>
  <c r="N90" i="104"/>
  <c r="N111" i="104"/>
  <c r="N133" i="104"/>
  <c r="N174" i="104"/>
  <c r="N215" i="104"/>
  <c r="N260" i="104"/>
  <c r="N302" i="104"/>
  <c r="N345" i="104"/>
  <c r="N425" i="104"/>
  <c r="N510" i="104"/>
  <c r="N596" i="104"/>
  <c r="N716" i="104"/>
  <c r="N29" i="104"/>
  <c r="N50" i="104"/>
  <c r="N71" i="104"/>
  <c r="N93" i="104"/>
  <c r="N114" i="104"/>
  <c r="N135" i="104"/>
  <c r="N180" i="104"/>
  <c r="N222" i="104"/>
  <c r="N263" i="104"/>
  <c r="N308" i="104"/>
  <c r="N353" i="104"/>
  <c r="N430" i="104"/>
  <c r="N516" i="104"/>
  <c r="N601" i="104"/>
  <c r="N724" i="104"/>
  <c r="N31" i="104"/>
  <c r="N53" i="104"/>
  <c r="N74" i="104"/>
  <c r="N95" i="104"/>
  <c r="N117" i="104"/>
  <c r="N142" i="104"/>
  <c r="N183" i="104"/>
  <c r="N228" i="104"/>
  <c r="N270" i="104"/>
  <c r="N311" i="104"/>
  <c r="N361" i="104"/>
  <c r="N446" i="104"/>
  <c r="N532" i="104"/>
  <c r="N620" i="104"/>
  <c r="N748" i="104"/>
  <c r="N13" i="104"/>
  <c r="N34" i="104"/>
  <c r="N55" i="104"/>
  <c r="N77" i="104"/>
  <c r="N98" i="104"/>
  <c r="N119" i="104"/>
  <c r="N148" i="104"/>
  <c r="N190" i="104"/>
  <c r="N231" i="104"/>
  <c r="N276" i="104"/>
  <c r="N318" i="104"/>
  <c r="N366" i="104"/>
  <c r="N452" i="104"/>
  <c r="N537" i="104"/>
  <c r="N628" i="104"/>
  <c r="N756" i="104"/>
  <c r="N15" i="104"/>
  <c r="N37" i="104"/>
  <c r="N58" i="104"/>
  <c r="N79" i="104"/>
  <c r="N101" i="104"/>
  <c r="N122" i="104"/>
  <c r="N151" i="104"/>
  <c r="N196" i="104"/>
  <c r="N238" i="104"/>
  <c r="N279" i="104"/>
  <c r="N324" i="104"/>
  <c r="N382" i="104"/>
  <c r="N468" i="104"/>
  <c r="N553" i="104"/>
  <c r="N652" i="104"/>
  <c r="N811" i="104"/>
  <c r="N803" i="104"/>
  <c r="N795" i="104"/>
  <c r="N787" i="104"/>
  <c r="N779" i="104"/>
  <c r="N771" i="104"/>
  <c r="N763" i="104"/>
  <c r="N755" i="104"/>
  <c r="N747" i="104"/>
  <c r="N739" i="104"/>
  <c r="N731" i="104"/>
  <c r="N723" i="104"/>
  <c r="N715" i="104"/>
  <c r="N707" i="104"/>
  <c r="N699" i="104"/>
  <c r="N691" i="104"/>
  <c r="N683" i="104"/>
  <c r="N675" i="104"/>
  <c r="N667" i="104"/>
  <c r="N659" i="104"/>
  <c r="N651" i="104"/>
  <c r="N643" i="104"/>
  <c r="N635" i="104"/>
  <c r="N627" i="104"/>
  <c r="N619" i="104"/>
  <c r="N611" i="104"/>
  <c r="N603" i="104"/>
  <c r="N595" i="104"/>
  <c r="N587" i="104"/>
  <c r="N579" i="104"/>
  <c r="N571" i="104"/>
  <c r="N563" i="104"/>
  <c r="N555" i="104"/>
  <c r="N547" i="104"/>
  <c r="N539" i="104"/>
  <c r="N531" i="104"/>
  <c r="N523" i="104"/>
  <c r="N515" i="104"/>
  <c r="N507" i="104"/>
  <c r="N499" i="104"/>
  <c r="N491" i="104"/>
  <c r="N483" i="104"/>
  <c r="N475" i="104"/>
  <c r="N467" i="104"/>
  <c r="N459" i="104"/>
  <c r="N451" i="104"/>
  <c r="N443" i="104"/>
  <c r="N435" i="104"/>
  <c r="N427" i="104"/>
  <c r="N419" i="104"/>
  <c r="N411" i="104"/>
  <c r="N403" i="104"/>
  <c r="N395" i="104"/>
  <c r="N387" i="104"/>
  <c r="N379" i="104"/>
  <c r="N371" i="104"/>
  <c r="N363" i="104"/>
  <c r="N355" i="104"/>
  <c r="N347" i="104"/>
  <c r="N339" i="104"/>
  <c r="N331" i="104"/>
  <c r="N323" i="104"/>
  <c r="N315" i="104"/>
  <c r="N307" i="104"/>
  <c r="N299" i="104"/>
  <c r="N291" i="104"/>
  <c r="N283" i="104"/>
  <c r="N275" i="104"/>
  <c r="N267" i="104"/>
  <c r="N259" i="104"/>
  <c r="N251" i="104"/>
  <c r="N243" i="104"/>
  <c r="N235" i="104"/>
  <c r="N227" i="104"/>
  <c r="N219" i="104"/>
  <c r="N211" i="104"/>
  <c r="N203" i="104"/>
  <c r="N195" i="104"/>
  <c r="N187" i="104"/>
  <c r="N179" i="104"/>
  <c r="N171" i="104"/>
  <c r="N163" i="104"/>
  <c r="N155" i="104"/>
  <c r="N147" i="104"/>
  <c r="N139" i="104"/>
  <c r="N810" i="104"/>
  <c r="N802" i="104"/>
  <c r="N794" i="104"/>
  <c r="N786" i="104"/>
  <c r="N778" i="104"/>
  <c r="N770" i="104"/>
  <c r="N762" i="104"/>
  <c r="N754" i="104"/>
  <c r="N746" i="104"/>
  <c r="N738" i="104"/>
  <c r="N730" i="104"/>
  <c r="N722" i="104"/>
  <c r="N714" i="104"/>
  <c r="N706" i="104"/>
  <c r="N698" i="104"/>
  <c r="N690" i="104"/>
  <c r="N682" i="104"/>
  <c r="N674" i="104"/>
  <c r="N666" i="104"/>
  <c r="N658" i="104"/>
  <c r="N650" i="104"/>
  <c r="N642" i="104"/>
  <c r="N634" i="104"/>
  <c r="N626" i="104"/>
  <c r="N618" i="104"/>
  <c r="N610" i="104"/>
  <c r="N602" i="104"/>
  <c r="N594" i="104"/>
  <c r="N586" i="104"/>
  <c r="N578" i="104"/>
  <c r="N570" i="104"/>
  <c r="N562" i="104"/>
  <c r="N554" i="104"/>
  <c r="N546" i="104"/>
  <c r="N538" i="104"/>
  <c r="N530" i="104"/>
  <c r="N522" i="104"/>
  <c r="N514" i="104"/>
  <c r="N506" i="104"/>
  <c r="N498" i="104"/>
  <c r="N490" i="104"/>
  <c r="N482" i="104"/>
  <c r="N474" i="104"/>
  <c r="N466" i="104"/>
  <c r="N458" i="104"/>
  <c r="N450" i="104"/>
  <c r="N442" i="104"/>
  <c r="N434" i="104"/>
  <c r="N426" i="104"/>
  <c r="N418" i="104"/>
  <c r="N410" i="104"/>
  <c r="N402" i="104"/>
  <c r="N394" i="104"/>
  <c r="N386" i="104"/>
  <c r="N378" i="104"/>
  <c r="N370" i="104"/>
  <c r="N362" i="104"/>
  <c r="N354" i="104"/>
  <c r="N346" i="104"/>
  <c r="N338" i="104"/>
  <c r="N330" i="104"/>
  <c r="N322" i="104"/>
  <c r="N314" i="104"/>
  <c r="N306" i="104"/>
  <c r="N298" i="104"/>
  <c r="N290" i="104"/>
  <c r="N282" i="104"/>
  <c r="N274" i="104"/>
  <c r="N266" i="104"/>
  <c r="N258" i="104"/>
  <c r="N250" i="104"/>
  <c r="N242" i="104"/>
  <c r="N234" i="104"/>
  <c r="N226" i="104"/>
  <c r="N218" i="104"/>
  <c r="N210" i="104"/>
  <c r="N202" i="104"/>
  <c r="N194" i="104"/>
  <c r="N186" i="104"/>
  <c r="N178" i="104"/>
  <c r="N170" i="104"/>
  <c r="N162" i="104"/>
  <c r="N154" i="104"/>
  <c r="N146" i="104"/>
  <c r="N138" i="104"/>
  <c r="N809" i="104"/>
  <c r="N801" i="104"/>
  <c r="N793" i="104"/>
  <c r="N785" i="104"/>
  <c r="N777" i="104"/>
  <c r="N769" i="104"/>
  <c r="N761" i="104"/>
  <c r="N753" i="104"/>
  <c r="N745" i="104"/>
  <c r="N737" i="104"/>
  <c r="N729" i="104"/>
  <c r="N721" i="104"/>
  <c r="N713" i="104"/>
  <c r="N705" i="104"/>
  <c r="N697" i="104"/>
  <c r="N689" i="104"/>
  <c r="N681" i="104"/>
  <c r="N673" i="104"/>
  <c r="N665" i="104"/>
  <c r="N657" i="104"/>
  <c r="N649" i="104"/>
  <c r="N641" i="104"/>
  <c r="N633" i="104"/>
  <c r="N625" i="104"/>
  <c r="N617" i="104"/>
  <c r="N808" i="104"/>
  <c r="N800" i="104"/>
  <c r="N792" i="104"/>
  <c r="N784" i="104"/>
  <c r="N776" i="104"/>
  <c r="N768" i="104"/>
  <c r="N760" i="104"/>
  <c r="N752" i="104"/>
  <c r="N744" i="104"/>
  <c r="N736" i="104"/>
  <c r="N728" i="104"/>
  <c r="N720" i="104"/>
  <c r="N712" i="104"/>
  <c r="N704" i="104"/>
  <c r="N696" i="104"/>
  <c r="N688" i="104"/>
  <c r="N680" i="104"/>
  <c r="N672" i="104"/>
  <c r="N664" i="104"/>
  <c r="N656" i="104"/>
  <c r="N648" i="104"/>
  <c r="N640" i="104"/>
  <c r="N632" i="104"/>
  <c r="N624" i="104"/>
  <c r="N616" i="104"/>
  <c r="N608" i="104"/>
  <c r="N600" i="104"/>
  <c r="N592" i="104"/>
  <c r="N584" i="104"/>
  <c r="N576" i="104"/>
  <c r="N568" i="104"/>
  <c r="N560" i="104"/>
  <c r="N552" i="104"/>
  <c r="N544" i="104"/>
  <c r="N536" i="104"/>
  <c r="N528" i="104"/>
  <c r="N520" i="104"/>
  <c r="N512" i="104"/>
  <c r="N504" i="104"/>
  <c r="N496" i="104"/>
  <c r="N488" i="104"/>
  <c r="N480" i="104"/>
  <c r="N472" i="104"/>
  <c r="N464" i="104"/>
  <c r="N456" i="104"/>
  <c r="N448" i="104"/>
  <c r="N440" i="104"/>
  <c r="N432" i="104"/>
  <c r="N424" i="104"/>
  <c r="N416" i="104"/>
  <c r="N408" i="104"/>
  <c r="N400" i="104"/>
  <c r="N392" i="104"/>
  <c r="N384" i="104"/>
  <c r="N376" i="104"/>
  <c r="N368" i="104"/>
  <c r="N360" i="104"/>
  <c r="N352" i="104"/>
  <c r="N344" i="104"/>
  <c r="N336" i="104"/>
  <c r="N328" i="104"/>
  <c r="N320" i="104"/>
  <c r="N312" i="104"/>
  <c r="N304" i="104"/>
  <c r="N296" i="104"/>
  <c r="N288" i="104"/>
  <c r="N280" i="104"/>
  <c r="N272" i="104"/>
  <c r="N264" i="104"/>
  <c r="N256" i="104"/>
  <c r="N248" i="104"/>
  <c r="N240" i="104"/>
  <c r="N232" i="104"/>
  <c r="N224" i="104"/>
  <c r="N216" i="104"/>
  <c r="N208" i="104"/>
  <c r="N200" i="104"/>
  <c r="N192" i="104"/>
  <c r="N184" i="104"/>
  <c r="N176" i="104"/>
  <c r="N168" i="104"/>
  <c r="N160" i="104"/>
  <c r="N152" i="104"/>
  <c r="N144" i="104"/>
  <c r="N136" i="104"/>
  <c r="N807" i="104"/>
  <c r="N799" i="104"/>
  <c r="N791" i="104"/>
  <c r="N783" i="104"/>
  <c r="N775" i="104"/>
  <c r="N767" i="104"/>
  <c r="N759" i="104"/>
  <c r="N751" i="104"/>
  <c r="N743" i="104"/>
  <c r="N735" i="104"/>
  <c r="N727" i="104"/>
  <c r="N719" i="104"/>
  <c r="N711" i="104"/>
  <c r="N703" i="104"/>
  <c r="N695" i="104"/>
  <c r="N687" i="104"/>
  <c r="N679" i="104"/>
  <c r="N671" i="104"/>
  <c r="N663" i="104"/>
  <c r="N655" i="104"/>
  <c r="N647" i="104"/>
  <c r="N639" i="104"/>
  <c r="N631" i="104"/>
  <c r="N623" i="104"/>
  <c r="N615" i="104"/>
  <c r="N607" i="104"/>
  <c r="N599" i="104"/>
  <c r="N591" i="104"/>
  <c r="N583" i="104"/>
  <c r="N575" i="104"/>
  <c r="N567" i="104"/>
  <c r="N559" i="104"/>
  <c r="N551" i="104"/>
  <c r="N543" i="104"/>
  <c r="N535" i="104"/>
  <c r="N527" i="104"/>
  <c r="N519" i="104"/>
  <c r="N511" i="104"/>
  <c r="N503" i="104"/>
  <c r="N495" i="104"/>
  <c r="N487" i="104"/>
  <c r="N479" i="104"/>
  <c r="N471" i="104"/>
  <c r="N463" i="104"/>
  <c r="N455" i="104"/>
  <c r="N447" i="104"/>
  <c r="N439" i="104"/>
  <c r="N431" i="104"/>
  <c r="N423" i="104"/>
  <c r="N415" i="104"/>
  <c r="N407" i="104"/>
  <c r="N399" i="104"/>
  <c r="N391" i="104"/>
  <c r="N383" i="104"/>
  <c r="N375" i="104"/>
  <c r="N367" i="104"/>
  <c r="N359" i="104"/>
  <c r="N351" i="104"/>
  <c r="N343" i="104"/>
  <c r="N805" i="104"/>
  <c r="N797" i="104"/>
  <c r="N789" i="104"/>
  <c r="N781" i="104"/>
  <c r="N773" i="104"/>
  <c r="N765" i="104"/>
  <c r="N757" i="104"/>
  <c r="N749" i="104"/>
  <c r="N741" i="104"/>
  <c r="N733" i="104"/>
  <c r="N725" i="104"/>
  <c r="N717" i="104"/>
  <c r="N709" i="104"/>
  <c r="N701" i="104"/>
  <c r="N693" i="104"/>
  <c r="N685" i="104"/>
  <c r="N677" i="104"/>
  <c r="N669" i="104"/>
  <c r="N661" i="104"/>
  <c r="N653" i="104"/>
  <c r="N645" i="104"/>
  <c r="N637" i="104"/>
  <c r="N629" i="104"/>
  <c r="N621" i="104"/>
  <c r="N613" i="104"/>
  <c r="N605" i="104"/>
  <c r="N597" i="104"/>
  <c r="N589" i="104"/>
  <c r="N581" i="104"/>
  <c r="N573" i="104"/>
  <c r="N565" i="104"/>
  <c r="N557" i="104"/>
  <c r="N549" i="104"/>
  <c r="N541" i="104"/>
  <c r="N533" i="104"/>
  <c r="N525" i="104"/>
  <c r="N517" i="104"/>
  <c r="N509" i="104"/>
  <c r="N501" i="104"/>
  <c r="N493" i="104"/>
  <c r="N485" i="104"/>
  <c r="N477" i="104"/>
  <c r="N469" i="104"/>
  <c r="N461" i="104"/>
  <c r="N453" i="104"/>
  <c r="N445" i="104"/>
  <c r="N437" i="104"/>
  <c r="N429" i="104"/>
  <c r="N421" i="104"/>
  <c r="N413" i="104"/>
  <c r="N405" i="104"/>
  <c r="N397" i="104"/>
  <c r="N389" i="104"/>
  <c r="N381" i="104"/>
  <c r="N373" i="104"/>
  <c r="N365" i="104"/>
  <c r="N357" i="104"/>
  <c r="N349" i="104"/>
  <c r="N341" i="104"/>
  <c r="N333" i="104"/>
  <c r="N325" i="104"/>
  <c r="N317" i="104"/>
  <c r="N309" i="104"/>
  <c r="N301" i="104"/>
  <c r="N293" i="104"/>
  <c r="N285" i="104"/>
  <c r="N277" i="104"/>
  <c r="N269" i="104"/>
  <c r="N261" i="104"/>
  <c r="N253" i="104"/>
  <c r="N245" i="104"/>
  <c r="N237" i="104"/>
  <c r="N229" i="104"/>
  <c r="N221" i="104"/>
  <c r="N213" i="104"/>
  <c r="N205" i="104"/>
  <c r="N197" i="104"/>
  <c r="N189" i="104"/>
  <c r="N181" i="104"/>
  <c r="N173" i="104"/>
  <c r="N165" i="104"/>
  <c r="N157" i="104"/>
  <c r="N149" i="104"/>
  <c r="N141" i="104"/>
  <c r="N14" i="104"/>
  <c r="N22" i="104"/>
  <c r="N30" i="104"/>
  <c r="N38" i="104"/>
  <c r="N46" i="104"/>
  <c r="N54" i="104"/>
  <c r="N62" i="104"/>
  <c r="N70" i="104"/>
  <c r="N78" i="104"/>
  <c r="N86" i="104"/>
  <c r="N94" i="104"/>
  <c r="N102" i="104"/>
  <c r="N110" i="104"/>
  <c r="N118" i="104"/>
  <c r="N126" i="104"/>
  <c r="N134" i="104"/>
  <c r="N150" i="104"/>
  <c r="N166" i="104"/>
  <c r="N182" i="104"/>
  <c r="N198" i="104"/>
  <c r="N214" i="104"/>
  <c r="N230" i="104"/>
  <c r="N246" i="104"/>
  <c r="N262" i="104"/>
  <c r="N278" i="104"/>
  <c r="N294" i="104"/>
  <c r="N310" i="104"/>
  <c r="N326" i="104"/>
  <c r="N342" i="104"/>
  <c r="N364" i="104"/>
  <c r="N385" i="104"/>
  <c r="N406" i="104"/>
  <c r="N428" i="104"/>
  <c r="N449" i="104"/>
  <c r="N470" i="104"/>
  <c r="N492" i="104"/>
  <c r="N513" i="104"/>
  <c r="N534" i="104"/>
  <c r="N556" i="104"/>
  <c r="N577" i="104"/>
  <c r="N598" i="104"/>
  <c r="N622" i="104"/>
  <c r="N654" i="104"/>
  <c r="N686" i="104"/>
  <c r="N718" i="104"/>
  <c r="N750" i="104"/>
  <c r="N782" i="104"/>
  <c r="N788" i="104"/>
  <c r="N16" i="104"/>
  <c r="N32" i="104"/>
  <c r="N40" i="104"/>
  <c r="N56" i="104"/>
  <c r="N64" i="104"/>
  <c r="N72" i="104"/>
  <c r="N80" i="104"/>
  <c r="N88" i="104"/>
  <c r="N96" i="104"/>
  <c r="N104" i="104"/>
  <c r="N112" i="104"/>
  <c r="N120" i="104"/>
  <c r="N128" i="104"/>
  <c r="N137" i="104"/>
  <c r="N153" i="104"/>
  <c r="N169" i="104"/>
  <c r="N185" i="104"/>
  <c r="N201" i="104"/>
  <c r="N217" i="104"/>
  <c r="N233" i="104"/>
  <c r="N249" i="104"/>
  <c r="N265" i="104"/>
  <c r="N281" i="104"/>
  <c r="N297" i="104"/>
  <c r="N313" i="104"/>
  <c r="N329" i="104"/>
  <c r="N348" i="104"/>
  <c r="N369" i="104"/>
  <c r="N390" i="104"/>
  <c r="N412" i="104"/>
  <c r="N433" i="104"/>
  <c r="N454" i="104"/>
  <c r="N476" i="104"/>
  <c r="N497" i="104"/>
  <c r="N518" i="104"/>
  <c r="N540" i="104"/>
  <c r="N561" i="104"/>
  <c r="N582" i="104"/>
  <c r="N604" i="104"/>
  <c r="N630" i="104"/>
  <c r="N662" i="104"/>
  <c r="N694" i="104"/>
  <c r="N726" i="104"/>
  <c r="N758" i="104"/>
  <c r="N790" i="104"/>
  <c r="N24" i="104"/>
  <c r="N48" i="104"/>
  <c r="N11" i="104"/>
  <c r="N17" i="104"/>
  <c r="N25" i="104"/>
  <c r="N33" i="104"/>
  <c r="N41" i="104"/>
  <c r="N49" i="104"/>
  <c r="N57" i="104"/>
  <c r="N65" i="104"/>
  <c r="N73" i="104"/>
  <c r="N81" i="104"/>
  <c r="N89" i="104"/>
  <c r="N97" i="104"/>
  <c r="N105" i="104"/>
  <c r="N113" i="104"/>
  <c r="N121" i="104"/>
  <c r="N129" i="104"/>
  <c r="N140" i="104"/>
  <c r="N156" i="104"/>
  <c r="N172" i="104"/>
  <c r="N188" i="104"/>
  <c r="N204" i="104"/>
  <c r="N220" i="104"/>
  <c r="N236" i="104"/>
  <c r="N252" i="104"/>
  <c r="N268" i="104"/>
  <c r="N284" i="104"/>
  <c r="N300" i="104"/>
  <c r="N316" i="104"/>
  <c r="N332" i="104"/>
  <c r="N350" i="104"/>
  <c r="N372" i="104"/>
  <c r="N393" i="104"/>
  <c r="N414" i="104"/>
  <c r="N436" i="104"/>
  <c r="N457" i="104"/>
  <c r="N478" i="104"/>
  <c r="N500" i="104"/>
  <c r="N521" i="104"/>
  <c r="N542" i="104"/>
  <c r="N564" i="104"/>
  <c r="N585" i="104"/>
  <c r="N606" i="104"/>
  <c r="N636" i="104"/>
  <c r="N668" i="104"/>
  <c r="N700" i="104"/>
  <c r="N732" i="104"/>
  <c r="N764" i="104"/>
  <c r="N796" i="104"/>
  <c r="N374" i="104"/>
  <c r="N396" i="104"/>
  <c r="N417" i="104"/>
  <c r="N438" i="104"/>
  <c r="N460" i="104"/>
  <c r="N481" i="104"/>
  <c r="N502" i="104"/>
  <c r="N524" i="104"/>
  <c r="N545" i="104"/>
  <c r="N566" i="104"/>
  <c r="N588" i="104"/>
  <c r="N609" i="104"/>
  <c r="N638" i="104"/>
  <c r="N670" i="104"/>
  <c r="N702" i="104"/>
  <c r="N734" i="104"/>
  <c r="N766" i="104"/>
  <c r="N798" i="104"/>
  <c r="N12" i="104"/>
  <c r="N19" i="104"/>
  <c r="N27" i="104"/>
  <c r="N35" i="104"/>
  <c r="N43" i="104"/>
  <c r="N51" i="104"/>
  <c r="N59" i="104"/>
  <c r="N67" i="104"/>
  <c r="N75" i="104"/>
  <c r="N83" i="104"/>
  <c r="N91" i="104"/>
  <c r="N99" i="104"/>
  <c r="N107" i="104"/>
  <c r="N115" i="104"/>
  <c r="N123" i="104"/>
  <c r="N131" i="104"/>
  <c r="N143" i="104"/>
  <c r="N159" i="104"/>
  <c r="N175" i="104"/>
  <c r="N191" i="104"/>
  <c r="N207" i="104"/>
  <c r="N223" i="104"/>
  <c r="N239" i="104"/>
  <c r="N255" i="104"/>
  <c r="N271" i="104"/>
  <c r="N287" i="104"/>
  <c r="N303" i="104"/>
  <c r="N319" i="104"/>
  <c r="N335" i="104"/>
  <c r="N356" i="104"/>
  <c r="N377" i="104"/>
  <c r="N398" i="104"/>
  <c r="N420" i="104"/>
  <c r="N441" i="104"/>
  <c r="N462" i="104"/>
  <c r="N484" i="104"/>
  <c r="N505" i="104"/>
  <c r="N526" i="104"/>
  <c r="N548" i="104"/>
  <c r="N569" i="104"/>
  <c r="N590" i="104"/>
  <c r="N612" i="104"/>
  <c r="N644" i="104"/>
  <c r="N676" i="104"/>
  <c r="N708" i="104"/>
  <c r="N740" i="104"/>
  <c r="N772" i="104"/>
  <c r="N804" i="104"/>
  <c r="N20" i="104"/>
  <c r="N28" i="104"/>
  <c r="N36" i="104"/>
  <c r="N44" i="104"/>
  <c r="N52" i="104"/>
  <c r="N60" i="104"/>
  <c r="N68" i="104"/>
  <c r="N76" i="104"/>
  <c r="N84" i="104"/>
  <c r="N92" i="104"/>
  <c r="N100" i="104"/>
  <c r="N108" i="104"/>
  <c r="N116" i="104"/>
  <c r="N124" i="104"/>
  <c r="N132" i="104"/>
  <c r="N145" i="104"/>
  <c r="N161" i="104"/>
  <c r="N177" i="104"/>
  <c r="N193" i="104"/>
  <c r="N209" i="104"/>
  <c r="N225" i="104"/>
  <c r="N241" i="104"/>
  <c r="N257" i="104"/>
  <c r="N273" i="104"/>
  <c r="N289" i="104"/>
  <c r="N305" i="104"/>
  <c r="N321" i="104"/>
  <c r="N337" i="104"/>
  <c r="N358" i="104"/>
  <c r="N380" i="104"/>
  <c r="N401" i="104"/>
  <c r="N422" i="104"/>
  <c r="N444" i="104"/>
  <c r="N465" i="104"/>
  <c r="N486" i="104"/>
  <c r="N508" i="104"/>
  <c r="N529" i="104"/>
  <c r="N550" i="104"/>
  <c r="N572" i="104"/>
  <c r="N593" i="104"/>
  <c r="N614" i="104"/>
  <c r="N646" i="104"/>
  <c r="N678" i="104"/>
  <c r="N710" i="104"/>
  <c r="N742" i="104"/>
  <c r="N774" i="104"/>
  <c r="N806" i="104"/>
  <c r="N18" i="103"/>
  <c r="N26" i="103"/>
  <c r="N34" i="103"/>
  <c r="N50" i="103"/>
  <c r="N66" i="103"/>
  <c r="N82" i="103"/>
  <c r="N98" i="103"/>
  <c r="N114" i="103"/>
  <c r="N130" i="103"/>
  <c r="N149" i="103"/>
  <c r="N167" i="103"/>
  <c r="N185" i="103"/>
  <c r="N203" i="103"/>
  <c r="N222" i="103"/>
  <c r="N240" i="103"/>
  <c r="N258" i="103"/>
  <c r="N277" i="103"/>
  <c r="N295" i="103"/>
  <c r="N313" i="103"/>
  <c r="N331" i="103"/>
  <c r="N350" i="103"/>
  <c r="N368" i="103"/>
  <c r="N386" i="103"/>
  <c r="N405" i="103"/>
  <c r="N423" i="103"/>
  <c r="N441" i="103"/>
  <c r="N459" i="103"/>
  <c r="N478" i="103"/>
  <c r="N496" i="103"/>
  <c r="N514" i="103"/>
  <c r="N533" i="103"/>
  <c r="N551" i="103"/>
  <c r="N569" i="103"/>
  <c r="N587" i="103"/>
  <c r="N606" i="103"/>
  <c r="N624" i="103"/>
  <c r="N642" i="103"/>
  <c r="N661" i="103"/>
  <c r="N679" i="103"/>
  <c r="N697" i="103"/>
  <c r="N715" i="103"/>
  <c r="N736" i="103"/>
  <c r="N758" i="103"/>
  <c r="N779" i="103"/>
  <c r="N49" i="103"/>
  <c r="N129" i="103"/>
  <c r="N239" i="103"/>
  <c r="N330" i="103"/>
  <c r="N477" i="103"/>
  <c r="N714" i="103"/>
  <c r="N83" i="103"/>
  <c r="N99" i="103"/>
  <c r="N115" i="103"/>
  <c r="N131" i="103"/>
  <c r="N150" i="103"/>
  <c r="N168" i="103"/>
  <c r="N186" i="103"/>
  <c r="N205" i="103"/>
  <c r="N223" i="103"/>
  <c r="N241" i="103"/>
  <c r="N259" i="103"/>
  <c r="N278" i="103"/>
  <c r="N296" i="103"/>
  <c r="N314" i="103"/>
  <c r="N333" i="103"/>
  <c r="N351" i="103"/>
  <c r="N369" i="103"/>
  <c r="N387" i="103"/>
  <c r="N406" i="103"/>
  <c r="N424" i="103"/>
  <c r="N442" i="103"/>
  <c r="N461" i="103"/>
  <c r="N479" i="103"/>
  <c r="N497" i="103"/>
  <c r="N515" i="103"/>
  <c r="N534" i="103"/>
  <c r="N552" i="103"/>
  <c r="N570" i="103"/>
  <c r="N589" i="103"/>
  <c r="N607" i="103"/>
  <c r="N625" i="103"/>
  <c r="N643" i="103"/>
  <c r="N662" i="103"/>
  <c r="N680" i="103"/>
  <c r="N698" i="103"/>
  <c r="N717" i="103"/>
  <c r="N738" i="103"/>
  <c r="N759" i="103"/>
  <c r="N781" i="103"/>
  <c r="N25" i="103"/>
  <c r="N97" i="103"/>
  <c r="N184" i="103"/>
  <c r="N275" i="103"/>
  <c r="N422" i="103"/>
  <c r="N778" i="103"/>
  <c r="N19" i="103"/>
  <c r="N35" i="103"/>
  <c r="N28" i="103"/>
  <c r="N56" i="103"/>
  <c r="N72" i="103"/>
  <c r="N88" i="103"/>
  <c r="N104" i="103"/>
  <c r="N120" i="103"/>
  <c r="N137" i="103"/>
  <c r="N155" i="103"/>
  <c r="N174" i="103"/>
  <c r="N192" i="103"/>
  <c r="N210" i="103"/>
  <c r="N229" i="103"/>
  <c r="N247" i="103"/>
  <c r="N265" i="103"/>
  <c r="N283" i="103"/>
  <c r="N302" i="103"/>
  <c r="N320" i="103"/>
  <c r="N338" i="103"/>
  <c r="N357" i="103"/>
  <c r="N375" i="103"/>
  <c r="N393" i="103"/>
  <c r="N411" i="103"/>
  <c r="N430" i="103"/>
  <c r="N448" i="103"/>
  <c r="N466" i="103"/>
  <c r="N485" i="103"/>
  <c r="N503" i="103"/>
  <c r="N521" i="103"/>
  <c r="N539" i="103"/>
  <c r="N558" i="103"/>
  <c r="N576" i="103"/>
  <c r="N594" i="103"/>
  <c r="N613" i="103"/>
  <c r="N631" i="103"/>
  <c r="N649" i="103"/>
  <c r="N667" i="103"/>
  <c r="N686" i="103"/>
  <c r="N704" i="103"/>
  <c r="N723" i="103"/>
  <c r="N744" i="103"/>
  <c r="N766" i="103"/>
  <c r="N787" i="103"/>
  <c r="N11" i="103"/>
  <c r="N33" i="103"/>
  <c r="N81" i="103"/>
  <c r="N113" i="103"/>
  <c r="N147" i="103"/>
  <c r="N202" i="103"/>
  <c r="N221" i="103"/>
  <c r="N294" i="103"/>
  <c r="N312" i="103"/>
  <c r="N367" i="103"/>
  <c r="N385" i="103"/>
  <c r="N403" i="103"/>
  <c r="N440" i="103"/>
  <c r="N495" i="103"/>
  <c r="N513" i="103"/>
  <c r="N531" i="103"/>
  <c r="N550" i="103"/>
  <c r="N568" i="103"/>
  <c r="N586" i="103"/>
  <c r="N605" i="103"/>
  <c r="N623" i="103"/>
  <c r="N641" i="103"/>
  <c r="N659" i="103"/>
  <c r="N678" i="103"/>
  <c r="N696" i="103"/>
  <c r="N757" i="103"/>
  <c r="N12" i="103"/>
  <c r="N27" i="103"/>
  <c r="N51" i="103"/>
  <c r="N20" i="103"/>
  <c r="N40" i="103"/>
  <c r="N13" i="103"/>
  <c r="N21" i="103"/>
  <c r="N29" i="103"/>
  <c r="N41" i="103"/>
  <c r="N57" i="103"/>
  <c r="N73" i="103"/>
  <c r="N89" i="103"/>
  <c r="N105" i="103"/>
  <c r="N121" i="103"/>
  <c r="N138" i="103"/>
  <c r="N157" i="103"/>
  <c r="N175" i="103"/>
  <c r="N193" i="103"/>
  <c r="N211" i="103"/>
  <c r="N230" i="103"/>
  <c r="N248" i="103"/>
  <c r="N266" i="103"/>
  <c r="N285" i="103"/>
  <c r="N303" i="103"/>
  <c r="N321" i="103"/>
  <c r="N339" i="103"/>
  <c r="N358" i="103"/>
  <c r="N376" i="103"/>
  <c r="N394" i="103"/>
  <c r="N413" i="103"/>
  <c r="N431" i="103"/>
  <c r="N449" i="103"/>
  <c r="N467" i="103"/>
  <c r="N486" i="103"/>
  <c r="N504" i="103"/>
  <c r="N522" i="103"/>
  <c r="N541" i="103"/>
  <c r="N559" i="103"/>
  <c r="N577" i="103"/>
  <c r="N595" i="103"/>
  <c r="N614" i="103"/>
  <c r="N632" i="103"/>
  <c r="N650" i="103"/>
  <c r="N669" i="103"/>
  <c r="N687" i="103"/>
  <c r="N705" i="103"/>
  <c r="N725" i="103"/>
  <c r="N746" i="103"/>
  <c r="N767" i="103"/>
  <c r="N811" i="103"/>
  <c r="N810" i="103"/>
  <c r="N809" i="103"/>
  <c r="N801" i="103"/>
  <c r="N793" i="103"/>
  <c r="N785" i="103"/>
  <c r="N777" i="103"/>
  <c r="N769" i="103"/>
  <c r="N761" i="103"/>
  <c r="N753" i="103"/>
  <c r="N745" i="103"/>
  <c r="N737" i="103"/>
  <c r="N729" i="103"/>
  <c r="N721" i="103"/>
  <c r="N808" i="103"/>
  <c r="N804" i="103"/>
  <c r="N796" i="103"/>
  <c r="N788" i="103"/>
  <c r="N780" i="103"/>
  <c r="N772" i="103"/>
  <c r="N764" i="103"/>
  <c r="N756" i="103"/>
  <c r="N748" i="103"/>
  <c r="N740" i="103"/>
  <c r="N732" i="103"/>
  <c r="N724" i="103"/>
  <c r="N716" i="103"/>
  <c r="N708" i="103"/>
  <c r="N700" i="103"/>
  <c r="N692" i="103"/>
  <c r="N684" i="103"/>
  <c r="N676" i="103"/>
  <c r="N668" i="103"/>
  <c r="N660" i="103"/>
  <c r="N652" i="103"/>
  <c r="N644" i="103"/>
  <c r="N636" i="103"/>
  <c r="N628" i="103"/>
  <c r="N620" i="103"/>
  <c r="N612" i="103"/>
  <c r="N604" i="103"/>
  <c r="N596" i="103"/>
  <c r="N588" i="103"/>
  <c r="N580" i="103"/>
  <c r="N572" i="103"/>
  <c r="N564" i="103"/>
  <c r="N556" i="103"/>
  <c r="N548" i="103"/>
  <c r="N540" i="103"/>
  <c r="N532" i="103"/>
  <c r="N524" i="103"/>
  <c r="N516" i="103"/>
  <c r="N508" i="103"/>
  <c r="N500" i="103"/>
  <c r="N492" i="103"/>
  <c r="N484" i="103"/>
  <c r="N476" i="103"/>
  <c r="N468" i="103"/>
  <c r="N460" i="103"/>
  <c r="N452" i="103"/>
  <c r="N444" i="103"/>
  <c r="N436" i="103"/>
  <c r="N428" i="103"/>
  <c r="N420" i="103"/>
  <c r="N412" i="103"/>
  <c r="N404" i="103"/>
  <c r="N396" i="103"/>
  <c r="N388" i="103"/>
  <c r="N380" i="103"/>
  <c r="N372" i="103"/>
  <c r="N364" i="103"/>
  <c r="N356" i="103"/>
  <c r="N348" i="103"/>
  <c r="N340" i="103"/>
  <c r="N332" i="103"/>
  <c r="N324" i="103"/>
  <c r="N316" i="103"/>
  <c r="N308" i="103"/>
  <c r="N300" i="103"/>
  <c r="N292" i="103"/>
  <c r="N284" i="103"/>
  <c r="N276" i="103"/>
  <c r="N268" i="103"/>
  <c r="N260" i="103"/>
  <c r="N252" i="103"/>
  <c r="N244" i="103"/>
  <c r="N236" i="103"/>
  <c r="N228" i="103"/>
  <c r="N220" i="103"/>
  <c r="N212" i="103"/>
  <c r="N204" i="103"/>
  <c r="N196" i="103"/>
  <c r="N188" i="103"/>
  <c r="N180" i="103"/>
  <c r="N172" i="103"/>
  <c r="N164" i="103"/>
  <c r="N156" i="103"/>
  <c r="N148" i="103"/>
  <c r="N140" i="103"/>
  <c r="N132" i="103"/>
  <c r="N807" i="103"/>
  <c r="N797" i="103"/>
  <c r="N786" i="103"/>
  <c r="N775" i="103"/>
  <c r="N765" i="103"/>
  <c r="N754" i="103"/>
  <c r="N743" i="103"/>
  <c r="N733" i="103"/>
  <c r="N722" i="103"/>
  <c r="N712" i="103"/>
  <c r="N703" i="103"/>
  <c r="N694" i="103"/>
  <c r="N685" i="103"/>
  <c r="N675" i="103"/>
  <c r="N666" i="103"/>
  <c r="N657" i="103"/>
  <c r="N648" i="103"/>
  <c r="N639" i="103"/>
  <c r="N630" i="103"/>
  <c r="N621" i="103"/>
  <c r="N611" i="103"/>
  <c r="N602" i="103"/>
  <c r="N593" i="103"/>
  <c r="N584" i="103"/>
  <c r="N575" i="103"/>
  <c r="N566" i="103"/>
  <c r="N557" i="103"/>
  <c r="N547" i="103"/>
  <c r="N538" i="103"/>
  <c r="N529" i="103"/>
  <c r="N520" i="103"/>
  <c r="N511" i="103"/>
  <c r="N502" i="103"/>
  <c r="N493" i="103"/>
  <c r="N483" i="103"/>
  <c r="N474" i="103"/>
  <c r="N465" i="103"/>
  <c r="N456" i="103"/>
  <c r="N447" i="103"/>
  <c r="N438" i="103"/>
  <c r="N429" i="103"/>
  <c r="N419" i="103"/>
  <c r="N410" i="103"/>
  <c r="N401" i="103"/>
  <c r="N392" i="103"/>
  <c r="N383" i="103"/>
  <c r="N374" i="103"/>
  <c r="N365" i="103"/>
  <c r="N355" i="103"/>
  <c r="N346" i="103"/>
  <c r="N337" i="103"/>
  <c r="N328" i="103"/>
  <c r="N319" i="103"/>
  <c r="N310" i="103"/>
  <c r="N301" i="103"/>
  <c r="N291" i="103"/>
  <c r="N282" i="103"/>
  <c r="N273" i="103"/>
  <c r="N264" i="103"/>
  <c r="N255" i="103"/>
  <c r="N246" i="103"/>
  <c r="N237" i="103"/>
  <c r="N227" i="103"/>
  <c r="N218" i="103"/>
  <c r="N209" i="103"/>
  <c r="N200" i="103"/>
  <c r="N191" i="103"/>
  <c r="N182" i="103"/>
  <c r="N173" i="103"/>
  <c r="N163" i="103"/>
  <c r="N154" i="103"/>
  <c r="N145" i="103"/>
  <c r="N136" i="103"/>
  <c r="N127" i="103"/>
  <c r="N119" i="103"/>
  <c r="N111" i="103"/>
  <c r="N103" i="103"/>
  <c r="N95" i="103"/>
  <c r="N87" i="103"/>
  <c r="N79" i="103"/>
  <c r="N71" i="103"/>
  <c r="N63" i="103"/>
  <c r="N55" i="103"/>
  <c r="N47" i="103"/>
  <c r="N39" i="103"/>
  <c r="N806" i="103"/>
  <c r="N795" i="103"/>
  <c r="N784" i="103"/>
  <c r="N774" i="103"/>
  <c r="N763" i="103"/>
  <c r="N752" i="103"/>
  <c r="N742" i="103"/>
  <c r="N731" i="103"/>
  <c r="N720" i="103"/>
  <c r="N711" i="103"/>
  <c r="N702" i="103"/>
  <c r="N693" i="103"/>
  <c r="N683" i="103"/>
  <c r="N674" i="103"/>
  <c r="N665" i="103"/>
  <c r="N656" i="103"/>
  <c r="N647" i="103"/>
  <c r="N638" i="103"/>
  <c r="N629" i="103"/>
  <c r="N619" i="103"/>
  <c r="N610" i="103"/>
  <c r="N601" i="103"/>
  <c r="N592" i="103"/>
  <c r="N583" i="103"/>
  <c r="N574" i="103"/>
  <c r="N565" i="103"/>
  <c r="N555" i="103"/>
  <c r="N546" i="103"/>
  <c r="N537" i="103"/>
  <c r="N528" i="103"/>
  <c r="N519" i="103"/>
  <c r="N510" i="103"/>
  <c r="N501" i="103"/>
  <c r="N491" i="103"/>
  <c r="N482" i="103"/>
  <c r="N473" i="103"/>
  <c r="N464" i="103"/>
  <c r="N455" i="103"/>
  <c r="N446" i="103"/>
  <c r="N437" i="103"/>
  <c r="N427" i="103"/>
  <c r="N418" i="103"/>
  <c r="N409" i="103"/>
  <c r="N400" i="103"/>
  <c r="N391" i="103"/>
  <c r="N382" i="103"/>
  <c r="N373" i="103"/>
  <c r="N363" i="103"/>
  <c r="N354" i="103"/>
  <c r="N345" i="103"/>
  <c r="N336" i="103"/>
  <c r="N327" i="103"/>
  <c r="N318" i="103"/>
  <c r="N309" i="103"/>
  <c r="N299" i="103"/>
  <c r="N290" i="103"/>
  <c r="N281" i="103"/>
  <c r="N272" i="103"/>
  <c r="N263" i="103"/>
  <c r="N254" i="103"/>
  <c r="N245" i="103"/>
  <c r="N235" i="103"/>
  <c r="N226" i="103"/>
  <c r="N217" i="103"/>
  <c r="N208" i="103"/>
  <c r="N199" i="103"/>
  <c r="N190" i="103"/>
  <c r="N181" i="103"/>
  <c r="N171" i="103"/>
  <c r="N162" i="103"/>
  <c r="N153" i="103"/>
  <c r="N144" i="103"/>
  <c r="N135" i="103"/>
  <c r="N126" i="103"/>
  <c r="N118" i="103"/>
  <c r="N110" i="103"/>
  <c r="N102" i="103"/>
  <c r="N94" i="103"/>
  <c r="N86" i="103"/>
  <c r="N78" i="103"/>
  <c r="N70" i="103"/>
  <c r="N62" i="103"/>
  <c r="N54" i="103"/>
  <c r="N46" i="103"/>
  <c r="N38" i="103"/>
  <c r="N805" i="103"/>
  <c r="N794" i="103"/>
  <c r="N783" i="103"/>
  <c r="N773" i="103"/>
  <c r="N762" i="103"/>
  <c r="N751" i="103"/>
  <c r="N741" i="103"/>
  <c r="N730" i="103"/>
  <c r="N719" i="103"/>
  <c r="N710" i="103"/>
  <c r="N701" i="103"/>
  <c r="N691" i="103"/>
  <c r="N682" i="103"/>
  <c r="N673" i="103"/>
  <c r="N664" i="103"/>
  <c r="N655" i="103"/>
  <c r="N646" i="103"/>
  <c r="N637" i="103"/>
  <c r="N627" i="103"/>
  <c r="N618" i="103"/>
  <c r="N609" i="103"/>
  <c r="N600" i="103"/>
  <c r="N591" i="103"/>
  <c r="N582" i="103"/>
  <c r="N573" i="103"/>
  <c r="N563" i="103"/>
  <c r="N554" i="103"/>
  <c r="N545" i="103"/>
  <c r="N536" i="103"/>
  <c r="N527" i="103"/>
  <c r="N518" i="103"/>
  <c r="N509" i="103"/>
  <c r="N499" i="103"/>
  <c r="N490" i="103"/>
  <c r="N481" i="103"/>
  <c r="N472" i="103"/>
  <c r="N463" i="103"/>
  <c r="N454" i="103"/>
  <c r="N445" i="103"/>
  <c r="N435" i="103"/>
  <c r="N426" i="103"/>
  <c r="N417" i="103"/>
  <c r="N408" i="103"/>
  <c r="N399" i="103"/>
  <c r="N390" i="103"/>
  <c r="N381" i="103"/>
  <c r="N371" i="103"/>
  <c r="N362" i="103"/>
  <c r="N353" i="103"/>
  <c r="N344" i="103"/>
  <c r="N335" i="103"/>
  <c r="N326" i="103"/>
  <c r="N317" i="103"/>
  <c r="N307" i="103"/>
  <c r="N298" i="103"/>
  <c r="N289" i="103"/>
  <c r="N280" i="103"/>
  <c r="N271" i="103"/>
  <c r="N262" i="103"/>
  <c r="N253" i="103"/>
  <c r="N243" i="103"/>
  <c r="N234" i="103"/>
  <c r="N225" i="103"/>
  <c r="N216" i="103"/>
  <c r="N207" i="103"/>
  <c r="N198" i="103"/>
  <c r="N189" i="103"/>
  <c r="N179" i="103"/>
  <c r="N170" i="103"/>
  <c r="N161" i="103"/>
  <c r="N152" i="103"/>
  <c r="N143" i="103"/>
  <c r="N134" i="103"/>
  <c r="N125" i="103"/>
  <c r="N117" i="103"/>
  <c r="N109" i="103"/>
  <c r="N101" i="103"/>
  <c r="N93" i="103"/>
  <c r="N85" i="103"/>
  <c r="N77" i="103"/>
  <c r="N69" i="103"/>
  <c r="N61" i="103"/>
  <c r="N53" i="103"/>
  <c r="N45" i="103"/>
  <c r="N37" i="103"/>
  <c r="N803" i="103"/>
  <c r="N792" i="103"/>
  <c r="N782" i="103"/>
  <c r="N771" i="103"/>
  <c r="N760" i="103"/>
  <c r="N750" i="103"/>
  <c r="N739" i="103"/>
  <c r="N728" i="103"/>
  <c r="N718" i="103"/>
  <c r="N709" i="103"/>
  <c r="N699" i="103"/>
  <c r="N690" i="103"/>
  <c r="N681" i="103"/>
  <c r="N672" i="103"/>
  <c r="N663" i="103"/>
  <c r="N654" i="103"/>
  <c r="N645" i="103"/>
  <c r="N635" i="103"/>
  <c r="N626" i="103"/>
  <c r="N617" i="103"/>
  <c r="N608" i="103"/>
  <c r="N599" i="103"/>
  <c r="N590" i="103"/>
  <c r="N581" i="103"/>
  <c r="N571" i="103"/>
  <c r="N562" i="103"/>
  <c r="N553" i="103"/>
  <c r="N544" i="103"/>
  <c r="N535" i="103"/>
  <c r="N526" i="103"/>
  <c r="N517" i="103"/>
  <c r="N507" i="103"/>
  <c r="N498" i="103"/>
  <c r="N489" i="103"/>
  <c r="N480" i="103"/>
  <c r="N471" i="103"/>
  <c r="N462" i="103"/>
  <c r="N453" i="103"/>
  <c r="N443" i="103"/>
  <c r="N434" i="103"/>
  <c r="N425" i="103"/>
  <c r="N416" i="103"/>
  <c r="N407" i="103"/>
  <c r="N398" i="103"/>
  <c r="N389" i="103"/>
  <c r="N379" i="103"/>
  <c r="N370" i="103"/>
  <c r="N361" i="103"/>
  <c r="N352" i="103"/>
  <c r="N343" i="103"/>
  <c r="N334" i="103"/>
  <c r="N325" i="103"/>
  <c r="N315" i="103"/>
  <c r="N306" i="103"/>
  <c r="N297" i="103"/>
  <c r="N288" i="103"/>
  <c r="N279" i="103"/>
  <c r="N270" i="103"/>
  <c r="N261" i="103"/>
  <c r="N251" i="103"/>
  <c r="N242" i="103"/>
  <c r="N233" i="103"/>
  <c r="N224" i="103"/>
  <c r="N215" i="103"/>
  <c r="N206" i="103"/>
  <c r="N197" i="103"/>
  <c r="N187" i="103"/>
  <c r="N178" i="103"/>
  <c r="N169" i="103"/>
  <c r="N160" i="103"/>
  <c r="N151" i="103"/>
  <c r="N142" i="103"/>
  <c r="N133" i="103"/>
  <c r="N124" i="103"/>
  <c r="N116" i="103"/>
  <c r="N108" i="103"/>
  <c r="N100" i="103"/>
  <c r="N92" i="103"/>
  <c r="N84" i="103"/>
  <c r="N76" i="103"/>
  <c r="N68" i="103"/>
  <c r="N60" i="103"/>
  <c r="N52" i="103"/>
  <c r="N44" i="103"/>
  <c r="N36" i="103"/>
  <c r="N802" i="103"/>
  <c r="N800" i="103"/>
  <c r="N799" i="103"/>
  <c r="N14" i="103"/>
  <c r="N22" i="103"/>
  <c r="N30" i="103"/>
  <c r="N42" i="103"/>
  <c r="N58" i="103"/>
  <c r="N74" i="103"/>
  <c r="N90" i="103"/>
  <c r="N106" i="103"/>
  <c r="N122" i="103"/>
  <c r="N139" i="103"/>
  <c r="N158" i="103"/>
  <c r="N176" i="103"/>
  <c r="N194" i="103"/>
  <c r="N213" i="103"/>
  <c r="N231" i="103"/>
  <c r="N249" i="103"/>
  <c r="N267" i="103"/>
  <c r="N286" i="103"/>
  <c r="N304" i="103"/>
  <c r="N322" i="103"/>
  <c r="N341" i="103"/>
  <c r="N359" i="103"/>
  <c r="N377" i="103"/>
  <c r="N395" i="103"/>
  <c r="N414" i="103"/>
  <c r="N432" i="103"/>
  <c r="N450" i="103"/>
  <c r="N469" i="103"/>
  <c r="N487" i="103"/>
  <c r="N505" i="103"/>
  <c r="N523" i="103"/>
  <c r="N542" i="103"/>
  <c r="N560" i="103"/>
  <c r="N578" i="103"/>
  <c r="N597" i="103"/>
  <c r="N615" i="103"/>
  <c r="N633" i="103"/>
  <c r="N651" i="103"/>
  <c r="N670" i="103"/>
  <c r="N688" i="103"/>
  <c r="N706" i="103"/>
  <c r="N726" i="103"/>
  <c r="N747" i="103"/>
  <c r="N768" i="103"/>
  <c r="N790" i="103"/>
  <c r="N15" i="103"/>
  <c r="N23" i="103"/>
  <c r="N31" i="103"/>
  <c r="N43" i="103"/>
  <c r="N59" i="103"/>
  <c r="N75" i="103"/>
  <c r="N91" i="103"/>
  <c r="N107" i="103"/>
  <c r="N123" i="103"/>
  <c r="N141" i="103"/>
  <c r="N159" i="103"/>
  <c r="N177" i="103"/>
  <c r="N195" i="103"/>
  <c r="N214" i="103"/>
  <c r="N232" i="103"/>
  <c r="N250" i="103"/>
  <c r="N269" i="103"/>
  <c r="N287" i="103"/>
  <c r="N305" i="103"/>
  <c r="N323" i="103"/>
  <c r="N342" i="103"/>
  <c r="N360" i="103"/>
  <c r="N378" i="103"/>
  <c r="N397" i="103"/>
  <c r="N415" i="103"/>
  <c r="N433" i="103"/>
  <c r="N451" i="103"/>
  <c r="N470" i="103"/>
  <c r="N488" i="103"/>
  <c r="N506" i="103"/>
  <c r="N525" i="103"/>
  <c r="N543" i="103"/>
  <c r="N561" i="103"/>
  <c r="N579" i="103"/>
  <c r="N598" i="103"/>
  <c r="N616" i="103"/>
  <c r="N634" i="103"/>
  <c r="N653" i="103"/>
  <c r="N671" i="103"/>
  <c r="N689" i="103"/>
  <c r="N707" i="103"/>
  <c r="N727" i="103"/>
  <c r="N749" i="103"/>
  <c r="N770" i="103"/>
  <c r="N791" i="103"/>
  <c r="N17" i="103"/>
  <c r="N65" i="103"/>
  <c r="N166" i="103"/>
  <c r="N257" i="103"/>
  <c r="N349" i="103"/>
  <c r="N458" i="103"/>
  <c r="N735" i="103"/>
  <c r="N67" i="103"/>
  <c r="N16" i="103"/>
  <c r="N24" i="103"/>
  <c r="N32" i="103"/>
  <c r="N48" i="103"/>
  <c r="N64" i="103"/>
  <c r="N80" i="103"/>
  <c r="N96" i="103"/>
  <c r="N112" i="103"/>
  <c r="N128" i="103"/>
  <c r="N146" i="103"/>
  <c r="N165" i="103"/>
  <c r="N183" i="103"/>
  <c r="N201" i="103"/>
  <c r="N219" i="103"/>
  <c r="N238" i="103"/>
  <c r="N256" i="103"/>
  <c r="N274" i="103"/>
  <c r="N293" i="103"/>
  <c r="N311" i="103"/>
  <c r="N329" i="103"/>
  <c r="N347" i="103"/>
  <c r="N366" i="103"/>
  <c r="N384" i="103"/>
  <c r="N402" i="103"/>
  <c r="N421" i="103"/>
  <c r="N439" i="103"/>
  <c r="N457" i="103"/>
  <c r="N475" i="103"/>
  <c r="N494" i="103"/>
  <c r="N512" i="103"/>
  <c r="N530" i="103"/>
  <c r="N549" i="103"/>
  <c r="N567" i="103"/>
  <c r="N585" i="103"/>
  <c r="N603" i="103"/>
  <c r="N622" i="103"/>
  <c r="N640" i="103"/>
  <c r="N658" i="103"/>
  <c r="N677" i="103"/>
  <c r="N695" i="103"/>
  <c r="N713" i="103"/>
  <c r="N734" i="103"/>
  <c r="N755" i="103"/>
  <c r="N776" i="103"/>
  <c r="N798" i="103"/>
  <c r="E17" i="1"/>
  <c r="L4" i="2"/>
  <c r="N26" i="2" s="1"/>
  <c r="L5" i="2"/>
  <c r="L6" i="2"/>
  <c r="O11" i="2"/>
  <c r="O12" i="2"/>
  <c r="N18" i="2"/>
  <c r="N34" i="2"/>
  <c r="N42" i="2"/>
  <c r="N98" i="2"/>
  <c r="N114" i="2"/>
  <c r="N138" i="2"/>
  <c r="N154" i="2"/>
  <c r="N179" i="2"/>
  <c r="N187" i="2"/>
  <c r="N191" i="2"/>
  <c r="N195" i="2"/>
  <c r="N199" i="2"/>
  <c r="N227" i="2"/>
  <c r="N231" i="2"/>
  <c r="N243" i="2"/>
  <c r="N251" i="2"/>
  <c r="N255" i="2"/>
  <c r="N283" i="2"/>
  <c r="N287" i="2"/>
  <c r="N291" i="2"/>
  <c r="N295" i="2"/>
  <c r="N307" i="2"/>
  <c r="N327" i="2"/>
  <c r="N339" i="2"/>
  <c r="N347" i="2"/>
  <c r="N351" i="2"/>
  <c r="N355" i="2"/>
  <c r="N383" i="2"/>
  <c r="N387" i="2"/>
  <c r="N391" i="2"/>
  <c r="N403" i="2"/>
  <c r="N407" i="2"/>
  <c r="N419" i="2"/>
  <c r="N423" i="2"/>
  <c r="N425" i="2"/>
  <c r="N427" i="2"/>
  <c r="N429" i="2"/>
  <c r="N443" i="2"/>
  <c r="N445" i="2"/>
  <c r="N451" i="2"/>
  <c r="N455" i="2"/>
  <c r="N457" i="2"/>
  <c r="N471" i="2"/>
  <c r="N473" i="2"/>
  <c r="N475" i="2"/>
  <c r="N477" i="2"/>
  <c r="N483" i="2"/>
  <c r="N491" i="2"/>
  <c r="N493" i="2"/>
  <c r="N499" i="2"/>
  <c r="N503" i="2"/>
  <c r="N505" i="2"/>
  <c r="N507" i="2"/>
  <c r="N509" i="2"/>
  <c r="N519" i="2"/>
  <c r="N521" i="2"/>
  <c r="N523" i="2"/>
  <c r="N525" i="2"/>
  <c r="N531" i="2"/>
  <c r="N535" i="2"/>
  <c r="N537" i="2"/>
  <c r="N539" i="2"/>
  <c r="N541" i="2"/>
  <c r="N547" i="2"/>
  <c r="N551" i="2"/>
  <c r="N553" i="2"/>
  <c r="N555" i="2"/>
  <c r="N557" i="2"/>
  <c r="N563" i="2"/>
  <c r="N567" i="2"/>
  <c r="N569" i="2"/>
  <c r="N571" i="2"/>
  <c r="N573" i="2"/>
  <c r="N579" i="2"/>
  <c r="N583" i="2"/>
  <c r="N585" i="2"/>
  <c r="N587" i="2"/>
  <c r="N589" i="2"/>
  <c r="N595" i="2"/>
  <c r="N597" i="2"/>
  <c r="N598" i="2"/>
  <c r="N599" i="2"/>
  <c r="N600" i="2"/>
  <c r="N603" i="2"/>
  <c r="N605" i="2"/>
  <c r="N606" i="2"/>
  <c r="N607" i="2"/>
  <c r="N608" i="2"/>
  <c r="N611" i="2"/>
  <c r="N613" i="2"/>
  <c r="N614" i="2"/>
  <c r="N615" i="2"/>
  <c r="N616" i="2"/>
  <c r="N619" i="2"/>
  <c r="N621" i="2"/>
  <c r="N622" i="2"/>
  <c r="N623" i="2"/>
  <c r="N624" i="2"/>
  <c r="N627" i="2"/>
  <c r="N629" i="2"/>
  <c r="N630" i="2"/>
  <c r="N631" i="2"/>
  <c r="N632" i="2"/>
  <c r="N635" i="2"/>
  <c r="N637" i="2"/>
  <c r="N638" i="2"/>
  <c r="N639" i="2"/>
  <c r="N640" i="2"/>
  <c r="N643" i="2"/>
  <c r="N645" i="2"/>
  <c r="N646" i="2"/>
  <c r="N647" i="2"/>
  <c r="N648" i="2"/>
  <c r="N651" i="2"/>
  <c r="N653" i="2"/>
  <c r="N654" i="2"/>
  <c r="N655" i="2"/>
  <c r="N656" i="2"/>
  <c r="N659" i="2"/>
  <c r="N661" i="2"/>
  <c r="N662" i="2"/>
  <c r="N663" i="2"/>
  <c r="N664" i="2"/>
  <c r="N667" i="2"/>
  <c r="N669" i="2"/>
  <c r="N670" i="2"/>
  <c r="N671" i="2"/>
  <c r="N672" i="2"/>
  <c r="N675" i="2"/>
  <c r="N677" i="2"/>
  <c r="N678" i="2"/>
  <c r="N679" i="2"/>
  <c r="N680" i="2"/>
  <c r="N683" i="2"/>
  <c r="N685" i="2"/>
  <c r="N686" i="2"/>
  <c r="N687" i="2"/>
  <c r="N688" i="2"/>
  <c r="N691" i="2"/>
  <c r="N693" i="2"/>
  <c r="N694" i="2"/>
  <c r="N695" i="2"/>
  <c r="N696" i="2"/>
  <c r="N699" i="2"/>
  <c r="N701" i="2"/>
  <c r="N702" i="2"/>
  <c r="N703" i="2"/>
  <c r="N704" i="2"/>
  <c r="N707" i="2"/>
  <c r="N709" i="2"/>
  <c r="N710" i="2"/>
  <c r="N711" i="2"/>
  <c r="N712" i="2"/>
  <c r="N715" i="2"/>
  <c r="N717" i="2"/>
  <c r="N718" i="2"/>
  <c r="N719" i="2"/>
  <c r="N720" i="2"/>
  <c r="N723" i="2"/>
  <c r="N725" i="2"/>
  <c r="N726" i="2"/>
  <c r="N727" i="2"/>
  <c r="N728" i="2"/>
  <c r="N731" i="2"/>
  <c r="N733" i="2"/>
  <c r="N734" i="2"/>
  <c r="N735" i="2"/>
  <c r="N736" i="2"/>
  <c r="N739" i="2"/>
  <c r="N741" i="2"/>
  <c r="N742" i="2"/>
  <c r="N743" i="2"/>
  <c r="N744" i="2"/>
  <c r="N747" i="2"/>
  <c r="N749" i="2"/>
  <c r="N750" i="2"/>
  <c r="N751" i="2"/>
  <c r="N752" i="2"/>
  <c r="N755" i="2"/>
  <c r="N757" i="2"/>
  <c r="N758" i="2"/>
  <c r="N759" i="2"/>
  <c r="N760" i="2"/>
  <c r="N763" i="2"/>
  <c r="N765" i="2"/>
  <c r="N766" i="2"/>
  <c r="N767" i="2"/>
  <c r="N768" i="2"/>
  <c r="N771" i="2"/>
  <c r="N773" i="2"/>
  <c r="N774" i="2"/>
  <c r="N775" i="2"/>
  <c r="N776" i="2"/>
  <c r="N779" i="2"/>
  <c r="N781" i="2"/>
  <c r="N782" i="2"/>
  <c r="N783" i="2"/>
  <c r="N784" i="2"/>
  <c r="N787" i="2"/>
  <c r="N789" i="2"/>
  <c r="N790" i="2"/>
  <c r="N791" i="2"/>
  <c r="N792" i="2"/>
  <c r="N795" i="2"/>
  <c r="N797" i="2"/>
  <c r="N798" i="2"/>
  <c r="N799" i="2"/>
  <c r="N800" i="2"/>
  <c r="N803" i="2"/>
  <c r="N805" i="2"/>
  <c r="N806" i="2"/>
  <c r="N807" i="2"/>
  <c r="N808" i="2"/>
  <c r="N811" i="2"/>
  <c r="N153" i="2"/>
  <c r="N151" i="2"/>
  <c r="N149" i="2"/>
  <c r="N147" i="2"/>
  <c r="N141" i="2"/>
  <c r="N137" i="2"/>
  <c r="N135" i="2"/>
  <c r="N133" i="2"/>
  <c r="N131" i="2"/>
  <c r="N125" i="2"/>
  <c r="N121" i="2"/>
  <c r="N119" i="2"/>
  <c r="N117" i="2"/>
  <c r="N115" i="2"/>
  <c r="N109" i="2"/>
  <c r="N105" i="2"/>
  <c r="N103" i="2"/>
  <c r="N101" i="2"/>
  <c r="N99" i="2"/>
  <c r="N93" i="2"/>
  <c r="N89" i="2"/>
  <c r="N87" i="2"/>
  <c r="N85" i="2"/>
  <c r="N83" i="2"/>
  <c r="N77" i="2"/>
  <c r="N73" i="2"/>
  <c r="N71" i="2"/>
  <c r="N69" i="2"/>
  <c r="N67" i="2"/>
  <c r="N61" i="2"/>
  <c r="N57" i="2"/>
  <c r="N55" i="2"/>
  <c r="N53" i="2"/>
  <c r="N51" i="2"/>
  <c r="N45" i="2"/>
  <c r="N41" i="2"/>
  <c r="N39" i="2"/>
  <c r="N37" i="2"/>
  <c r="N35" i="2"/>
  <c r="N29" i="2"/>
  <c r="N25" i="2"/>
  <c r="N23" i="2"/>
  <c r="N21" i="2"/>
  <c r="N19" i="2"/>
  <c r="N13" i="2"/>
  <c r="N11" i="2"/>
  <c r="N16" i="2"/>
  <c r="N20" i="2"/>
  <c r="N24" i="2"/>
  <c r="N36" i="2"/>
  <c r="N44" i="2"/>
  <c r="N48" i="2"/>
  <c r="N52" i="2"/>
  <c r="N56" i="2"/>
  <c r="N68" i="2"/>
  <c r="N76" i="2"/>
  <c r="N80" i="2"/>
  <c r="N84" i="2"/>
  <c r="N88" i="2"/>
  <c r="N100" i="2"/>
  <c r="N108" i="2"/>
  <c r="N112" i="2"/>
  <c r="N116" i="2"/>
  <c r="N120" i="2"/>
  <c r="N132" i="2"/>
  <c r="N140" i="2"/>
  <c r="N144" i="2"/>
  <c r="N148" i="2"/>
  <c r="N152" i="2"/>
  <c r="N160" i="2"/>
  <c r="N164" i="2"/>
  <c r="N166" i="2"/>
  <c r="N168" i="2"/>
  <c r="N170" i="2"/>
  <c r="N176" i="2"/>
  <c r="N180" i="2"/>
  <c r="N182" i="2"/>
  <c r="N184" i="2"/>
  <c r="N186" i="2"/>
  <c r="N192" i="2"/>
  <c r="N196" i="2"/>
  <c r="N198" i="2"/>
  <c r="N200" i="2"/>
  <c r="N202" i="2"/>
  <c r="N208" i="2"/>
  <c r="N212" i="2"/>
  <c r="N214" i="2"/>
  <c r="N216" i="2"/>
  <c r="N218" i="2"/>
  <c r="N224" i="2"/>
  <c r="N228" i="2"/>
  <c r="N230" i="2"/>
  <c r="N232" i="2"/>
  <c r="N234" i="2"/>
  <c r="N240" i="2"/>
  <c r="N244" i="2"/>
  <c r="N246" i="2"/>
  <c r="N248" i="2"/>
  <c r="N250" i="2"/>
  <c r="N256" i="2"/>
  <c r="N260" i="2"/>
  <c r="N262" i="2"/>
  <c r="N264" i="2"/>
  <c r="N266" i="2"/>
  <c r="N272" i="2"/>
  <c r="N276" i="2"/>
  <c r="N278" i="2"/>
  <c r="N280" i="2"/>
  <c r="N282" i="2"/>
  <c r="N286" i="2"/>
  <c r="N288" i="2"/>
  <c r="N292" i="2"/>
  <c r="N294" i="2"/>
  <c r="N296" i="2"/>
  <c r="N298" i="2"/>
  <c r="N302" i="2"/>
  <c r="N304" i="2"/>
  <c r="N308" i="2"/>
  <c r="N310" i="2"/>
  <c r="N312" i="2"/>
  <c r="N314" i="2"/>
  <c r="N318" i="2"/>
  <c r="N320" i="2"/>
  <c r="N324" i="2"/>
  <c r="N326" i="2"/>
  <c r="N328" i="2"/>
  <c r="N330" i="2"/>
  <c r="N334" i="2"/>
  <c r="N336" i="2"/>
  <c r="N340" i="2"/>
  <c r="N342" i="2"/>
  <c r="N344" i="2"/>
  <c r="N346" i="2"/>
  <c r="N350" i="2"/>
  <c r="N352" i="2"/>
  <c r="N356" i="2"/>
  <c r="N358" i="2"/>
  <c r="N360" i="2"/>
  <c r="N362" i="2"/>
  <c r="N366" i="2"/>
  <c r="N368" i="2"/>
  <c r="N372" i="2"/>
  <c r="N374" i="2"/>
  <c r="N376" i="2"/>
  <c r="N378" i="2"/>
  <c r="N382" i="2"/>
  <c r="N384" i="2"/>
  <c r="N388" i="2"/>
  <c r="N390" i="2"/>
  <c r="N392" i="2"/>
  <c r="N394" i="2"/>
  <c r="N398" i="2"/>
  <c r="N400" i="2"/>
  <c r="N404" i="2"/>
  <c r="N406" i="2"/>
  <c r="N408" i="2"/>
  <c r="N410" i="2"/>
  <c r="N414" i="2"/>
  <c r="N416" i="2"/>
  <c r="N420" i="2"/>
  <c r="N422" i="2"/>
  <c r="N424" i="2"/>
  <c r="N426" i="2"/>
  <c r="N430" i="2"/>
  <c r="N432" i="2"/>
  <c r="N436" i="2"/>
  <c r="N438" i="2"/>
  <c r="N440" i="2"/>
  <c r="N442" i="2"/>
  <c r="N446" i="2"/>
  <c r="N448" i="2"/>
  <c r="N452" i="2"/>
  <c r="N454" i="2"/>
  <c r="N456" i="2"/>
  <c r="N458" i="2"/>
  <c r="N462" i="2"/>
  <c r="N464" i="2"/>
  <c r="N468" i="2"/>
  <c r="N470" i="2"/>
  <c r="N472" i="2"/>
  <c r="N474" i="2"/>
  <c r="N478" i="2"/>
  <c r="N480" i="2"/>
  <c r="N484" i="2"/>
  <c r="N486" i="2"/>
  <c r="N488" i="2"/>
  <c r="N490" i="2"/>
  <c r="N494" i="2"/>
  <c r="N496" i="2"/>
  <c r="N500" i="2"/>
  <c r="N502" i="2"/>
  <c r="N504" i="2"/>
  <c r="N506" i="2"/>
  <c r="N510" i="2"/>
  <c r="N512" i="2"/>
  <c r="N516" i="2"/>
  <c r="N518" i="2"/>
  <c r="N520" i="2"/>
  <c r="N522" i="2"/>
  <c r="N524" i="2"/>
  <c r="N526" i="2"/>
  <c r="N528" i="2"/>
  <c r="N530" i="2"/>
  <c r="N532" i="2"/>
  <c r="N534" i="2"/>
  <c r="N536" i="2"/>
  <c r="N538" i="2"/>
  <c r="N540" i="2"/>
  <c r="N542" i="2"/>
  <c r="N544" i="2"/>
  <c r="N546" i="2"/>
  <c r="N548" i="2"/>
  <c r="N550" i="2"/>
  <c r="N552" i="2"/>
  <c r="N554" i="2"/>
  <c r="N556" i="2"/>
  <c r="N558" i="2"/>
  <c r="N560" i="2"/>
  <c r="N562" i="2"/>
  <c r="N564" i="2"/>
  <c r="N566" i="2"/>
  <c r="N568" i="2"/>
  <c r="N570" i="2"/>
  <c r="N572" i="2"/>
  <c r="N574" i="2"/>
  <c r="N576" i="2"/>
  <c r="N578" i="2"/>
  <c r="N580" i="2"/>
  <c r="N582" i="2"/>
  <c r="N584" i="2"/>
  <c r="N586" i="2"/>
  <c r="N588" i="2"/>
  <c r="N590" i="2"/>
  <c r="N592" i="2"/>
  <c r="N594" i="2"/>
  <c r="N14" i="2"/>
  <c r="N22" i="2"/>
  <c r="N30" i="2"/>
  <c r="N38" i="2"/>
  <c r="N46" i="2"/>
  <c r="N54" i="2"/>
  <c r="N62" i="2"/>
  <c r="N70" i="2"/>
  <c r="N78" i="2"/>
  <c r="N86" i="2"/>
  <c r="N94" i="2"/>
  <c r="N102" i="2"/>
  <c r="N110" i="2"/>
  <c r="N118" i="2"/>
  <c r="N126" i="2"/>
  <c r="N134" i="2"/>
  <c r="N142" i="2"/>
  <c r="N150" i="2"/>
  <c r="N157" i="2"/>
  <c r="N161" i="2"/>
  <c r="N165" i="2"/>
  <c r="N169" i="2"/>
  <c r="N173" i="2"/>
  <c r="N177" i="2"/>
  <c r="N181" i="2"/>
  <c r="N185" i="2"/>
  <c r="N189" i="2"/>
  <c r="N193" i="2"/>
  <c r="N197" i="2"/>
  <c r="N201" i="2"/>
  <c r="N205" i="2"/>
  <c r="N209" i="2"/>
  <c r="N213" i="2"/>
  <c r="N217" i="2"/>
  <c r="N221" i="2"/>
  <c r="N225" i="2"/>
  <c r="N229" i="2"/>
  <c r="N233" i="2"/>
  <c r="N237" i="2"/>
  <c r="N241" i="2"/>
  <c r="N245" i="2"/>
  <c r="N249" i="2"/>
  <c r="N253" i="2"/>
  <c r="N257" i="2"/>
  <c r="N261" i="2"/>
  <c r="N265" i="2"/>
  <c r="N269" i="2"/>
  <c r="N273" i="2"/>
  <c r="N277" i="2"/>
  <c r="N281" i="2"/>
  <c r="N285" i="2"/>
  <c r="N289" i="2"/>
  <c r="N293" i="2"/>
  <c r="N297" i="2"/>
  <c r="N301" i="2"/>
  <c r="N305" i="2"/>
  <c r="N309" i="2"/>
  <c r="N313" i="2"/>
  <c r="N317" i="2"/>
  <c r="N321" i="2"/>
  <c r="N325" i="2"/>
  <c r="N329" i="2"/>
  <c r="N333" i="2"/>
  <c r="N337" i="2"/>
  <c r="N341" i="2"/>
  <c r="N345" i="2"/>
  <c r="N349" i="2"/>
  <c r="N353" i="2"/>
  <c r="N357" i="2"/>
  <c r="N361" i="2"/>
  <c r="N365" i="2"/>
  <c r="N369" i="2"/>
  <c r="N373" i="2"/>
  <c r="N377" i="2"/>
  <c r="N381" i="2"/>
  <c r="N385" i="2"/>
  <c r="N389" i="2"/>
  <c r="N393" i="2"/>
  <c r="N397" i="2"/>
  <c r="N401" i="2"/>
  <c r="N106" i="2" l="1"/>
  <c r="N467" i="2"/>
  <c r="N441" i="2"/>
  <c r="N413" i="2"/>
  <c r="N379" i="2"/>
  <c r="N323" i="2"/>
  <c r="N275" i="2"/>
  <c r="N223" i="2"/>
  <c r="N167" i="2"/>
  <c r="N90" i="2"/>
  <c r="N515" i="2"/>
  <c r="N489" i="2"/>
  <c r="N461" i="2"/>
  <c r="N439" i="2"/>
  <c r="N411" i="2"/>
  <c r="N371" i="2"/>
  <c r="N319" i="2"/>
  <c r="N263" i="2"/>
  <c r="N219" i="2"/>
  <c r="N163" i="2"/>
  <c r="N74" i="2"/>
  <c r="N487" i="2"/>
  <c r="N459" i="2"/>
  <c r="N435" i="2"/>
  <c r="N409" i="2"/>
  <c r="N359" i="2"/>
  <c r="N315" i="2"/>
  <c r="N259" i="2"/>
  <c r="N211" i="2"/>
  <c r="N159" i="2"/>
  <c r="N50" i="2"/>
  <c r="N58" i="2"/>
  <c r="N122" i="2"/>
  <c r="N171" i="2"/>
  <c r="N203" i="2"/>
  <c r="N235" i="2"/>
  <c r="N267" i="2"/>
  <c r="N299" i="2"/>
  <c r="N331" i="2"/>
  <c r="N363" i="2"/>
  <c r="N395" i="2"/>
  <c r="N415" i="2"/>
  <c r="N431" i="2"/>
  <c r="N447" i="2"/>
  <c r="N463" i="2"/>
  <c r="N479" i="2"/>
  <c r="N495" i="2"/>
  <c r="N511" i="2"/>
  <c r="N527" i="2"/>
  <c r="N543" i="2"/>
  <c r="N559" i="2"/>
  <c r="N575" i="2"/>
  <c r="N591" i="2"/>
  <c r="N601" i="2"/>
  <c r="N609" i="2"/>
  <c r="N617" i="2"/>
  <c r="N625" i="2"/>
  <c r="N633" i="2"/>
  <c r="N641" i="2"/>
  <c r="N649" i="2"/>
  <c r="N657" i="2"/>
  <c r="N665" i="2"/>
  <c r="N673" i="2"/>
  <c r="N681" i="2"/>
  <c r="N689" i="2"/>
  <c r="N697" i="2"/>
  <c r="N705" i="2"/>
  <c r="N713" i="2"/>
  <c r="N721" i="2"/>
  <c r="N729" i="2"/>
  <c r="N737" i="2"/>
  <c r="N745" i="2"/>
  <c r="N753" i="2"/>
  <c r="N761" i="2"/>
  <c r="N769" i="2"/>
  <c r="N777" i="2"/>
  <c r="N785" i="2"/>
  <c r="N793" i="2"/>
  <c r="N801" i="2"/>
  <c r="N809" i="2"/>
  <c r="N145" i="2"/>
  <c r="N129" i="2"/>
  <c r="N113" i="2"/>
  <c r="N97" i="2"/>
  <c r="N81" i="2"/>
  <c r="N65" i="2"/>
  <c r="N49" i="2"/>
  <c r="N33" i="2"/>
  <c r="N17" i="2"/>
  <c r="N28" i="2"/>
  <c r="N60" i="2"/>
  <c r="N92" i="2"/>
  <c r="N124" i="2"/>
  <c r="N156" i="2"/>
  <c r="N172" i="2"/>
  <c r="N188" i="2"/>
  <c r="N204" i="2"/>
  <c r="N220" i="2"/>
  <c r="N236" i="2"/>
  <c r="N252" i="2"/>
  <c r="N268" i="2"/>
  <c r="N284" i="2"/>
  <c r="N300" i="2"/>
  <c r="N316" i="2"/>
  <c r="N332" i="2"/>
  <c r="N348" i="2"/>
  <c r="N364" i="2"/>
  <c r="N380" i="2"/>
  <c r="N396" i="2"/>
  <c r="N412" i="2"/>
  <c r="N428" i="2"/>
  <c r="N444" i="2"/>
  <c r="N460" i="2"/>
  <c r="N476" i="2"/>
  <c r="N492" i="2"/>
  <c r="N508" i="2"/>
  <c r="N66" i="2"/>
  <c r="N130" i="2"/>
  <c r="N175" i="2"/>
  <c r="N207" i="2"/>
  <c r="N239" i="2"/>
  <c r="N271" i="2"/>
  <c r="N303" i="2"/>
  <c r="N335" i="2"/>
  <c r="N367" i="2"/>
  <c r="N399" i="2"/>
  <c r="N417" i="2"/>
  <c r="N433" i="2"/>
  <c r="N449" i="2"/>
  <c r="N465" i="2"/>
  <c r="N481" i="2"/>
  <c r="N497" i="2"/>
  <c r="N513" i="2"/>
  <c r="N529" i="2"/>
  <c r="N545" i="2"/>
  <c r="N561" i="2"/>
  <c r="N577" i="2"/>
  <c r="N593" i="2"/>
  <c r="N602" i="2"/>
  <c r="N610" i="2"/>
  <c r="N618" i="2"/>
  <c r="N626" i="2"/>
  <c r="N634" i="2"/>
  <c r="N642" i="2"/>
  <c r="N650" i="2"/>
  <c r="N658" i="2"/>
  <c r="N666" i="2"/>
  <c r="N674" i="2"/>
  <c r="N682" i="2"/>
  <c r="N690" i="2"/>
  <c r="N698" i="2"/>
  <c r="N706" i="2"/>
  <c r="N714" i="2"/>
  <c r="N722" i="2"/>
  <c r="N730" i="2"/>
  <c r="N738" i="2"/>
  <c r="N746" i="2"/>
  <c r="N754" i="2"/>
  <c r="N762" i="2"/>
  <c r="N770" i="2"/>
  <c r="N778" i="2"/>
  <c r="N786" i="2"/>
  <c r="N794" i="2"/>
  <c r="N802" i="2"/>
  <c r="N810" i="2"/>
  <c r="N143" i="2"/>
  <c r="N127" i="2"/>
  <c r="N111" i="2"/>
  <c r="N95" i="2"/>
  <c r="N79" i="2"/>
  <c r="N63" i="2"/>
  <c r="N47" i="2"/>
  <c r="N31" i="2"/>
  <c r="N15" i="2"/>
  <c r="N32" i="2"/>
  <c r="N64" i="2"/>
  <c r="N96" i="2"/>
  <c r="N128" i="2"/>
  <c r="N158" i="2"/>
  <c r="N174" i="2"/>
  <c r="N190" i="2"/>
  <c r="N206" i="2"/>
  <c r="N222" i="2"/>
  <c r="N238" i="2"/>
  <c r="N254" i="2"/>
  <c r="N270" i="2"/>
  <c r="N82" i="2"/>
  <c r="N146" i="2"/>
  <c r="N183" i="2"/>
  <c r="N215" i="2"/>
  <c r="N247" i="2"/>
  <c r="N279" i="2"/>
  <c r="N311" i="2"/>
  <c r="N343" i="2"/>
  <c r="N375" i="2"/>
  <c r="N405" i="2"/>
  <c r="N421" i="2"/>
  <c r="N437" i="2"/>
  <c r="N453" i="2"/>
  <c r="N469" i="2"/>
  <c r="N485" i="2"/>
  <c r="N501" i="2"/>
  <c r="N517" i="2"/>
  <c r="N533" i="2"/>
  <c r="N549" i="2"/>
  <c r="N565" i="2"/>
  <c r="N581" i="2"/>
  <c r="N596" i="2"/>
  <c r="N604" i="2"/>
  <c r="N612" i="2"/>
  <c r="N620" i="2"/>
  <c r="N628" i="2"/>
  <c r="N636" i="2"/>
  <c r="N644" i="2"/>
  <c r="N652" i="2"/>
  <c r="N660" i="2"/>
  <c r="N668" i="2"/>
  <c r="N676" i="2"/>
  <c r="N684" i="2"/>
  <c r="N692" i="2"/>
  <c r="N700" i="2"/>
  <c r="N708" i="2"/>
  <c r="N716" i="2"/>
  <c r="N724" i="2"/>
  <c r="N732" i="2"/>
  <c r="N740" i="2"/>
  <c r="N748" i="2"/>
  <c r="N756" i="2"/>
  <c r="N764" i="2"/>
  <c r="N772" i="2"/>
  <c r="N780" i="2"/>
  <c r="N788" i="2"/>
  <c r="N796" i="2"/>
  <c r="N804" i="2"/>
  <c r="N155" i="2"/>
  <c r="N139" i="2"/>
  <c r="N123" i="2"/>
  <c r="N107" i="2"/>
  <c r="N91" i="2"/>
  <c r="N75" i="2"/>
  <c r="N59" i="2"/>
  <c r="N43" i="2"/>
  <c r="N27" i="2"/>
  <c r="N12" i="2"/>
  <c r="N40" i="2"/>
  <c r="N72" i="2"/>
  <c r="N104" i="2"/>
  <c r="N136" i="2"/>
  <c r="N162" i="2"/>
  <c r="N178" i="2"/>
  <c r="N194" i="2"/>
  <c r="N210" i="2"/>
  <c r="N226" i="2"/>
  <c r="N242" i="2"/>
  <c r="N258" i="2"/>
  <c r="N274" i="2"/>
  <c r="N290" i="2"/>
  <c r="N306" i="2"/>
  <c r="N322" i="2"/>
  <c r="N338" i="2"/>
  <c r="N354" i="2"/>
  <c r="N370" i="2"/>
  <c r="N386" i="2"/>
  <c r="N402" i="2"/>
  <c r="N418" i="2"/>
  <c r="N434" i="2"/>
  <c r="N450" i="2"/>
  <c r="N466" i="2"/>
  <c r="N482" i="2"/>
  <c r="N498" i="2"/>
  <c r="N514" i="2"/>
</calcChain>
</file>

<file path=xl/sharedStrings.xml><?xml version="1.0" encoding="utf-8"?>
<sst xmlns="http://schemas.openxmlformats.org/spreadsheetml/2006/main" count="463" uniqueCount="84">
  <si>
    <t>4294A Data Transfer Program</t>
    <phoneticPr fontId="1"/>
  </si>
  <si>
    <t>Perform the single trigger measurement before running this program</t>
    <phoneticPr fontId="1"/>
  </si>
  <si>
    <t>Step-1</t>
    <phoneticPr fontId="1"/>
  </si>
  <si>
    <t xml:space="preserve"> &lt;---  Select the connection type</t>
    <phoneticPr fontId="1"/>
  </si>
  <si>
    <t>GPIB</t>
    <phoneticPr fontId="1"/>
  </si>
  <si>
    <t>LAN</t>
    <phoneticPr fontId="1"/>
  </si>
  <si>
    <r>
      <rPr>
        <b/>
        <sz val="10"/>
        <color indexed="22"/>
        <rFont val="ＭＳ Ｐゴシック"/>
        <family val="3"/>
        <charset val="128"/>
      </rPr>
      <t>ハンドシェークをしましょう、というボタン。</t>
    </r>
    <phoneticPr fontId="1"/>
  </si>
  <si>
    <t>Connection Status</t>
    <phoneticPr fontId="1"/>
  </si>
  <si>
    <t>Step-2</t>
    <phoneticPr fontId="1"/>
  </si>
  <si>
    <t xml:space="preserve"> &lt;---  Enter a new sheet name</t>
    <phoneticPr fontId="1"/>
  </si>
  <si>
    <t>Error Message</t>
    <phoneticPr fontId="1"/>
  </si>
  <si>
    <t xml:space="preserve">Note </t>
    <phoneticPr fontId="1"/>
  </si>
  <si>
    <t>* Sheet name is restricted by the rule in Excel. When the error message is shown, refer to the Excel help file</t>
    <phoneticPr fontId="1"/>
  </si>
  <si>
    <t>xxx</t>
  </si>
  <si>
    <t>Y2</t>
  </si>
  <si>
    <t>Meas. Parameter</t>
    <phoneticPr fontId="1"/>
  </si>
  <si>
    <t>Osc Level</t>
    <phoneticPr fontId="1"/>
  </si>
  <si>
    <t>Graph Parameter</t>
    <phoneticPr fontId="1"/>
  </si>
  <si>
    <t>Adapter</t>
    <phoneticPr fontId="1"/>
  </si>
  <si>
    <t>DC Bias</t>
    <phoneticPr fontId="1"/>
  </si>
  <si>
    <t>X</t>
    <phoneticPr fontId="1"/>
  </si>
  <si>
    <t>Sweep Type</t>
    <phoneticPr fontId="1"/>
  </si>
  <si>
    <t>BW</t>
    <phoneticPr fontId="1"/>
  </si>
  <si>
    <t>Y1</t>
    <phoneticPr fontId="1"/>
  </si>
  <si>
    <t>Number of Points</t>
    <phoneticPr fontId="1"/>
  </si>
  <si>
    <t>Sweep Averaging</t>
    <phoneticPr fontId="1"/>
  </si>
  <si>
    <t>Point Delay Time</t>
    <phoneticPr fontId="1"/>
  </si>
  <si>
    <t>Point Averaging</t>
    <phoneticPr fontId="1"/>
  </si>
  <si>
    <t>Sweep Delay Time</t>
    <phoneticPr fontId="1"/>
  </si>
  <si>
    <t>xxx</t>
    <phoneticPr fontId="1"/>
  </si>
  <si>
    <t>Point#</t>
    <phoneticPr fontId="1"/>
  </si>
  <si>
    <t>XXXX</t>
    <phoneticPr fontId="1"/>
  </si>
  <si>
    <t>X-axis</t>
    <phoneticPr fontId="1"/>
  </si>
  <si>
    <t>Dropdown List</t>
    <phoneticPr fontId="1"/>
  </si>
  <si>
    <t>Data Trace A Real</t>
    <phoneticPr fontId="1"/>
  </si>
  <si>
    <t>Data Trace A Imag</t>
    <phoneticPr fontId="1"/>
  </si>
  <si>
    <t>Data Trace B Real</t>
    <phoneticPr fontId="1"/>
  </si>
  <si>
    <t>Data Trace B Imag</t>
    <phoneticPr fontId="1"/>
  </si>
  <si>
    <t>Enable “Macros” first since this file contains macros</t>
    <phoneticPr fontId="1"/>
  </si>
  <si>
    <t>For more details, refer to the operation manual</t>
    <phoneticPr fontId="1"/>
  </si>
  <si>
    <t>Connect your PC with 4294A using either LAN cable or USB/GPIB interface.
To handshake with 4294A, select the connection type and enter the GPIB address or the IP address of the 4294A, then click "Handshake" button.</t>
    <phoneticPr fontId="1"/>
  </si>
  <si>
    <t>* New sheet is created based on "MasterSheet". Do not change and delete the "MasterSheet" unless you modify this sample program</t>
    <phoneticPr fontId="1"/>
  </si>
  <si>
    <t>* The measurement conditions displayed on the newly created sheet are the query results of the measurement settings, which may differ from the actual measurement conditions (e.g. BIAS [V] such as 1 [V] is shown but it might not be applied in the case the BIAS softkey was not turned on during the measurement)</t>
    <phoneticPr fontId="1"/>
  </si>
  <si>
    <t>This program (Excel VBA) transfers the measurement data and the display image from the 4294A to a PC</t>
    <phoneticPr fontId="1"/>
  </si>
  <si>
    <t>Enter a new sheet name to transfer the measuement data or/and the display image, then click "Get Data" or/and "Get Image" button. The data/image is transferred to the newly created sheet.</t>
    <phoneticPr fontId="1"/>
  </si>
  <si>
    <t>Rev.03.10</t>
    <phoneticPr fontId="1"/>
  </si>
  <si>
    <t>LAN</t>
  </si>
  <si>
    <t>OK</t>
  </si>
  <si>
    <t>HEWLETT-PACKARD,4294A,JP2KG00152,REV1.11</t>
  </si>
  <si>
    <t>10.153.0.3</t>
  </si>
  <si>
    <t>FW: REV1.1</t>
  </si>
  <si>
    <t>Data Trace A Real</t>
  </si>
  <si>
    <t>Data Trace A Imag</t>
  </si>
  <si>
    <t>Data Trace B Real</t>
  </si>
  <si>
    <t>Data Trace B Imag</t>
  </si>
  <si>
    <t>NONE</t>
  </si>
  <si>
    <t>LOG</t>
  </si>
  <si>
    <t>0.2 [Sec]</t>
  </si>
  <si>
    <t>1 [Sec]</t>
  </si>
  <si>
    <t>Off</t>
  </si>
  <si>
    <t>Frequency</t>
  </si>
  <si>
    <t>0.5 [V]</t>
  </si>
  <si>
    <t>Cp</t>
  </si>
  <si>
    <t>Rp</t>
  </si>
  <si>
    <t>|Z| - theta</t>
  </si>
  <si>
    <t>|Z|</t>
  </si>
  <si>
    <t>theta</t>
  </si>
  <si>
    <t>Sweep Direction</t>
  </si>
  <si>
    <t>Notes</t>
  </si>
  <si>
    <t>Value</t>
  </si>
  <si>
    <t>Additional</t>
  </si>
  <si>
    <t>Param</t>
  </si>
  <si>
    <t>10k</t>
  </si>
  <si>
    <t>5p</t>
  </si>
  <si>
    <t>1mm 2g</t>
  </si>
  <si>
    <t>C</t>
  </si>
  <si>
    <t>2.9p</t>
  </si>
  <si>
    <t>4.8p</t>
  </si>
  <si>
    <t>0.98M</t>
  </si>
  <si>
    <t>5.2p</t>
  </si>
  <si>
    <t>4.4p</t>
  </si>
  <si>
    <t>100M</t>
  </si>
  <si>
    <t>470p</t>
  </si>
  <si>
    <t>RC1_RC3_RC2_2pt_1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</si>
</sst>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/d\ h:mm;@"/>
    <numFmt numFmtId="165" formatCode="0.0000E+00"/>
  </numFmts>
  <fonts count="22"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b/>
      <u/>
      <sz val="18"/>
      <color indexed="9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0"/>
      <color indexed="10"/>
      <name val="Arial"/>
      <family val="2"/>
    </font>
    <font>
      <b/>
      <u/>
      <sz val="10"/>
      <name val="Arial"/>
      <family val="2"/>
    </font>
    <font>
      <b/>
      <u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22"/>
      <name val="ＭＳ Ｐゴシック"/>
      <family val="3"/>
      <charset val="128"/>
    </font>
    <font>
      <b/>
      <sz val="10"/>
      <color indexed="22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Calibri"/>
      <family val="2"/>
    </font>
    <font>
      <sz val="6"/>
      <color indexed="9"/>
      <name val="Calibri"/>
      <family val="2"/>
    </font>
    <font>
      <sz val="10"/>
      <color indexed="9"/>
      <name val="Calibri"/>
      <family val="2"/>
    </font>
    <font>
      <b/>
      <sz val="10"/>
      <color indexed="12"/>
      <name val="Arial"/>
      <family val="2"/>
    </font>
    <font>
      <sz val="10"/>
      <name val="ＭＳ Ｐゴシック"/>
      <family val="3"/>
      <charset val="128"/>
    </font>
    <font>
      <sz val="10"/>
      <color indexed="12"/>
      <name val="Arial"/>
      <family val="2"/>
    </font>
    <font>
      <u/>
      <sz val="10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 style="thin">
        <color indexed="64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 style="thin">
        <color indexed="55"/>
      </top>
      <bottom style="thin">
        <color indexed="64"/>
      </bottom>
      <diagonal/>
    </border>
    <border>
      <left/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64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55"/>
      </right>
      <top style="thin">
        <color indexed="64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4" xfId="0" applyFont="1" applyBorder="1">
      <alignment vertical="center"/>
    </xf>
    <xf numFmtId="0" fontId="6" fillId="0" borderId="0" xfId="0" applyFont="1" applyAlignment="1">
      <alignment horizontal="left" vertical="center"/>
    </xf>
    <xf numFmtId="0" fontId="3" fillId="0" borderId="5" xfId="0" applyFont="1" applyBorder="1">
      <alignment vertical="center"/>
    </xf>
    <xf numFmtId="0" fontId="7" fillId="0" borderId="0" xfId="0" applyFont="1">
      <alignment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>
      <alignment vertical="center"/>
    </xf>
    <xf numFmtId="0" fontId="8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indent="1"/>
    </xf>
    <xf numFmtId="0" fontId="9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3" fillId="0" borderId="6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0" xfId="0" applyFont="1" applyFill="1">
      <alignment vertical="center"/>
    </xf>
    <xf numFmtId="0" fontId="14" fillId="0" borderId="0" xfId="0" applyFont="1">
      <alignment vertical="center"/>
    </xf>
    <xf numFmtId="0" fontId="15" fillId="3" borderId="0" xfId="0" applyFont="1" applyFill="1">
      <alignment vertical="center"/>
    </xf>
    <xf numFmtId="0" fontId="15" fillId="0" borderId="0" xfId="0" applyFont="1">
      <alignment vertical="center"/>
    </xf>
    <xf numFmtId="0" fontId="15" fillId="3" borderId="4" xfId="0" applyFont="1" applyFill="1" applyBorder="1" applyAlignment="1">
      <alignment horizontal="left" vertical="top" wrapText="1"/>
    </xf>
    <xf numFmtId="0" fontId="15" fillId="0" borderId="9" xfId="0" applyFont="1" applyBorder="1" applyAlignment="1">
      <alignment horizontal="center" vertical="top" wrapText="1"/>
    </xf>
    <xf numFmtId="0" fontId="15" fillId="4" borderId="10" xfId="0" applyFont="1" applyFill="1" applyBorder="1" applyAlignment="1">
      <alignment horizontal="center" vertical="top" wrapText="1"/>
    </xf>
    <xf numFmtId="0" fontId="15" fillId="0" borderId="0" xfId="0" applyFont="1" applyAlignment="1">
      <alignment horizontal="center" vertical="top" wrapText="1"/>
    </xf>
    <xf numFmtId="0" fontId="15" fillId="0" borderId="11" xfId="0" applyFont="1" applyBorder="1" applyAlignment="1">
      <alignment horizontal="center" vertical="top" wrapText="1"/>
    </xf>
    <xf numFmtId="0" fontId="15" fillId="0" borderId="12" xfId="0" applyFont="1" applyBorder="1" applyAlignment="1">
      <alignment horizontal="center" vertical="top" wrapText="1"/>
    </xf>
    <xf numFmtId="0" fontId="15" fillId="0" borderId="13" xfId="0" applyFont="1" applyBorder="1" applyAlignment="1">
      <alignment horizontal="center" vertical="top" wrapText="1"/>
    </xf>
    <xf numFmtId="0" fontId="15" fillId="0" borderId="14" xfId="0" applyFont="1" applyBorder="1" applyAlignment="1">
      <alignment horizontal="center" vertical="top" wrapText="1"/>
    </xf>
    <xf numFmtId="0" fontId="15" fillId="3" borderId="0" xfId="0" applyFont="1" applyFill="1" applyAlignment="1">
      <alignment vertical="top" wrapText="1"/>
    </xf>
    <xf numFmtId="0" fontId="15" fillId="3" borderId="4" xfId="0" applyFont="1" applyFill="1" applyBorder="1" applyAlignment="1">
      <alignment vertical="top" wrapText="1"/>
    </xf>
    <xf numFmtId="0" fontId="15" fillId="3" borderId="0" xfId="0" applyFont="1" applyFill="1" applyAlignment="1">
      <alignment horizontal="right" vertical="center"/>
    </xf>
    <xf numFmtId="0" fontId="15" fillId="3" borderId="16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right" vertical="center"/>
    </xf>
    <xf numFmtId="0" fontId="16" fillId="3" borderId="0" xfId="0" applyFont="1" applyFill="1" applyAlignment="1">
      <alignment horizontal="center" vertical="center"/>
    </xf>
    <xf numFmtId="0" fontId="15" fillId="3" borderId="4" xfId="0" applyFont="1" applyFill="1" applyBorder="1">
      <alignment vertical="center"/>
    </xf>
    <xf numFmtId="0" fontId="15" fillId="3" borderId="17" xfId="0" applyFont="1" applyFill="1" applyBorder="1">
      <alignment vertical="center"/>
    </xf>
    <xf numFmtId="165" fontId="15" fillId="3" borderId="5" xfId="0" applyNumberFormat="1" applyFont="1" applyFill="1" applyBorder="1">
      <alignment vertical="center"/>
    </xf>
    <xf numFmtId="0" fontId="16" fillId="3" borderId="0" xfId="0" applyFont="1" applyFill="1">
      <alignment vertical="center"/>
    </xf>
    <xf numFmtId="0" fontId="15" fillId="3" borderId="5" xfId="0" applyFont="1" applyFill="1" applyBorder="1">
      <alignment vertical="center"/>
    </xf>
    <xf numFmtId="0" fontId="15" fillId="3" borderId="18" xfId="0" applyFont="1" applyFill="1" applyBorder="1">
      <alignment vertical="center"/>
    </xf>
    <xf numFmtId="0" fontId="15" fillId="3" borderId="8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7" fillId="3" borderId="0" xfId="0" applyFont="1" applyFill="1">
      <alignment vertical="center"/>
    </xf>
    <xf numFmtId="0" fontId="18" fillId="0" borderId="0" xfId="0" applyFont="1" applyAlignment="1">
      <alignment horizontal="right" vertical="center"/>
    </xf>
    <xf numFmtId="0" fontId="18" fillId="0" borderId="0" xfId="0" applyFont="1" applyAlignment="1">
      <alignment horizontal="left" vertical="center"/>
    </xf>
    <xf numFmtId="0" fontId="15" fillId="3" borderId="19" xfId="0" applyFont="1" applyFill="1" applyBorder="1" applyAlignment="1">
      <alignment horizontal="center" vertical="center" wrapText="1"/>
    </xf>
    <xf numFmtId="0" fontId="20" fillId="0" borderId="20" xfId="0" applyFont="1" applyBorder="1" applyAlignment="1">
      <alignment horizontal="center" vertical="center"/>
    </xf>
    <xf numFmtId="1" fontId="15" fillId="3" borderId="4" xfId="0" applyNumberFormat="1" applyFont="1" applyFill="1" applyBorder="1">
      <alignment vertical="center"/>
    </xf>
    <xf numFmtId="1" fontId="15" fillId="3" borderId="17" xfId="0" applyNumberFormat="1" applyFont="1" applyFill="1" applyBorder="1">
      <alignment vertical="center"/>
    </xf>
    <xf numFmtId="1" fontId="15" fillId="3" borderId="18" xfId="0" applyNumberFormat="1" applyFont="1" applyFill="1" applyBorder="1">
      <alignment vertical="center"/>
    </xf>
    <xf numFmtId="1" fontId="15" fillId="3" borderId="0" xfId="0" applyNumberFormat="1" applyFont="1" applyFill="1">
      <alignment vertical="center"/>
    </xf>
    <xf numFmtId="1" fontId="15" fillId="0" borderId="0" xfId="0" applyNumberFormat="1" applyFont="1">
      <alignment vertical="center"/>
    </xf>
    <xf numFmtId="165" fontId="15" fillId="3" borderId="4" xfId="0" applyNumberFormat="1" applyFont="1" applyFill="1" applyBorder="1">
      <alignment vertical="center"/>
    </xf>
    <xf numFmtId="165" fontId="15" fillId="3" borderId="17" xfId="0" applyNumberFormat="1" applyFont="1" applyFill="1" applyBorder="1">
      <alignment vertical="center"/>
    </xf>
    <xf numFmtId="165" fontId="15" fillId="0" borderId="0" xfId="0" applyNumberFormat="1" applyFont="1">
      <alignment vertical="center"/>
    </xf>
    <xf numFmtId="165" fontId="15" fillId="3" borderId="18" xfId="0" applyNumberFormat="1" applyFont="1" applyFill="1" applyBorder="1">
      <alignment vertical="center"/>
    </xf>
    <xf numFmtId="165" fontId="15" fillId="3" borderId="8" xfId="0" applyNumberFormat="1" applyFont="1" applyFill="1" applyBorder="1">
      <alignment vertical="center"/>
    </xf>
    <xf numFmtId="165" fontId="15" fillId="3" borderId="0" xfId="0" applyNumberFormat="1" applyFont="1" applyFill="1">
      <alignment vertical="center"/>
    </xf>
    <xf numFmtId="165" fontId="15" fillId="3" borderId="2" xfId="0" applyNumberFormat="1" applyFont="1" applyFill="1" applyBorder="1">
      <alignment vertical="center"/>
    </xf>
    <xf numFmtId="0" fontId="21" fillId="0" borderId="0" xfId="0" applyFont="1">
      <alignment vertical="center"/>
    </xf>
    <xf numFmtId="0" fontId="15" fillId="0" borderId="20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11" fillId="6" borderId="21" xfId="0" applyFont="1" applyFill="1" applyBorder="1" applyAlignment="1">
      <alignment horizontal="center" vertical="center"/>
    </xf>
    <xf numFmtId="0" fontId="11" fillId="6" borderId="22" xfId="0" applyFont="1" applyFill="1" applyBorder="1" applyAlignment="1">
      <alignment horizontal="center" vertical="center"/>
    </xf>
    <xf numFmtId="0" fontId="11" fillId="6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1" xfId="0" applyFont="1" applyBorder="1" applyAlignment="1">
      <alignment horizontal="left" vertical="center" wrapText="1" indent="1"/>
    </xf>
    <xf numFmtId="0" fontId="4" fillId="0" borderId="22" xfId="0" applyFont="1" applyBorder="1" applyAlignment="1">
      <alignment horizontal="left" vertical="center" wrapText="1" indent="1"/>
    </xf>
    <xf numFmtId="0" fontId="4" fillId="0" borderId="23" xfId="0" applyFont="1" applyBorder="1" applyAlignment="1">
      <alignment horizontal="left" vertical="center" wrapText="1" inden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64" fontId="15" fillId="3" borderId="0" xfId="0" applyNumberFormat="1" applyFont="1" applyFill="1" applyAlignment="1">
      <alignment horizontal="left" vertical="center"/>
    </xf>
    <xf numFmtId="0" fontId="15" fillId="3" borderId="30" xfId="0" applyFont="1" applyFill="1" applyBorder="1" applyAlignment="1">
      <alignment horizontal="left" vertical="top" wrapText="1"/>
    </xf>
    <xf numFmtId="0" fontId="15" fillId="3" borderId="31" xfId="0" applyFont="1" applyFill="1" applyBorder="1" applyAlignment="1">
      <alignment horizontal="left" vertical="top" wrapText="1"/>
    </xf>
    <xf numFmtId="0" fontId="15" fillId="3" borderId="26" xfId="0" applyFont="1" applyFill="1" applyBorder="1" applyAlignment="1">
      <alignment horizontal="left" vertical="top" wrapText="1"/>
    </xf>
    <xf numFmtId="0" fontId="15" fillId="3" borderId="12" xfId="0" applyFont="1" applyFill="1" applyBorder="1" applyAlignment="1">
      <alignment horizontal="left" vertical="top" wrapText="1"/>
    </xf>
    <xf numFmtId="0" fontId="15" fillId="3" borderId="32" xfId="0" applyFont="1" applyFill="1" applyBorder="1" applyAlignment="1">
      <alignment horizontal="left" vertical="top" wrapText="1"/>
    </xf>
    <xf numFmtId="0" fontId="15" fillId="3" borderId="29" xfId="0" applyFont="1" applyFill="1" applyBorder="1" applyAlignment="1">
      <alignment horizontal="left" vertical="top" wrapText="1"/>
    </xf>
    <xf numFmtId="0" fontId="15" fillId="3" borderId="7" xfId="0" applyFont="1" applyFill="1" applyBorder="1" applyAlignment="1">
      <alignment horizontal="left" vertical="center"/>
    </xf>
    <xf numFmtId="0" fontId="15" fillId="3" borderId="33" xfId="0" applyFont="1" applyFill="1" applyBorder="1" applyAlignment="1">
      <alignment horizontal="left" vertical="top" wrapText="1"/>
    </xf>
    <xf numFmtId="0" fontId="15" fillId="3" borderId="27" xfId="0" applyFont="1" applyFill="1" applyBorder="1" applyAlignment="1">
      <alignment horizontal="left" vertical="top" wrapText="1"/>
    </xf>
    <xf numFmtId="0" fontId="15" fillId="3" borderId="0" xfId="0" applyFont="1" applyFill="1" applyAlignment="1">
      <alignment horizontal="center" vertical="top" wrapText="1"/>
    </xf>
    <xf numFmtId="0" fontId="15" fillId="3" borderId="0" xfId="0" applyFont="1" applyFill="1" applyAlignment="1">
      <alignment horizontal="center" vertical="center"/>
    </xf>
    <xf numFmtId="0" fontId="15" fillId="3" borderId="15" xfId="0" applyFont="1" applyFill="1" applyBorder="1" applyAlignment="1">
      <alignment horizontal="left" vertical="top" wrapText="1"/>
    </xf>
    <xf numFmtId="0" fontId="15" fillId="3" borderId="34" xfId="0" applyFont="1" applyFill="1" applyBorder="1" applyAlignment="1">
      <alignment horizontal="left" vertical="top" wrapText="1"/>
    </xf>
    <xf numFmtId="0" fontId="15" fillId="3" borderId="21" xfId="0" applyFont="1" applyFill="1" applyBorder="1" applyAlignment="1">
      <alignment horizontal="center" vertical="top" wrapText="1"/>
    </xf>
    <xf numFmtId="0" fontId="15" fillId="3" borderId="23" xfId="0" applyFont="1" applyFill="1" applyBorder="1" applyAlignment="1">
      <alignment horizontal="center" vertical="top" wrapText="1"/>
    </xf>
    <xf numFmtId="0" fontId="15" fillId="3" borderId="28" xfId="0" applyFont="1" applyFill="1" applyBorder="1" applyAlignment="1">
      <alignment horizontal="left" vertical="top" wrapText="1"/>
    </xf>
    <xf numFmtId="0" fontId="15" fillId="3" borderId="14" xfId="0" applyFont="1" applyFill="1" applyBorder="1" applyAlignment="1">
      <alignment horizontal="left" vertical="top" wrapText="1"/>
    </xf>
    <xf numFmtId="0" fontId="15" fillId="0" borderId="21" xfId="0" applyFont="1" applyBorder="1" applyAlignment="1">
      <alignment horizontal="left" vertical="center"/>
    </xf>
    <xf numFmtId="0" fontId="15" fillId="0" borderId="22" xfId="0" applyFont="1" applyBorder="1" applyAlignment="1">
      <alignment horizontal="left" vertical="center"/>
    </xf>
    <xf numFmtId="0" fontId="15" fillId="0" borderId="23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Graph Title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203791561636277E-2"/>
          <c:y val="0.15027362500433583"/>
          <c:w val="0.64047977727598704"/>
          <c:h val="0.65027495910967148"/>
        </c:manualLayout>
      </c:layout>
      <c:scatterChart>
        <c:scatterStyle val="lineMarker"/>
        <c:varyColors val="0"/>
        <c:ser>
          <c:idx val="0"/>
          <c:order val="0"/>
          <c:tx>
            <c:strRef>
              <c:f>MasterSheet!$D$10</c:f>
              <c:strCache>
                <c:ptCount val="1"/>
                <c:pt idx="0">
                  <c:v>Data Trace A Real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MasterSheet!$N$11:$N$812</c:f>
              <c:numCache>
                <c:formatCode>General</c:formatCode>
                <c:ptCount val="8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MasterSheet!$D$11:$D$812</c:f>
              <c:numCache>
                <c:formatCode>General</c:formatCode>
                <c:ptCount val="80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26-4632-A127-855069313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528623"/>
        <c:axId val="1"/>
      </c:scatterChart>
      <c:scatterChart>
        <c:scatterStyle val="lineMarker"/>
        <c:varyColors val="0"/>
        <c:ser>
          <c:idx val="1"/>
          <c:order val="1"/>
          <c:tx>
            <c:strRef>
              <c:f>MasterSheet!$F$10</c:f>
              <c:strCache>
                <c:ptCount val="1"/>
                <c:pt idx="0">
                  <c:v>Data Trace B Real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chemeClr val="bg1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MasterSheet!$N$11:$N$812</c:f>
              <c:numCache>
                <c:formatCode>General</c:formatCode>
                <c:ptCount val="8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MasterSheet!$F$11:$F$812</c:f>
              <c:numCache>
                <c:formatCode>General</c:formatCode>
                <c:ptCount val="80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26-4632-A127-855069313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859528623"/>
        <c:scaling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-1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59528623"/>
        <c:crosses val="autoZero"/>
        <c:crossBetween val="midCat"/>
      </c:valAx>
      <c:valAx>
        <c:axId val="3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"/>
        <c:crosses val="max"/>
        <c:crossBetween val="midCat"/>
      </c:valAx>
      <c:valAx>
        <c:axId val="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crossAx val="3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6733238231098431"/>
          <c:y val="0.25683114990235761"/>
          <c:w val="0.108416547788873"/>
          <c:h val="0.4754110942205976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|Z| - theta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203791561636277E-2"/>
          <c:y val="0.15027362500433583"/>
          <c:w val="0.64047977727598704"/>
          <c:h val="0.65027495910967148"/>
        </c:manualLayout>
      </c:layout>
      <c:scatterChart>
        <c:scatterStyle val="lineMarker"/>
        <c:varyColors val="0"/>
        <c:ser>
          <c:idx val="0"/>
          <c:order val="0"/>
          <c:tx>
            <c:strRef>
              <c:f>RC_1_10k!$D$10</c:f>
              <c:strCache>
                <c:ptCount val="1"/>
                <c:pt idx="0">
                  <c:v>Data Trace A Real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RC_1_10k!$N$11:$N$211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RC_1_10k!$D$11:$D$211</c:f>
              <c:numCache>
                <c:formatCode>0.0000E+00</c:formatCode>
                <c:ptCount val="201"/>
                <c:pt idx="0">
                  <c:v>10016.3701171875</c:v>
                </c:pt>
                <c:pt idx="1">
                  <c:v>10016.2998046875</c:v>
                </c:pt>
                <c:pt idx="2">
                  <c:v>10016.1298828125</c:v>
                </c:pt>
                <c:pt idx="3">
                  <c:v>10015.599609375</c:v>
                </c:pt>
                <c:pt idx="4">
                  <c:v>10015.8095703125</c:v>
                </c:pt>
                <c:pt idx="5">
                  <c:v>10016.3603515625</c:v>
                </c:pt>
                <c:pt idx="6">
                  <c:v>10016.26953125</c:v>
                </c:pt>
                <c:pt idx="7">
                  <c:v>10016.16015625</c:v>
                </c:pt>
                <c:pt idx="8">
                  <c:v>10016.2998046875</c:v>
                </c:pt>
                <c:pt idx="9">
                  <c:v>10016.8203125</c:v>
                </c:pt>
                <c:pt idx="10">
                  <c:v>10017.3701171875</c:v>
                </c:pt>
                <c:pt idx="11">
                  <c:v>10017.7900390625</c:v>
                </c:pt>
                <c:pt idx="12">
                  <c:v>10017.4404296875</c:v>
                </c:pt>
                <c:pt idx="13">
                  <c:v>10017.76953125</c:v>
                </c:pt>
                <c:pt idx="14">
                  <c:v>10018.1298828125</c:v>
                </c:pt>
                <c:pt idx="15">
                  <c:v>10018.16015625</c:v>
                </c:pt>
                <c:pt idx="16">
                  <c:v>10017.6396484375</c:v>
                </c:pt>
                <c:pt idx="17">
                  <c:v>10017.7001953125</c:v>
                </c:pt>
                <c:pt idx="18">
                  <c:v>10017.240234375</c:v>
                </c:pt>
                <c:pt idx="19">
                  <c:v>10016.990234375</c:v>
                </c:pt>
                <c:pt idx="20">
                  <c:v>10017.16015625</c:v>
                </c:pt>
                <c:pt idx="21">
                  <c:v>10017.75</c:v>
                </c:pt>
                <c:pt idx="22">
                  <c:v>10018.08984375</c:v>
                </c:pt>
                <c:pt idx="23">
                  <c:v>10017.650390625</c:v>
                </c:pt>
                <c:pt idx="24">
                  <c:v>10017.169921875</c:v>
                </c:pt>
                <c:pt idx="25">
                  <c:v>10017.7099609375</c:v>
                </c:pt>
                <c:pt idx="26">
                  <c:v>10018.4404296875</c:v>
                </c:pt>
                <c:pt idx="27">
                  <c:v>10018.1298828125</c:v>
                </c:pt>
                <c:pt idx="28">
                  <c:v>10017.400390625</c:v>
                </c:pt>
                <c:pt idx="29">
                  <c:v>10018.240234375</c:v>
                </c:pt>
                <c:pt idx="30">
                  <c:v>10018.150390625</c:v>
                </c:pt>
                <c:pt idx="31">
                  <c:v>10017.650390625</c:v>
                </c:pt>
                <c:pt idx="32">
                  <c:v>10017.509765625</c:v>
                </c:pt>
                <c:pt idx="33">
                  <c:v>10017.0400390625</c:v>
                </c:pt>
                <c:pt idx="34">
                  <c:v>10017.2900390625</c:v>
                </c:pt>
                <c:pt idx="35">
                  <c:v>10017.349609375</c:v>
                </c:pt>
                <c:pt idx="36">
                  <c:v>10016.8603515625</c:v>
                </c:pt>
                <c:pt idx="37">
                  <c:v>10016.7197265625</c:v>
                </c:pt>
                <c:pt idx="38">
                  <c:v>10016.3095703125</c:v>
                </c:pt>
                <c:pt idx="39">
                  <c:v>10016.830078125</c:v>
                </c:pt>
                <c:pt idx="40">
                  <c:v>10017.2001953125</c:v>
                </c:pt>
                <c:pt idx="41">
                  <c:v>10017.25</c:v>
                </c:pt>
                <c:pt idx="42">
                  <c:v>10017.5595703125</c:v>
                </c:pt>
                <c:pt idx="43">
                  <c:v>10017.919921875</c:v>
                </c:pt>
                <c:pt idx="44">
                  <c:v>10018.2900390625</c:v>
                </c:pt>
                <c:pt idx="45">
                  <c:v>10018.26953125</c:v>
                </c:pt>
                <c:pt idx="46">
                  <c:v>10018.4501953125</c:v>
                </c:pt>
                <c:pt idx="47">
                  <c:v>10016.080078125</c:v>
                </c:pt>
                <c:pt idx="48">
                  <c:v>10016.240234375</c:v>
                </c:pt>
                <c:pt idx="49">
                  <c:v>10017.0302734375</c:v>
                </c:pt>
                <c:pt idx="50">
                  <c:v>10017.6298828125</c:v>
                </c:pt>
                <c:pt idx="51">
                  <c:v>10016.7001953125</c:v>
                </c:pt>
                <c:pt idx="52">
                  <c:v>10018.0302734375</c:v>
                </c:pt>
                <c:pt idx="53">
                  <c:v>10016.6904296875</c:v>
                </c:pt>
                <c:pt idx="54">
                  <c:v>10017.580078125</c:v>
                </c:pt>
                <c:pt idx="55">
                  <c:v>10017.91015625</c:v>
                </c:pt>
                <c:pt idx="56">
                  <c:v>10016.8798828125</c:v>
                </c:pt>
                <c:pt idx="57">
                  <c:v>10018.01953125</c:v>
                </c:pt>
                <c:pt idx="58">
                  <c:v>10016.8603515625</c:v>
                </c:pt>
                <c:pt idx="59">
                  <c:v>10016.5400390625</c:v>
                </c:pt>
                <c:pt idx="60">
                  <c:v>10017.400390625</c:v>
                </c:pt>
                <c:pt idx="61">
                  <c:v>10017.5498046875</c:v>
                </c:pt>
                <c:pt idx="62">
                  <c:v>10017.349609375</c:v>
                </c:pt>
                <c:pt idx="63">
                  <c:v>10016.23046875</c:v>
                </c:pt>
                <c:pt idx="64">
                  <c:v>10016.3701171875</c:v>
                </c:pt>
                <c:pt idx="65">
                  <c:v>10018.1796875</c:v>
                </c:pt>
                <c:pt idx="66">
                  <c:v>10016.900390625</c:v>
                </c:pt>
                <c:pt idx="67">
                  <c:v>10017.23046875</c:v>
                </c:pt>
                <c:pt idx="68">
                  <c:v>10016.5302734375</c:v>
                </c:pt>
                <c:pt idx="69">
                  <c:v>10017.8203125</c:v>
                </c:pt>
                <c:pt idx="70">
                  <c:v>10016.7001953125</c:v>
                </c:pt>
                <c:pt idx="71">
                  <c:v>10016.41015625</c:v>
                </c:pt>
                <c:pt idx="72">
                  <c:v>10016.919921875</c:v>
                </c:pt>
                <c:pt idx="73">
                  <c:v>10016.8896484375</c:v>
                </c:pt>
                <c:pt idx="74">
                  <c:v>10017.0302734375</c:v>
                </c:pt>
                <c:pt idx="75">
                  <c:v>10016.2802734375</c:v>
                </c:pt>
                <c:pt idx="76">
                  <c:v>10016.66015625</c:v>
                </c:pt>
                <c:pt idx="77">
                  <c:v>10015.650390625</c:v>
                </c:pt>
                <c:pt idx="78">
                  <c:v>10015.3896484375</c:v>
                </c:pt>
                <c:pt idx="79">
                  <c:v>10015.8896484375</c:v>
                </c:pt>
                <c:pt idx="80">
                  <c:v>10015.419921875</c:v>
                </c:pt>
                <c:pt idx="81">
                  <c:v>10016.7998046875</c:v>
                </c:pt>
                <c:pt idx="82">
                  <c:v>10017.8203125</c:v>
                </c:pt>
                <c:pt idx="83">
                  <c:v>10017.08984375</c:v>
                </c:pt>
                <c:pt idx="84">
                  <c:v>10016.4697265625</c:v>
                </c:pt>
                <c:pt idx="85">
                  <c:v>10017.2001953125</c:v>
                </c:pt>
                <c:pt idx="86">
                  <c:v>10017.98046875</c:v>
                </c:pt>
                <c:pt idx="87">
                  <c:v>10017.599609375</c:v>
                </c:pt>
                <c:pt idx="88">
                  <c:v>10016.58984375</c:v>
                </c:pt>
                <c:pt idx="89">
                  <c:v>10016.9599609375</c:v>
                </c:pt>
                <c:pt idx="90">
                  <c:v>10017.2998046875</c:v>
                </c:pt>
                <c:pt idx="91">
                  <c:v>10018.0498046875</c:v>
                </c:pt>
                <c:pt idx="92">
                  <c:v>10016.7001953125</c:v>
                </c:pt>
                <c:pt idx="93">
                  <c:v>10017.2802734375</c:v>
                </c:pt>
                <c:pt idx="94">
                  <c:v>10016.7802734375</c:v>
                </c:pt>
                <c:pt idx="95">
                  <c:v>10016.5498046875</c:v>
                </c:pt>
                <c:pt idx="96">
                  <c:v>10016.26953125</c:v>
                </c:pt>
                <c:pt idx="97">
                  <c:v>10016.669921875</c:v>
                </c:pt>
                <c:pt idx="98">
                  <c:v>10016.9599609375</c:v>
                </c:pt>
                <c:pt idx="99">
                  <c:v>10016.9404296875</c:v>
                </c:pt>
                <c:pt idx="100">
                  <c:v>10017.3203125</c:v>
                </c:pt>
                <c:pt idx="101">
                  <c:v>10016.9404296875</c:v>
                </c:pt>
                <c:pt idx="102">
                  <c:v>10016.9404296875</c:v>
                </c:pt>
                <c:pt idx="103">
                  <c:v>10016.48046875</c:v>
                </c:pt>
                <c:pt idx="104">
                  <c:v>10015.990234375</c:v>
                </c:pt>
                <c:pt idx="105">
                  <c:v>10015.5</c:v>
                </c:pt>
                <c:pt idx="106">
                  <c:v>10015.41015625</c:v>
                </c:pt>
                <c:pt idx="107">
                  <c:v>10015.009765625</c:v>
                </c:pt>
                <c:pt idx="108">
                  <c:v>10015.419921875</c:v>
                </c:pt>
                <c:pt idx="109">
                  <c:v>10015.7802734375</c:v>
                </c:pt>
                <c:pt idx="110">
                  <c:v>10014.48046875</c:v>
                </c:pt>
                <c:pt idx="111">
                  <c:v>10014.6396484375</c:v>
                </c:pt>
                <c:pt idx="112">
                  <c:v>10014.3203125</c:v>
                </c:pt>
                <c:pt idx="113">
                  <c:v>10013.740234375</c:v>
                </c:pt>
                <c:pt idx="114">
                  <c:v>10013.3603515625</c:v>
                </c:pt>
                <c:pt idx="115">
                  <c:v>10012.9296875</c:v>
                </c:pt>
                <c:pt idx="116">
                  <c:v>10011.51953125</c:v>
                </c:pt>
                <c:pt idx="117">
                  <c:v>10010.51953125</c:v>
                </c:pt>
                <c:pt idx="118">
                  <c:v>10009.8701171875</c:v>
                </c:pt>
                <c:pt idx="119">
                  <c:v>10008.3203125</c:v>
                </c:pt>
                <c:pt idx="120">
                  <c:v>10007.099609375</c:v>
                </c:pt>
                <c:pt idx="121">
                  <c:v>10005.9697265625</c:v>
                </c:pt>
                <c:pt idx="122">
                  <c:v>10004.490234375</c:v>
                </c:pt>
                <c:pt idx="123">
                  <c:v>10002.2001953125</c:v>
                </c:pt>
                <c:pt idx="124">
                  <c:v>10000.4501953125</c:v>
                </c:pt>
                <c:pt idx="125">
                  <c:v>9998.8671875</c:v>
                </c:pt>
                <c:pt idx="126">
                  <c:v>9996.916015625</c:v>
                </c:pt>
                <c:pt idx="127">
                  <c:v>9994.162109375</c:v>
                </c:pt>
                <c:pt idx="128">
                  <c:v>9991.7783203125</c:v>
                </c:pt>
                <c:pt idx="129">
                  <c:v>9987.64453125</c:v>
                </c:pt>
                <c:pt idx="130">
                  <c:v>9984.2373046875</c:v>
                </c:pt>
                <c:pt idx="131">
                  <c:v>9980.09375</c:v>
                </c:pt>
                <c:pt idx="132">
                  <c:v>9975.53515625</c:v>
                </c:pt>
                <c:pt idx="133">
                  <c:v>9968.6923828125</c:v>
                </c:pt>
                <c:pt idx="134">
                  <c:v>9962.9189453125</c:v>
                </c:pt>
                <c:pt idx="135">
                  <c:v>9956.9912109375</c:v>
                </c:pt>
                <c:pt idx="136">
                  <c:v>9949.4150390625</c:v>
                </c:pt>
                <c:pt idx="137">
                  <c:v>9940.158203125</c:v>
                </c:pt>
                <c:pt idx="138">
                  <c:v>9930.078125</c:v>
                </c:pt>
                <c:pt idx="139">
                  <c:v>9919.2900390625</c:v>
                </c:pt>
                <c:pt idx="140">
                  <c:v>9906.318359375</c:v>
                </c:pt>
                <c:pt idx="141">
                  <c:v>9892.3154296875</c:v>
                </c:pt>
                <c:pt idx="142">
                  <c:v>9876.4560546875</c:v>
                </c:pt>
                <c:pt idx="143">
                  <c:v>9858.3232421875</c:v>
                </c:pt>
                <c:pt idx="144">
                  <c:v>9838.6787109375</c:v>
                </c:pt>
                <c:pt idx="145">
                  <c:v>9815.658203125</c:v>
                </c:pt>
                <c:pt idx="146">
                  <c:v>9789.7216796875</c:v>
                </c:pt>
                <c:pt idx="147">
                  <c:v>9760.0546875</c:v>
                </c:pt>
                <c:pt idx="148">
                  <c:v>9727.4423828125</c:v>
                </c:pt>
                <c:pt idx="149">
                  <c:v>9690.755859375</c:v>
                </c:pt>
                <c:pt idx="150">
                  <c:v>9649.5576171875</c:v>
                </c:pt>
                <c:pt idx="151">
                  <c:v>9603.0302734375</c:v>
                </c:pt>
                <c:pt idx="152">
                  <c:v>9551.978515625</c:v>
                </c:pt>
                <c:pt idx="153">
                  <c:v>9493.79296875</c:v>
                </c:pt>
                <c:pt idx="154">
                  <c:v>9429.4228515625</c:v>
                </c:pt>
                <c:pt idx="155">
                  <c:v>9358.8603515625</c:v>
                </c:pt>
                <c:pt idx="156">
                  <c:v>9279.888671875</c:v>
                </c:pt>
                <c:pt idx="157">
                  <c:v>9193.525390625</c:v>
                </c:pt>
                <c:pt idx="158">
                  <c:v>9099.228515625</c:v>
                </c:pt>
                <c:pt idx="159">
                  <c:v>8995.4755859375</c:v>
                </c:pt>
                <c:pt idx="160">
                  <c:v>8882.91796875</c:v>
                </c:pt>
                <c:pt idx="161">
                  <c:v>8760.298828125</c:v>
                </c:pt>
                <c:pt idx="162">
                  <c:v>8628.5283203125</c:v>
                </c:pt>
                <c:pt idx="163">
                  <c:v>8486.853515625</c:v>
                </c:pt>
                <c:pt idx="164">
                  <c:v>8336.3056640625</c:v>
                </c:pt>
                <c:pt idx="165">
                  <c:v>8176.59619140625</c:v>
                </c:pt>
                <c:pt idx="166">
                  <c:v>8008.9072265625</c:v>
                </c:pt>
                <c:pt idx="167">
                  <c:v>7834.09619140625</c:v>
                </c:pt>
                <c:pt idx="168">
                  <c:v>7652.84521484375</c:v>
                </c:pt>
                <c:pt idx="169">
                  <c:v>7465.783203125</c:v>
                </c:pt>
                <c:pt idx="170">
                  <c:v>7275.994140625</c:v>
                </c:pt>
                <c:pt idx="171">
                  <c:v>7084.9931640625</c:v>
                </c:pt>
                <c:pt idx="172">
                  <c:v>6896.27294921875</c:v>
                </c:pt>
                <c:pt idx="173">
                  <c:v>6708.2421875</c:v>
                </c:pt>
                <c:pt idx="174">
                  <c:v>6524.76806640625</c:v>
                </c:pt>
                <c:pt idx="175">
                  <c:v>6348.72607421875</c:v>
                </c:pt>
                <c:pt idx="176">
                  <c:v>6183.85400390625</c:v>
                </c:pt>
                <c:pt idx="177">
                  <c:v>6033.97119140625</c:v>
                </c:pt>
                <c:pt idx="178">
                  <c:v>5902.78076171875</c:v>
                </c:pt>
                <c:pt idx="179">
                  <c:v>5793.998046875</c:v>
                </c:pt>
                <c:pt idx="180">
                  <c:v>5713.02099609375</c:v>
                </c:pt>
                <c:pt idx="181">
                  <c:v>5663.296875</c:v>
                </c:pt>
                <c:pt idx="182">
                  <c:v>5648.85498046875</c:v>
                </c:pt>
                <c:pt idx="183">
                  <c:v>5674.1318359375</c:v>
                </c:pt>
                <c:pt idx="184">
                  <c:v>5742.7099609375</c:v>
                </c:pt>
                <c:pt idx="185">
                  <c:v>5868.0078125</c:v>
                </c:pt>
                <c:pt idx="186">
                  <c:v>6082.30615234375</c:v>
                </c:pt>
                <c:pt idx="187">
                  <c:v>6455.0078125</c:v>
                </c:pt>
                <c:pt idx="188">
                  <c:v>7106.8017578125</c:v>
                </c:pt>
                <c:pt idx="189">
                  <c:v>8278.5498046875</c:v>
                </c:pt>
                <c:pt idx="190">
                  <c:v>10204.990234375</c:v>
                </c:pt>
                <c:pt idx="191">
                  <c:v>11268</c:v>
                </c:pt>
                <c:pt idx="192">
                  <c:v>8493.2041015625</c:v>
                </c:pt>
                <c:pt idx="193">
                  <c:v>1224.237060546875</c:v>
                </c:pt>
                <c:pt idx="194">
                  <c:v>1089.9859619140625</c:v>
                </c:pt>
                <c:pt idx="195">
                  <c:v>968.582275390625</c:v>
                </c:pt>
                <c:pt idx="196">
                  <c:v>848.7667236328125</c:v>
                </c:pt>
                <c:pt idx="197">
                  <c:v>735.5233154296875</c:v>
                </c:pt>
                <c:pt idx="198">
                  <c:v>632.38787841796875</c:v>
                </c:pt>
                <c:pt idx="199">
                  <c:v>536.2681884765625</c:v>
                </c:pt>
                <c:pt idx="200">
                  <c:v>445.847900390625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68-44BE-9EBE-2E9E726EF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528623"/>
        <c:axId val="1"/>
      </c:scatterChart>
      <c:scatterChart>
        <c:scatterStyle val="lineMarker"/>
        <c:varyColors val="0"/>
        <c:ser>
          <c:idx val="1"/>
          <c:order val="1"/>
          <c:tx>
            <c:strRef>
              <c:f>RC_1_10k!$F$10</c:f>
              <c:strCache>
                <c:ptCount val="1"/>
                <c:pt idx="0">
                  <c:v>Data Trace B Real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chemeClr val="bg1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RC_1_10k!$N$11:$N$211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RC_1_10k!$F$11:$F$211</c:f>
              <c:numCache>
                <c:formatCode>0.0000E+00</c:formatCode>
                <c:ptCount val="201"/>
                <c:pt idx="0">
                  <c:v>4.2988188564777374E-2</c:v>
                </c:pt>
                <c:pt idx="1">
                  <c:v>3.2133910804986954E-2</c:v>
                </c:pt>
                <c:pt idx="2">
                  <c:v>3.330669179558754E-2</c:v>
                </c:pt>
                <c:pt idx="3">
                  <c:v>2.4021590128540993E-2</c:v>
                </c:pt>
                <c:pt idx="4">
                  <c:v>3.0928349122405052E-2</c:v>
                </c:pt>
                <c:pt idx="5">
                  <c:v>2.3971820250153542E-2</c:v>
                </c:pt>
                <c:pt idx="6">
                  <c:v>1.8236860632896423E-2</c:v>
                </c:pt>
                <c:pt idx="7">
                  <c:v>1.8767759203910828E-2</c:v>
                </c:pt>
                <c:pt idx="8">
                  <c:v>2.0185379311442375E-2</c:v>
                </c:pt>
                <c:pt idx="9">
                  <c:v>2.1755050867795944E-2</c:v>
                </c:pt>
                <c:pt idx="10">
                  <c:v>1.7555639147758484E-2</c:v>
                </c:pt>
                <c:pt idx="11">
                  <c:v>1.69268399477005E-2</c:v>
                </c:pt>
                <c:pt idx="12">
                  <c:v>1.4413990080356598E-2</c:v>
                </c:pt>
                <c:pt idx="13">
                  <c:v>1.0931350290775299E-2</c:v>
                </c:pt>
                <c:pt idx="14">
                  <c:v>1.0232100263237953E-2</c:v>
                </c:pt>
                <c:pt idx="15">
                  <c:v>1.1574259959161282E-2</c:v>
                </c:pt>
                <c:pt idx="16">
                  <c:v>1.539015956223011E-2</c:v>
                </c:pt>
                <c:pt idx="17">
                  <c:v>1.3488589785993099E-2</c:v>
                </c:pt>
                <c:pt idx="18">
                  <c:v>1.1634429916739464E-2</c:v>
                </c:pt>
                <c:pt idx="19">
                  <c:v>1.0914750397205353E-2</c:v>
                </c:pt>
                <c:pt idx="20">
                  <c:v>5.6731840595602989E-3</c:v>
                </c:pt>
                <c:pt idx="21">
                  <c:v>8.5484370356425643E-4</c:v>
                </c:pt>
                <c:pt idx="22">
                  <c:v>6.2818699516355991E-3</c:v>
                </c:pt>
                <c:pt idx="23">
                  <c:v>1.0814930312335491E-2</c:v>
                </c:pt>
                <c:pt idx="24">
                  <c:v>8.7262419983744621E-3</c:v>
                </c:pt>
                <c:pt idx="25">
                  <c:v>8.3376392722129822E-3</c:v>
                </c:pt>
                <c:pt idx="26">
                  <c:v>4.0475581772625446E-3</c:v>
                </c:pt>
                <c:pt idx="27">
                  <c:v>6.1388988979160786E-3</c:v>
                </c:pt>
                <c:pt idx="28">
                  <c:v>1.616314984858036E-3</c:v>
                </c:pt>
                <c:pt idx="29">
                  <c:v>5.9953611344099045E-3</c:v>
                </c:pt>
                <c:pt idx="30">
                  <c:v>5.5969217792153358E-3</c:v>
                </c:pt>
                <c:pt idx="31">
                  <c:v>4.0536168962717056E-3</c:v>
                </c:pt>
                <c:pt idx="32">
                  <c:v>3.9272881112992764E-3</c:v>
                </c:pt>
                <c:pt idx="33">
                  <c:v>8.6138574406504631E-3</c:v>
                </c:pt>
                <c:pt idx="34">
                  <c:v>-1.8658080080058426E-4</c:v>
                </c:pt>
                <c:pt idx="35">
                  <c:v>-2.05644202651456E-4</c:v>
                </c:pt>
                <c:pt idx="36">
                  <c:v>-1.9160689553245902E-3</c:v>
                </c:pt>
                <c:pt idx="37">
                  <c:v>3.229496069252491E-3</c:v>
                </c:pt>
                <c:pt idx="38">
                  <c:v>-7.4300309643149376E-3</c:v>
                </c:pt>
                <c:pt idx="39">
                  <c:v>-3.9878492243587971E-3</c:v>
                </c:pt>
                <c:pt idx="40">
                  <c:v>8.8204297935590148E-4</c:v>
                </c:pt>
                <c:pt idx="41">
                  <c:v>3.5270340740680695E-3</c:v>
                </c:pt>
                <c:pt idx="42">
                  <c:v>-5.8144619688391685E-3</c:v>
                </c:pt>
                <c:pt idx="43">
                  <c:v>-1.0864939540624619E-2</c:v>
                </c:pt>
                <c:pt idx="44">
                  <c:v>-4.5760869979858398E-3</c:v>
                </c:pt>
                <c:pt idx="45">
                  <c:v>-7.69770797342062E-3</c:v>
                </c:pt>
                <c:pt idx="46">
                  <c:v>-4.4490811415016651E-3</c:v>
                </c:pt>
                <c:pt idx="47">
                  <c:v>1.6947299242019653E-2</c:v>
                </c:pt>
                <c:pt idx="48">
                  <c:v>6.3495677895843983E-3</c:v>
                </c:pt>
                <c:pt idx="49">
                  <c:v>4.4100088998675346E-3</c:v>
                </c:pt>
                <c:pt idx="50">
                  <c:v>4.8141279257833958E-3</c:v>
                </c:pt>
                <c:pt idx="51">
                  <c:v>-1.8347699369769543E-4</c:v>
                </c:pt>
                <c:pt idx="52">
                  <c:v>2.5475530419498682E-3</c:v>
                </c:pt>
                <c:pt idx="53">
                  <c:v>1.4745480148121715E-3</c:v>
                </c:pt>
                <c:pt idx="54">
                  <c:v>-2.9662179294973612E-3</c:v>
                </c:pt>
                <c:pt idx="55">
                  <c:v>-1.1786390095949173E-2</c:v>
                </c:pt>
                <c:pt idx="56">
                  <c:v>-7.7940039336681366E-3</c:v>
                </c:pt>
                <c:pt idx="57">
                  <c:v>-1.785573922097683E-2</c:v>
                </c:pt>
                <c:pt idx="58">
                  <c:v>-1.8010919913649559E-2</c:v>
                </c:pt>
                <c:pt idx="59">
                  <c:v>-3.1824741512537003E-2</c:v>
                </c:pt>
                <c:pt idx="60">
                  <c:v>-2.4716010317206383E-2</c:v>
                </c:pt>
                <c:pt idx="61">
                  <c:v>-2.2113729268312454E-2</c:v>
                </c:pt>
                <c:pt idx="62">
                  <c:v>-2.6383189484477043E-2</c:v>
                </c:pt>
                <c:pt idx="63">
                  <c:v>-3.2580040395259857E-2</c:v>
                </c:pt>
                <c:pt idx="64">
                  <c:v>-3.6762960255146027E-2</c:v>
                </c:pt>
                <c:pt idx="65">
                  <c:v>-5.1614388823509216E-2</c:v>
                </c:pt>
                <c:pt idx="66">
                  <c:v>-5.2540130913257599E-2</c:v>
                </c:pt>
                <c:pt idx="67">
                  <c:v>-5.2346240729093552E-2</c:v>
                </c:pt>
                <c:pt idx="68">
                  <c:v>-5.3332161158323288E-2</c:v>
                </c:pt>
                <c:pt idx="69">
                  <c:v>-6.5400533378124237E-2</c:v>
                </c:pt>
                <c:pt idx="70">
                  <c:v>-7.1695312857627869E-2</c:v>
                </c:pt>
                <c:pt idx="71">
                  <c:v>-7.2751663625240326E-2</c:v>
                </c:pt>
                <c:pt idx="72">
                  <c:v>-8.049040287733078E-2</c:v>
                </c:pt>
                <c:pt idx="73">
                  <c:v>-8.5385791957378387E-2</c:v>
                </c:pt>
                <c:pt idx="74">
                  <c:v>-9.4876572489738464E-2</c:v>
                </c:pt>
                <c:pt idx="75">
                  <c:v>-0.10063940286636353</c:v>
                </c:pt>
                <c:pt idx="76">
                  <c:v>-0.11631040275096893</c:v>
                </c:pt>
                <c:pt idx="77">
                  <c:v>-0.1144912987947464</c:v>
                </c:pt>
                <c:pt idx="78">
                  <c:v>-0.12587970495223999</c:v>
                </c:pt>
                <c:pt idx="79">
                  <c:v>-0.12533609569072723</c:v>
                </c:pt>
                <c:pt idx="80">
                  <c:v>-0.14051039516925812</c:v>
                </c:pt>
                <c:pt idx="81">
                  <c:v>-0.15895390510559082</c:v>
                </c:pt>
                <c:pt idx="82">
                  <c:v>-0.1831699013710022</c:v>
                </c:pt>
                <c:pt idx="83">
                  <c:v>-0.19327369332313538</c:v>
                </c:pt>
                <c:pt idx="84">
                  <c:v>-0.20008610188961029</c:v>
                </c:pt>
                <c:pt idx="85">
                  <c:v>-0.21651080250740051</c:v>
                </c:pt>
                <c:pt idx="86">
                  <c:v>-0.22519159317016602</c:v>
                </c:pt>
                <c:pt idx="87">
                  <c:v>-0.23747140169143677</c:v>
                </c:pt>
                <c:pt idx="88">
                  <c:v>-0.26375898718833923</c:v>
                </c:pt>
                <c:pt idx="89">
                  <c:v>-0.27955639362335205</c:v>
                </c:pt>
                <c:pt idx="90">
                  <c:v>-0.29806509613990784</c:v>
                </c:pt>
                <c:pt idx="91">
                  <c:v>-0.31786748766899109</c:v>
                </c:pt>
                <c:pt idx="92">
                  <c:v>-0.3424358069896698</c:v>
                </c:pt>
                <c:pt idx="93">
                  <c:v>-0.367603600025177</c:v>
                </c:pt>
                <c:pt idx="94">
                  <c:v>-0.3966996967792511</c:v>
                </c:pt>
                <c:pt idx="95">
                  <c:v>-0.41955330967903137</c:v>
                </c:pt>
                <c:pt idx="96">
                  <c:v>-0.44574528932571411</c:v>
                </c:pt>
                <c:pt idx="97">
                  <c:v>-0.47244641184806824</c:v>
                </c:pt>
                <c:pt idx="98">
                  <c:v>-0.51077967882156372</c:v>
                </c:pt>
                <c:pt idx="99">
                  <c:v>-0.54430067539215088</c:v>
                </c:pt>
                <c:pt idx="100">
                  <c:v>-0.58947670459747314</c:v>
                </c:pt>
                <c:pt idx="101">
                  <c:v>-0.62641417980194092</c:v>
                </c:pt>
                <c:pt idx="102">
                  <c:v>-0.66862142086029053</c:v>
                </c:pt>
                <c:pt idx="103">
                  <c:v>-0.7152823805809021</c:v>
                </c:pt>
                <c:pt idx="104">
                  <c:v>-0.76563191413879395</c:v>
                </c:pt>
                <c:pt idx="105">
                  <c:v>-0.81425237655639648</c:v>
                </c:pt>
                <c:pt idx="106">
                  <c:v>-0.87367928028106689</c:v>
                </c:pt>
                <c:pt idx="107">
                  <c:v>-0.92998027801513672</c:v>
                </c:pt>
                <c:pt idx="108">
                  <c:v>-0.99478501081466675</c:v>
                </c:pt>
                <c:pt idx="109">
                  <c:v>-1.0617450475692749</c:v>
                </c:pt>
                <c:pt idx="110">
                  <c:v>-1.1329959630966187</c:v>
                </c:pt>
                <c:pt idx="111">
                  <c:v>-1.216230034828186</c:v>
                </c:pt>
                <c:pt idx="112">
                  <c:v>-1.3003640174865723</c:v>
                </c:pt>
                <c:pt idx="113">
                  <c:v>-1.3911470174789429</c:v>
                </c:pt>
                <c:pt idx="114">
                  <c:v>-1.4832700490951538</c:v>
                </c:pt>
                <c:pt idx="115">
                  <c:v>-1.5898669958114624</c:v>
                </c:pt>
                <c:pt idx="116">
                  <c:v>-1.6980240345001221</c:v>
                </c:pt>
                <c:pt idx="117">
                  <c:v>-1.8088170289993286</c:v>
                </c:pt>
                <c:pt idx="118">
                  <c:v>-1.9301309585571289</c:v>
                </c:pt>
                <c:pt idx="119">
                  <c:v>-2.0667080879211426</c:v>
                </c:pt>
                <c:pt idx="120">
                  <c:v>-2.2100999355316162</c:v>
                </c:pt>
                <c:pt idx="121">
                  <c:v>-2.3609340190887451</c:v>
                </c:pt>
                <c:pt idx="122">
                  <c:v>-2.5176210403442383</c:v>
                </c:pt>
                <c:pt idx="123">
                  <c:v>-2.6843340396881104</c:v>
                </c:pt>
                <c:pt idx="124">
                  <c:v>-2.8777520656585693</c:v>
                </c:pt>
                <c:pt idx="125">
                  <c:v>-3.0731298923492432</c:v>
                </c:pt>
                <c:pt idx="126">
                  <c:v>-3.2814021110534668</c:v>
                </c:pt>
                <c:pt idx="127">
                  <c:v>-3.5071220397949219</c:v>
                </c:pt>
                <c:pt idx="128">
                  <c:v>-3.7461340427398682</c:v>
                </c:pt>
                <c:pt idx="129">
                  <c:v>-4.0016860961914063</c:v>
                </c:pt>
                <c:pt idx="130">
                  <c:v>-4.2727279663085938</c:v>
                </c:pt>
                <c:pt idx="131">
                  <c:v>-4.5652880668640137</c:v>
                </c:pt>
                <c:pt idx="132">
                  <c:v>-4.8705949783325195</c:v>
                </c:pt>
                <c:pt idx="133">
                  <c:v>-5.1998410224914551</c:v>
                </c:pt>
                <c:pt idx="134">
                  <c:v>-5.5552349090576172</c:v>
                </c:pt>
                <c:pt idx="135">
                  <c:v>-5.9273371696472168</c:v>
                </c:pt>
                <c:pt idx="136">
                  <c:v>-6.3292598724365234</c:v>
                </c:pt>
                <c:pt idx="137">
                  <c:v>-6.7636590003967285</c:v>
                </c:pt>
                <c:pt idx="138">
                  <c:v>-7.2269749641418457</c:v>
                </c:pt>
                <c:pt idx="139">
                  <c:v>-7.7186570167541504</c:v>
                </c:pt>
                <c:pt idx="140">
                  <c:v>-8.23492431640625</c:v>
                </c:pt>
                <c:pt idx="141">
                  <c:v>-8.7855615615844727</c:v>
                </c:pt>
                <c:pt idx="142">
                  <c:v>-9.3761920928955078</c:v>
                </c:pt>
                <c:pt idx="143">
                  <c:v>-10.004249572753906</c:v>
                </c:pt>
                <c:pt idx="144">
                  <c:v>-10.666930198669434</c:v>
                </c:pt>
                <c:pt idx="145">
                  <c:v>-11.382369995117188</c:v>
                </c:pt>
                <c:pt idx="146">
                  <c:v>-12.13683032989502</c:v>
                </c:pt>
                <c:pt idx="147">
                  <c:v>-12.93435001373291</c:v>
                </c:pt>
                <c:pt idx="148">
                  <c:v>-13.785340309143066</c:v>
                </c:pt>
                <c:pt idx="149">
                  <c:v>-14.682769775390625</c:v>
                </c:pt>
                <c:pt idx="150">
                  <c:v>-15.636710166931152</c:v>
                </c:pt>
                <c:pt idx="151">
                  <c:v>-16.648839950561523</c:v>
                </c:pt>
                <c:pt idx="152">
                  <c:v>-17.718759536743164</c:v>
                </c:pt>
                <c:pt idx="153">
                  <c:v>-18.84099006652832</c:v>
                </c:pt>
                <c:pt idx="154">
                  <c:v>-20.009870529174805</c:v>
                </c:pt>
                <c:pt idx="155">
                  <c:v>-21.254449844360352</c:v>
                </c:pt>
                <c:pt idx="156">
                  <c:v>-22.559820175170898</c:v>
                </c:pt>
                <c:pt idx="157">
                  <c:v>-23.927089691162109</c:v>
                </c:pt>
                <c:pt idx="158">
                  <c:v>-25.356300354003906</c:v>
                </c:pt>
                <c:pt idx="159">
                  <c:v>-26.846029281616211</c:v>
                </c:pt>
                <c:pt idx="160">
                  <c:v>-28.388790130615234</c:v>
                </c:pt>
                <c:pt idx="161">
                  <c:v>-29.992580413818359</c:v>
                </c:pt>
                <c:pt idx="162">
                  <c:v>-31.649320602416992</c:v>
                </c:pt>
                <c:pt idx="163">
                  <c:v>-33.357120513916016</c:v>
                </c:pt>
                <c:pt idx="164">
                  <c:v>-35.102020263671875</c:v>
                </c:pt>
                <c:pt idx="165">
                  <c:v>-36.889469146728516</c:v>
                </c:pt>
                <c:pt idx="166">
                  <c:v>-38.714431762695313</c:v>
                </c:pt>
                <c:pt idx="167">
                  <c:v>-40.562530517578125</c:v>
                </c:pt>
                <c:pt idx="168">
                  <c:v>-42.435039520263672</c:v>
                </c:pt>
                <c:pt idx="169">
                  <c:v>-44.323879241943359</c:v>
                </c:pt>
                <c:pt idx="170">
                  <c:v>-46.220859527587891</c:v>
                </c:pt>
                <c:pt idx="171">
                  <c:v>-48.104110717773438</c:v>
                </c:pt>
                <c:pt idx="172">
                  <c:v>-49.999130249023438</c:v>
                </c:pt>
                <c:pt idx="173">
                  <c:v>-51.899818420410156</c:v>
                </c:pt>
                <c:pt idx="174">
                  <c:v>-53.7830810546875</c:v>
                </c:pt>
                <c:pt idx="175">
                  <c:v>-55.648029327392578</c:v>
                </c:pt>
                <c:pt idx="176">
                  <c:v>-57.503890991210938</c:v>
                </c:pt>
                <c:pt idx="177">
                  <c:v>-59.358051300048828</c:v>
                </c:pt>
                <c:pt idx="178">
                  <c:v>-61.226390838623047</c:v>
                </c:pt>
                <c:pt idx="179">
                  <c:v>-63.149909973144531</c:v>
                </c:pt>
                <c:pt idx="180">
                  <c:v>-65.163368225097656</c:v>
                </c:pt>
                <c:pt idx="181">
                  <c:v>-67.333961486816406</c:v>
                </c:pt>
                <c:pt idx="182">
                  <c:v>-69.751861572265625</c:v>
                </c:pt>
                <c:pt idx="183">
                  <c:v>-72.486549377441406</c:v>
                </c:pt>
                <c:pt idx="184">
                  <c:v>-75.616127014160156</c:v>
                </c:pt>
                <c:pt idx="185">
                  <c:v>-79.170700073242188</c:v>
                </c:pt>
                <c:pt idx="186">
                  <c:v>-83.193389892578125</c:v>
                </c:pt>
                <c:pt idx="187">
                  <c:v>-87.993263244628906</c:v>
                </c:pt>
                <c:pt idx="188">
                  <c:v>-94.254631042480469</c:v>
                </c:pt>
                <c:pt idx="189">
                  <c:v>-103.95179748535156</c:v>
                </c:pt>
                <c:pt idx="190">
                  <c:v>-122.07790374755859</c:v>
                </c:pt>
                <c:pt idx="191">
                  <c:v>-156.30780029296875</c:v>
                </c:pt>
                <c:pt idx="192">
                  <c:v>164.78599548339844</c:v>
                </c:pt>
                <c:pt idx="193">
                  <c:v>-139.27470397949219</c:v>
                </c:pt>
                <c:pt idx="194">
                  <c:v>-143.24819946289063</c:v>
                </c:pt>
                <c:pt idx="195">
                  <c:v>-147.72810363769531</c:v>
                </c:pt>
                <c:pt idx="196">
                  <c:v>-152.35319519042969</c:v>
                </c:pt>
                <c:pt idx="197">
                  <c:v>-156.97850036621094</c:v>
                </c:pt>
                <c:pt idx="198">
                  <c:v>-161.5675048828125</c:v>
                </c:pt>
                <c:pt idx="199">
                  <c:v>-166.49580383300781</c:v>
                </c:pt>
                <c:pt idx="200">
                  <c:v>-171.3179931640625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68-44BE-9EBE-2E9E726EF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859528623"/>
        <c:scaling>
          <c:logBase val="10"/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-1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59528623"/>
        <c:crosses val="autoZero"/>
        <c:crossBetween val="midCat"/>
      </c:valAx>
      <c:valAx>
        <c:axId val="3"/>
        <c:scaling>
          <c:logBase val="10"/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"/>
        <c:crosses val="max"/>
        <c:crossBetween val="midCat"/>
      </c:valAx>
      <c:valAx>
        <c:axId val="4"/>
        <c:scaling>
          <c:orientation val="minMax"/>
        </c:scaling>
        <c:delete val="0"/>
        <c:axPos val="r"/>
        <c:numFmt formatCode="0.0000E+00" sourceLinked="1"/>
        <c:majorTickMark val="none"/>
        <c:minorTickMark val="none"/>
        <c:tickLblPos val="nextTo"/>
        <c:crossAx val="3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6733238231098431"/>
          <c:y val="0.25683114990235761"/>
          <c:w val="0.108416547788873"/>
          <c:h val="0.4754110942205976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|Z| - theta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203791561636277E-2"/>
          <c:y val="0.15027362500433583"/>
          <c:w val="0.64047977727598704"/>
          <c:h val="0.65027495910967148"/>
        </c:manualLayout>
      </c:layout>
      <c:scatterChart>
        <c:scatterStyle val="lineMarker"/>
        <c:varyColors val="0"/>
        <c:ser>
          <c:idx val="0"/>
          <c:order val="0"/>
          <c:tx>
            <c:strRef>
              <c:f>RC_2_10k!$D$10</c:f>
              <c:strCache>
                <c:ptCount val="1"/>
                <c:pt idx="0">
                  <c:v>Data Trace A Real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RC_2_10k!$N$11:$N$211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RC_2_10k!$D$11:$D$211</c:f>
              <c:numCache>
                <c:formatCode>0.0000E+00</c:formatCode>
                <c:ptCount val="201"/>
                <c:pt idx="0">
                  <c:v>9973.0341796875</c:v>
                </c:pt>
                <c:pt idx="1">
                  <c:v>9972.630859375</c:v>
                </c:pt>
                <c:pt idx="2">
                  <c:v>9972.615234375</c:v>
                </c:pt>
                <c:pt idx="3">
                  <c:v>9972.9267578125</c:v>
                </c:pt>
                <c:pt idx="4">
                  <c:v>9971.603515625</c:v>
                </c:pt>
                <c:pt idx="5">
                  <c:v>9973.3251953125</c:v>
                </c:pt>
                <c:pt idx="6">
                  <c:v>9972.2119140625</c:v>
                </c:pt>
                <c:pt idx="7">
                  <c:v>9971.9970703125</c:v>
                </c:pt>
                <c:pt idx="8">
                  <c:v>9973.2451171875</c:v>
                </c:pt>
                <c:pt idx="9">
                  <c:v>9973.1748046875</c:v>
                </c:pt>
                <c:pt idx="10">
                  <c:v>9973.453125</c:v>
                </c:pt>
                <c:pt idx="11">
                  <c:v>9973.728515625</c:v>
                </c:pt>
                <c:pt idx="12">
                  <c:v>9973.51953125</c:v>
                </c:pt>
                <c:pt idx="13">
                  <c:v>9973.798828125</c:v>
                </c:pt>
                <c:pt idx="14">
                  <c:v>9973.912109375</c:v>
                </c:pt>
                <c:pt idx="15">
                  <c:v>9973.94921875</c:v>
                </c:pt>
                <c:pt idx="16">
                  <c:v>9973.669921875</c:v>
                </c:pt>
                <c:pt idx="17">
                  <c:v>9974.265625</c:v>
                </c:pt>
                <c:pt idx="18">
                  <c:v>9973.470703125</c:v>
                </c:pt>
                <c:pt idx="19">
                  <c:v>9973.259765625</c:v>
                </c:pt>
                <c:pt idx="20">
                  <c:v>9973.265625</c:v>
                </c:pt>
                <c:pt idx="21">
                  <c:v>9973.75</c:v>
                </c:pt>
                <c:pt idx="22">
                  <c:v>9973.76953125</c:v>
                </c:pt>
                <c:pt idx="23">
                  <c:v>9973.482421875</c:v>
                </c:pt>
                <c:pt idx="24">
                  <c:v>9973.8984375</c:v>
                </c:pt>
                <c:pt idx="25">
                  <c:v>9974.271484375</c:v>
                </c:pt>
                <c:pt idx="26">
                  <c:v>9974.357421875</c:v>
                </c:pt>
                <c:pt idx="27">
                  <c:v>9974.2578125</c:v>
                </c:pt>
                <c:pt idx="28">
                  <c:v>9973.9384765625</c:v>
                </c:pt>
                <c:pt idx="29">
                  <c:v>9973.107421875</c:v>
                </c:pt>
                <c:pt idx="30">
                  <c:v>9973.50390625</c:v>
                </c:pt>
                <c:pt idx="31">
                  <c:v>9974.689453125</c:v>
                </c:pt>
                <c:pt idx="32">
                  <c:v>9973.845703125</c:v>
                </c:pt>
                <c:pt idx="33">
                  <c:v>9973.41796875</c:v>
                </c:pt>
                <c:pt idx="34">
                  <c:v>9972.970703125</c:v>
                </c:pt>
                <c:pt idx="35">
                  <c:v>9973.234375</c:v>
                </c:pt>
                <c:pt idx="36">
                  <c:v>9973.1171875</c:v>
                </c:pt>
                <c:pt idx="37">
                  <c:v>9972.6796875</c:v>
                </c:pt>
                <c:pt idx="38">
                  <c:v>9972.61328125</c:v>
                </c:pt>
                <c:pt idx="39">
                  <c:v>9973.05078125</c:v>
                </c:pt>
                <c:pt idx="40">
                  <c:v>9972.7109375</c:v>
                </c:pt>
                <c:pt idx="41">
                  <c:v>9974.009765625</c:v>
                </c:pt>
                <c:pt idx="42">
                  <c:v>9973.939453125</c:v>
                </c:pt>
                <c:pt idx="43">
                  <c:v>9974.611328125</c:v>
                </c:pt>
                <c:pt idx="44">
                  <c:v>9974.138671875</c:v>
                </c:pt>
                <c:pt idx="45">
                  <c:v>9974.73046875</c:v>
                </c:pt>
                <c:pt idx="46">
                  <c:v>9973.646484375</c:v>
                </c:pt>
                <c:pt idx="47">
                  <c:v>9973.109375</c:v>
                </c:pt>
                <c:pt idx="48">
                  <c:v>9972.923828125</c:v>
                </c:pt>
                <c:pt idx="49">
                  <c:v>9972.90234375</c:v>
                </c:pt>
                <c:pt idx="50">
                  <c:v>9973.125</c:v>
                </c:pt>
                <c:pt idx="51">
                  <c:v>9972.984375</c:v>
                </c:pt>
                <c:pt idx="52">
                  <c:v>9973.23828125</c:v>
                </c:pt>
                <c:pt idx="53">
                  <c:v>9973.392578125</c:v>
                </c:pt>
                <c:pt idx="54">
                  <c:v>9973.185546875</c:v>
                </c:pt>
                <c:pt idx="55">
                  <c:v>9973.693359375</c:v>
                </c:pt>
                <c:pt idx="56">
                  <c:v>9973.2734375</c:v>
                </c:pt>
                <c:pt idx="57">
                  <c:v>9973.646484375</c:v>
                </c:pt>
                <c:pt idx="58">
                  <c:v>9973.33203125</c:v>
                </c:pt>
                <c:pt idx="59">
                  <c:v>9973.41015625</c:v>
                </c:pt>
                <c:pt idx="60">
                  <c:v>9973.4462890625</c:v>
                </c:pt>
                <c:pt idx="61">
                  <c:v>9973.63671875</c:v>
                </c:pt>
                <c:pt idx="62">
                  <c:v>9973.5439453125</c:v>
                </c:pt>
                <c:pt idx="63">
                  <c:v>9972.4072265625</c:v>
                </c:pt>
                <c:pt idx="64">
                  <c:v>9972.970703125</c:v>
                </c:pt>
                <c:pt idx="65">
                  <c:v>9974.099609375</c:v>
                </c:pt>
                <c:pt idx="66">
                  <c:v>9974.0283203125</c:v>
                </c:pt>
                <c:pt idx="67">
                  <c:v>9972.8251953125</c:v>
                </c:pt>
                <c:pt idx="68">
                  <c:v>9973.701171875</c:v>
                </c:pt>
                <c:pt idx="69">
                  <c:v>9973.591796875</c:v>
                </c:pt>
                <c:pt idx="70">
                  <c:v>9973.4482421875</c:v>
                </c:pt>
                <c:pt idx="71">
                  <c:v>9972.3115234375</c:v>
                </c:pt>
                <c:pt idx="72">
                  <c:v>9973.177734375</c:v>
                </c:pt>
                <c:pt idx="73">
                  <c:v>9972.6728515625</c:v>
                </c:pt>
                <c:pt idx="74">
                  <c:v>9971.9609375</c:v>
                </c:pt>
                <c:pt idx="75">
                  <c:v>9973.568359375</c:v>
                </c:pt>
                <c:pt idx="76">
                  <c:v>9972.359375</c:v>
                </c:pt>
                <c:pt idx="77">
                  <c:v>9971.3095703125</c:v>
                </c:pt>
                <c:pt idx="78">
                  <c:v>9972.416015625</c:v>
                </c:pt>
                <c:pt idx="79">
                  <c:v>9972.1884765625</c:v>
                </c:pt>
                <c:pt idx="80">
                  <c:v>9972.0498046875</c:v>
                </c:pt>
                <c:pt idx="81">
                  <c:v>9972.0732421875</c:v>
                </c:pt>
                <c:pt idx="82">
                  <c:v>9974.8193359375</c:v>
                </c:pt>
                <c:pt idx="83">
                  <c:v>9973.0791015625</c:v>
                </c:pt>
                <c:pt idx="84">
                  <c:v>9972.7607421875</c:v>
                </c:pt>
                <c:pt idx="85">
                  <c:v>9973.2587890625</c:v>
                </c:pt>
                <c:pt idx="86">
                  <c:v>9973.1494140625</c:v>
                </c:pt>
                <c:pt idx="87">
                  <c:v>9973.1982421875</c:v>
                </c:pt>
                <c:pt idx="88">
                  <c:v>9973.59375</c:v>
                </c:pt>
                <c:pt idx="89">
                  <c:v>9973.6298828125</c:v>
                </c:pt>
                <c:pt idx="90">
                  <c:v>9973.0537109375</c:v>
                </c:pt>
                <c:pt idx="91">
                  <c:v>9973.544921875</c:v>
                </c:pt>
                <c:pt idx="92">
                  <c:v>9973.861328125</c:v>
                </c:pt>
                <c:pt idx="93">
                  <c:v>9974.130859375</c:v>
                </c:pt>
                <c:pt idx="94">
                  <c:v>9973.181640625</c:v>
                </c:pt>
                <c:pt idx="95">
                  <c:v>9973.1123046875</c:v>
                </c:pt>
                <c:pt idx="96">
                  <c:v>9973.146484375</c:v>
                </c:pt>
                <c:pt idx="97">
                  <c:v>9973.9072265625</c:v>
                </c:pt>
                <c:pt idx="98">
                  <c:v>9973.42578125</c:v>
                </c:pt>
                <c:pt idx="99">
                  <c:v>9972.896484375</c:v>
                </c:pt>
                <c:pt idx="100">
                  <c:v>9973.8681640625</c:v>
                </c:pt>
                <c:pt idx="101">
                  <c:v>9973.875</c:v>
                </c:pt>
                <c:pt idx="102">
                  <c:v>9974.373046875</c:v>
                </c:pt>
                <c:pt idx="103">
                  <c:v>9972.904296875</c:v>
                </c:pt>
                <c:pt idx="104">
                  <c:v>9972.8623046875</c:v>
                </c:pt>
                <c:pt idx="105">
                  <c:v>9973.08203125</c:v>
                </c:pt>
                <c:pt idx="106">
                  <c:v>9972.8525390625</c:v>
                </c:pt>
                <c:pt idx="107">
                  <c:v>9972.478515625</c:v>
                </c:pt>
                <c:pt idx="108">
                  <c:v>9972.19921875</c:v>
                </c:pt>
                <c:pt idx="109">
                  <c:v>9972.2353515625</c:v>
                </c:pt>
                <c:pt idx="110">
                  <c:v>9972.8388671875</c:v>
                </c:pt>
                <c:pt idx="111">
                  <c:v>9972.1767578125</c:v>
                </c:pt>
                <c:pt idx="112">
                  <c:v>9972.27734375</c:v>
                </c:pt>
                <c:pt idx="113">
                  <c:v>9971.685546875</c:v>
                </c:pt>
                <c:pt idx="114">
                  <c:v>9971.298828125</c:v>
                </c:pt>
                <c:pt idx="115">
                  <c:v>9970.828125</c:v>
                </c:pt>
                <c:pt idx="116">
                  <c:v>9969.73828125</c:v>
                </c:pt>
                <c:pt idx="117">
                  <c:v>9970.1142578125</c:v>
                </c:pt>
                <c:pt idx="118">
                  <c:v>9969.13671875</c:v>
                </c:pt>
                <c:pt idx="119">
                  <c:v>9968.4345703125</c:v>
                </c:pt>
                <c:pt idx="120">
                  <c:v>9966.904296875</c:v>
                </c:pt>
                <c:pt idx="121">
                  <c:v>9966.1787109375</c:v>
                </c:pt>
                <c:pt idx="122">
                  <c:v>9965.83203125</c:v>
                </c:pt>
                <c:pt idx="123">
                  <c:v>9964.1240234375</c:v>
                </c:pt>
                <c:pt idx="124">
                  <c:v>9962.7119140625</c:v>
                </c:pt>
                <c:pt idx="125">
                  <c:v>9961.58984375</c:v>
                </c:pt>
                <c:pt idx="126">
                  <c:v>9960.3935546875</c:v>
                </c:pt>
                <c:pt idx="127">
                  <c:v>9958.1845703125</c:v>
                </c:pt>
                <c:pt idx="128">
                  <c:v>9956.6708984375</c:v>
                </c:pt>
                <c:pt idx="129">
                  <c:v>9953.962890625</c:v>
                </c:pt>
                <c:pt idx="130">
                  <c:v>9951.4716796875</c:v>
                </c:pt>
                <c:pt idx="131">
                  <c:v>9948.9697265625</c:v>
                </c:pt>
                <c:pt idx="132">
                  <c:v>9945.7802734375</c:v>
                </c:pt>
                <c:pt idx="133">
                  <c:v>9940.6298828125</c:v>
                </c:pt>
                <c:pt idx="134">
                  <c:v>9936.853515625</c:v>
                </c:pt>
                <c:pt idx="135">
                  <c:v>9932.74609375</c:v>
                </c:pt>
                <c:pt idx="136">
                  <c:v>9926.8583984375</c:v>
                </c:pt>
                <c:pt idx="137">
                  <c:v>9921.185546875</c:v>
                </c:pt>
                <c:pt idx="138">
                  <c:v>9913.8896484375</c:v>
                </c:pt>
                <c:pt idx="139">
                  <c:v>9906.048828125</c:v>
                </c:pt>
                <c:pt idx="140">
                  <c:v>9897.1533203125</c:v>
                </c:pt>
                <c:pt idx="141">
                  <c:v>9887.39453125</c:v>
                </c:pt>
                <c:pt idx="142">
                  <c:v>9876.3857421875</c:v>
                </c:pt>
                <c:pt idx="143">
                  <c:v>9863.654296875</c:v>
                </c:pt>
                <c:pt idx="144">
                  <c:v>9849.0791015625</c:v>
                </c:pt>
                <c:pt idx="145">
                  <c:v>9832.8447265625</c:v>
                </c:pt>
                <c:pt idx="146">
                  <c:v>9814.5615234375</c:v>
                </c:pt>
                <c:pt idx="147">
                  <c:v>9793.177734375</c:v>
                </c:pt>
                <c:pt idx="148">
                  <c:v>9769.748046875</c:v>
                </c:pt>
                <c:pt idx="149">
                  <c:v>9743.03515625</c:v>
                </c:pt>
                <c:pt idx="150">
                  <c:v>9713.1494140625</c:v>
                </c:pt>
                <c:pt idx="151">
                  <c:v>9679.146484375</c:v>
                </c:pt>
                <c:pt idx="152">
                  <c:v>9641.494140625</c:v>
                </c:pt>
                <c:pt idx="153">
                  <c:v>9599.0390625</c:v>
                </c:pt>
                <c:pt idx="154">
                  <c:v>9550.990234375</c:v>
                </c:pt>
                <c:pt idx="155">
                  <c:v>9497.9208984375</c:v>
                </c:pt>
                <c:pt idx="156">
                  <c:v>9438.6025390625</c:v>
                </c:pt>
                <c:pt idx="157">
                  <c:v>9373.228515625</c:v>
                </c:pt>
                <c:pt idx="158">
                  <c:v>9301.388671875</c:v>
                </c:pt>
                <c:pt idx="159">
                  <c:v>9221.421875</c:v>
                </c:pt>
                <c:pt idx="160">
                  <c:v>9133.5654296875</c:v>
                </c:pt>
                <c:pt idx="161">
                  <c:v>9037.5693359375</c:v>
                </c:pt>
                <c:pt idx="162">
                  <c:v>8932.853515625</c:v>
                </c:pt>
                <c:pt idx="163">
                  <c:v>8819.16015625</c:v>
                </c:pt>
                <c:pt idx="164">
                  <c:v>8696.8623046875</c:v>
                </c:pt>
                <c:pt idx="165">
                  <c:v>8566.12109375</c:v>
                </c:pt>
                <c:pt idx="166">
                  <c:v>8425.916015625</c:v>
                </c:pt>
                <c:pt idx="167">
                  <c:v>8278.873046875</c:v>
                </c:pt>
                <c:pt idx="168">
                  <c:v>8124.08984375</c:v>
                </c:pt>
                <c:pt idx="169">
                  <c:v>7962.369140625</c:v>
                </c:pt>
                <c:pt idx="170">
                  <c:v>7796.84716796875</c:v>
                </c:pt>
                <c:pt idx="171">
                  <c:v>7627.7509765625</c:v>
                </c:pt>
                <c:pt idx="172">
                  <c:v>7456.76708984375</c:v>
                </c:pt>
                <c:pt idx="173">
                  <c:v>7288.56005859375</c:v>
                </c:pt>
                <c:pt idx="174">
                  <c:v>7124.748046875</c:v>
                </c:pt>
                <c:pt idx="175">
                  <c:v>6963.833984375</c:v>
                </c:pt>
                <c:pt idx="176">
                  <c:v>6812.47802734375</c:v>
                </c:pt>
                <c:pt idx="177">
                  <c:v>6674.833984375</c:v>
                </c:pt>
                <c:pt idx="178">
                  <c:v>6557.328125</c:v>
                </c:pt>
                <c:pt idx="179">
                  <c:v>6463.52490234375</c:v>
                </c:pt>
                <c:pt idx="180">
                  <c:v>6399.39013671875</c:v>
                </c:pt>
                <c:pt idx="181">
                  <c:v>6371.2021484375</c:v>
                </c:pt>
                <c:pt idx="182">
                  <c:v>6382.125</c:v>
                </c:pt>
                <c:pt idx="183">
                  <c:v>6439.615234375</c:v>
                </c:pt>
                <c:pt idx="184">
                  <c:v>6547.42822265625</c:v>
                </c:pt>
                <c:pt idx="185">
                  <c:v>6719.01904296875</c:v>
                </c:pt>
                <c:pt idx="186">
                  <c:v>6992.06982421875</c:v>
                </c:pt>
                <c:pt idx="187">
                  <c:v>7450.22216796875</c:v>
                </c:pt>
                <c:pt idx="188">
                  <c:v>8250.27734375</c:v>
                </c:pt>
                <c:pt idx="189">
                  <c:v>9642.8681640625</c:v>
                </c:pt>
                <c:pt idx="190">
                  <c:v>11867.849609375</c:v>
                </c:pt>
                <c:pt idx="191">
                  <c:v>12943.0595703125</c:v>
                </c:pt>
                <c:pt idx="192">
                  <c:v>9343.4951171875</c:v>
                </c:pt>
                <c:pt idx="193">
                  <c:v>1397.4320068359375</c:v>
                </c:pt>
                <c:pt idx="194">
                  <c:v>1248.426025390625</c:v>
                </c:pt>
                <c:pt idx="195">
                  <c:v>1109.9969482421875</c:v>
                </c:pt>
                <c:pt idx="196">
                  <c:v>975.41522216796875</c:v>
                </c:pt>
                <c:pt idx="197">
                  <c:v>846.8131103515625</c:v>
                </c:pt>
                <c:pt idx="198">
                  <c:v>726.9462890625</c:v>
                </c:pt>
                <c:pt idx="199">
                  <c:v>620.71368408203125</c:v>
                </c:pt>
                <c:pt idx="200">
                  <c:v>519.947509765625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A4-4E96-A4B1-E682D1A9C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528623"/>
        <c:axId val="1"/>
      </c:scatterChart>
      <c:scatterChart>
        <c:scatterStyle val="lineMarker"/>
        <c:varyColors val="0"/>
        <c:ser>
          <c:idx val="1"/>
          <c:order val="1"/>
          <c:tx>
            <c:strRef>
              <c:f>RC_2_10k!$F$10</c:f>
              <c:strCache>
                <c:ptCount val="1"/>
                <c:pt idx="0">
                  <c:v>Data Trace B Real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chemeClr val="bg1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RC_2_10k!$N$11:$N$211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RC_2_10k!$F$11:$F$211</c:f>
              <c:numCache>
                <c:formatCode>0.0000E+00</c:formatCode>
                <c:ptCount val="201"/>
                <c:pt idx="0">
                  <c:v>4.4608909636735916E-2</c:v>
                </c:pt>
                <c:pt idx="1">
                  <c:v>3.6544639617204666E-2</c:v>
                </c:pt>
                <c:pt idx="2">
                  <c:v>3.2461371272802353E-2</c:v>
                </c:pt>
                <c:pt idx="3">
                  <c:v>2.838624082505703E-2</c:v>
                </c:pt>
                <c:pt idx="4">
                  <c:v>2.9270580038428307E-2</c:v>
                </c:pt>
                <c:pt idx="5">
                  <c:v>3.0398590490221977E-2</c:v>
                </c:pt>
                <c:pt idx="6">
                  <c:v>2.0828200504183769E-2</c:v>
                </c:pt>
                <c:pt idx="7">
                  <c:v>1.9709710031747818E-2</c:v>
                </c:pt>
                <c:pt idx="8">
                  <c:v>2.3365659639239311E-2</c:v>
                </c:pt>
                <c:pt idx="9">
                  <c:v>2.0630929619073868E-2</c:v>
                </c:pt>
                <c:pt idx="10">
                  <c:v>1.7815370112657547E-2</c:v>
                </c:pt>
                <c:pt idx="11">
                  <c:v>1.2124549597501755E-2</c:v>
                </c:pt>
                <c:pt idx="12">
                  <c:v>1.5771800652146339E-2</c:v>
                </c:pt>
                <c:pt idx="13">
                  <c:v>1.4722820371389389E-2</c:v>
                </c:pt>
                <c:pt idx="14">
                  <c:v>1.356262993067503E-2</c:v>
                </c:pt>
                <c:pt idx="15">
                  <c:v>1.6864530742168427E-2</c:v>
                </c:pt>
                <c:pt idx="16">
                  <c:v>1.3701099902391434E-2</c:v>
                </c:pt>
                <c:pt idx="17">
                  <c:v>1.4290880411863327E-2</c:v>
                </c:pt>
                <c:pt idx="18">
                  <c:v>1.2498320080339909E-2</c:v>
                </c:pt>
                <c:pt idx="19">
                  <c:v>1.3924890197813511E-2</c:v>
                </c:pt>
                <c:pt idx="20">
                  <c:v>7.9482384026050568E-3</c:v>
                </c:pt>
                <c:pt idx="21">
                  <c:v>5.4803448729217052E-3</c:v>
                </c:pt>
                <c:pt idx="22">
                  <c:v>6.3982591964304447E-3</c:v>
                </c:pt>
                <c:pt idx="23">
                  <c:v>9.4109959900379181E-3</c:v>
                </c:pt>
                <c:pt idx="24">
                  <c:v>1.3697669841349125E-2</c:v>
                </c:pt>
                <c:pt idx="25">
                  <c:v>5.9600640088319778E-3</c:v>
                </c:pt>
                <c:pt idx="26">
                  <c:v>4.0939999744296074E-3</c:v>
                </c:pt>
                <c:pt idx="27">
                  <c:v>7.0068738423287868E-3</c:v>
                </c:pt>
                <c:pt idx="28">
                  <c:v>4.8661730252206326E-3</c:v>
                </c:pt>
                <c:pt idx="29">
                  <c:v>5.3368601948022842E-3</c:v>
                </c:pt>
                <c:pt idx="30">
                  <c:v>1.0782060213387012E-2</c:v>
                </c:pt>
                <c:pt idx="31">
                  <c:v>7.5334631837904453E-3</c:v>
                </c:pt>
                <c:pt idx="32">
                  <c:v>7.3677119798958302E-3</c:v>
                </c:pt>
                <c:pt idx="33">
                  <c:v>8.5104657337069511E-3</c:v>
                </c:pt>
                <c:pt idx="34">
                  <c:v>2.815410029143095E-3</c:v>
                </c:pt>
                <c:pt idx="35">
                  <c:v>-5.9848657110705972E-4</c:v>
                </c:pt>
                <c:pt idx="36">
                  <c:v>-3.6321408697403967E-4</c:v>
                </c:pt>
                <c:pt idx="37">
                  <c:v>4.8816991038620472E-3</c:v>
                </c:pt>
                <c:pt idx="38">
                  <c:v>1.2294540647417307E-4</c:v>
                </c:pt>
                <c:pt idx="39">
                  <c:v>-3.2855020835995674E-3</c:v>
                </c:pt>
                <c:pt idx="40">
                  <c:v>7.6968991197645664E-4</c:v>
                </c:pt>
                <c:pt idx="41">
                  <c:v>9.712994797155261E-4</c:v>
                </c:pt>
                <c:pt idx="42">
                  <c:v>-3.8684739265590906E-3</c:v>
                </c:pt>
                <c:pt idx="43">
                  <c:v>-1.0590390302240849E-2</c:v>
                </c:pt>
                <c:pt idx="44">
                  <c:v>-7.0076668635010719E-3</c:v>
                </c:pt>
                <c:pt idx="45">
                  <c:v>-8.4355054423213005E-3</c:v>
                </c:pt>
                <c:pt idx="46">
                  <c:v>-1.0028339922428131E-2</c:v>
                </c:pt>
                <c:pt idx="47">
                  <c:v>1.6238220036029816E-2</c:v>
                </c:pt>
                <c:pt idx="48">
                  <c:v>1.166508998721838E-2</c:v>
                </c:pt>
                <c:pt idx="49">
                  <c:v>8.6089922115206718E-3</c:v>
                </c:pt>
                <c:pt idx="50">
                  <c:v>4.6578859910368919E-3</c:v>
                </c:pt>
                <c:pt idx="51">
                  <c:v>-1.5258030034601688E-3</c:v>
                </c:pt>
                <c:pt idx="52">
                  <c:v>1.5487379860132933E-3</c:v>
                </c:pt>
                <c:pt idx="53">
                  <c:v>6.2748291529715061E-3</c:v>
                </c:pt>
                <c:pt idx="54">
                  <c:v>-2.2189109586179256E-3</c:v>
                </c:pt>
                <c:pt idx="55">
                  <c:v>-1.0092009790241718E-2</c:v>
                </c:pt>
                <c:pt idx="56">
                  <c:v>-9.5731671899557114E-3</c:v>
                </c:pt>
                <c:pt idx="57">
                  <c:v>-9.8850857466459274E-3</c:v>
                </c:pt>
                <c:pt idx="58">
                  <c:v>-1.172167994081974E-2</c:v>
                </c:pt>
                <c:pt idx="59">
                  <c:v>-1.6531480476260185E-2</c:v>
                </c:pt>
                <c:pt idx="60">
                  <c:v>-2.0207790657877922E-2</c:v>
                </c:pt>
                <c:pt idx="61">
                  <c:v>-1.7138179391622543E-2</c:v>
                </c:pt>
                <c:pt idx="62">
                  <c:v>-2.1606549620628357E-2</c:v>
                </c:pt>
                <c:pt idx="63">
                  <c:v>-2.7693549171090126E-2</c:v>
                </c:pt>
                <c:pt idx="64">
                  <c:v>-3.3280450850725174E-2</c:v>
                </c:pt>
                <c:pt idx="65">
                  <c:v>-3.5726919770240784E-2</c:v>
                </c:pt>
                <c:pt idx="66">
                  <c:v>-4.1259601712226868E-2</c:v>
                </c:pt>
                <c:pt idx="67">
                  <c:v>-4.6997170895338058E-2</c:v>
                </c:pt>
                <c:pt idx="68">
                  <c:v>-4.9474760890007019E-2</c:v>
                </c:pt>
                <c:pt idx="69">
                  <c:v>-5.2894551306962967E-2</c:v>
                </c:pt>
                <c:pt idx="70">
                  <c:v>-5.821986123919487E-2</c:v>
                </c:pt>
                <c:pt idx="71">
                  <c:v>-6.5839633345603943E-2</c:v>
                </c:pt>
                <c:pt idx="72">
                  <c:v>-6.1362098902463913E-2</c:v>
                </c:pt>
                <c:pt idx="73">
                  <c:v>-6.9395251572132111E-2</c:v>
                </c:pt>
                <c:pt idx="74">
                  <c:v>-7.9009637236595154E-2</c:v>
                </c:pt>
                <c:pt idx="75">
                  <c:v>-8.7955862283706665E-2</c:v>
                </c:pt>
                <c:pt idx="76">
                  <c:v>-9.4304002821445465E-2</c:v>
                </c:pt>
                <c:pt idx="77">
                  <c:v>-0.10351479798555374</c:v>
                </c:pt>
                <c:pt idx="78">
                  <c:v>-0.10897800326347351</c:v>
                </c:pt>
                <c:pt idx="79">
                  <c:v>-0.10670290142297745</c:v>
                </c:pt>
                <c:pt idx="80">
                  <c:v>-0.12139809876680374</c:v>
                </c:pt>
                <c:pt idx="81">
                  <c:v>-0.12173669785261154</c:v>
                </c:pt>
                <c:pt idx="82">
                  <c:v>-0.16183209419250488</c:v>
                </c:pt>
                <c:pt idx="83">
                  <c:v>-0.15847660601139069</c:v>
                </c:pt>
                <c:pt idx="84">
                  <c:v>-0.16719140112400055</c:v>
                </c:pt>
                <c:pt idx="85">
                  <c:v>-0.19204509258270264</c:v>
                </c:pt>
                <c:pt idx="86">
                  <c:v>-0.19764420390129089</c:v>
                </c:pt>
                <c:pt idx="87">
                  <c:v>-0.20809109508991241</c:v>
                </c:pt>
                <c:pt idx="88">
                  <c:v>-0.22667139768600464</c:v>
                </c:pt>
                <c:pt idx="89">
                  <c:v>-0.23610790073871613</c:v>
                </c:pt>
                <c:pt idx="90">
                  <c:v>-0.24998709559440613</c:v>
                </c:pt>
                <c:pt idx="91">
                  <c:v>-0.27272799611091614</c:v>
                </c:pt>
                <c:pt idx="92">
                  <c:v>-0.29594370722770691</c:v>
                </c:pt>
                <c:pt idx="93">
                  <c:v>-0.31445840001106262</c:v>
                </c:pt>
                <c:pt idx="94">
                  <c:v>-0.33615890145301819</c:v>
                </c:pt>
                <c:pt idx="95">
                  <c:v>-0.35949110984802246</c:v>
                </c:pt>
                <c:pt idx="96">
                  <c:v>-0.38242191076278687</c:v>
                </c:pt>
                <c:pt idx="97">
                  <c:v>-0.40792658925056458</c:v>
                </c:pt>
                <c:pt idx="98">
                  <c:v>-0.43446680903434753</c:v>
                </c:pt>
                <c:pt idx="99">
                  <c:v>-0.47225341200828552</c:v>
                </c:pt>
                <c:pt idx="100">
                  <c:v>-0.50375992059707642</c:v>
                </c:pt>
                <c:pt idx="101">
                  <c:v>-0.53296279907226563</c:v>
                </c:pt>
                <c:pt idx="102">
                  <c:v>-0.57396841049194336</c:v>
                </c:pt>
                <c:pt idx="103">
                  <c:v>-0.61151409149169922</c:v>
                </c:pt>
                <c:pt idx="104">
                  <c:v>-0.65469801425933838</c:v>
                </c:pt>
                <c:pt idx="105">
                  <c:v>-0.70101958513259888</c:v>
                </c:pt>
                <c:pt idx="106">
                  <c:v>-0.75364279747009277</c:v>
                </c:pt>
                <c:pt idx="107">
                  <c:v>-0.79349732398986816</c:v>
                </c:pt>
                <c:pt idx="108">
                  <c:v>-0.85551661252975464</c:v>
                </c:pt>
                <c:pt idx="109">
                  <c:v>-0.91519880294799805</c:v>
                </c:pt>
                <c:pt idx="110">
                  <c:v>-0.97503370046615601</c:v>
                </c:pt>
                <c:pt idx="111">
                  <c:v>-1.0470600128173828</c:v>
                </c:pt>
                <c:pt idx="112">
                  <c:v>-1.1121490001678467</c:v>
                </c:pt>
                <c:pt idx="113">
                  <c:v>-1.1957279443740845</c:v>
                </c:pt>
                <c:pt idx="114">
                  <c:v>-1.2720609903335571</c:v>
                </c:pt>
                <c:pt idx="115">
                  <c:v>-1.3593930006027222</c:v>
                </c:pt>
                <c:pt idx="116">
                  <c:v>-1.4560630321502686</c:v>
                </c:pt>
                <c:pt idx="117">
                  <c:v>-1.5547469854354858</c:v>
                </c:pt>
                <c:pt idx="118">
                  <c:v>-1.6603209972381592</c:v>
                </c:pt>
                <c:pt idx="119">
                  <c:v>-1.7704969644546509</c:v>
                </c:pt>
                <c:pt idx="120">
                  <c:v>-1.8987629413604736</c:v>
                </c:pt>
                <c:pt idx="121">
                  <c:v>-2.0294671058654785</c:v>
                </c:pt>
                <c:pt idx="122">
                  <c:v>-2.1622130870819092</c:v>
                </c:pt>
                <c:pt idx="123">
                  <c:v>-2.309636116027832</c:v>
                </c:pt>
                <c:pt idx="124">
                  <c:v>-2.470897912979126</c:v>
                </c:pt>
                <c:pt idx="125">
                  <c:v>-2.639707088470459</c:v>
                </c:pt>
                <c:pt idx="126">
                  <c:v>-2.8186099529266357</c:v>
                </c:pt>
                <c:pt idx="127">
                  <c:v>-3.0148310661315918</c:v>
                </c:pt>
                <c:pt idx="128">
                  <c:v>-3.2216730117797852</c:v>
                </c:pt>
                <c:pt idx="129">
                  <c:v>-3.4456110000610352</c:v>
                </c:pt>
                <c:pt idx="130">
                  <c:v>-3.6832399368286133</c:v>
                </c:pt>
                <c:pt idx="131">
                  <c:v>-3.9277360439300537</c:v>
                </c:pt>
                <c:pt idx="132">
                  <c:v>-4.1981558799743652</c:v>
                </c:pt>
                <c:pt idx="133">
                  <c:v>-4.4797120094299316</c:v>
                </c:pt>
                <c:pt idx="134">
                  <c:v>-4.785834789276123</c:v>
                </c:pt>
                <c:pt idx="135">
                  <c:v>-5.115534782409668</c:v>
                </c:pt>
                <c:pt idx="136">
                  <c:v>-5.463716983795166</c:v>
                </c:pt>
                <c:pt idx="137">
                  <c:v>-5.837831974029541</c:v>
                </c:pt>
                <c:pt idx="138">
                  <c:v>-6.2342348098754883</c:v>
                </c:pt>
                <c:pt idx="139">
                  <c:v>-6.6593198776245117</c:v>
                </c:pt>
                <c:pt idx="140">
                  <c:v>-7.1134181022644043</c:v>
                </c:pt>
                <c:pt idx="141">
                  <c:v>-7.5915141105651855</c:v>
                </c:pt>
                <c:pt idx="142">
                  <c:v>-8.1060323715209961</c:v>
                </c:pt>
                <c:pt idx="143">
                  <c:v>-8.6501150131225586</c:v>
                </c:pt>
                <c:pt idx="144">
                  <c:v>-9.2316608428955078</c:v>
                </c:pt>
                <c:pt idx="145">
                  <c:v>-9.8510732650756836</c:v>
                </c:pt>
                <c:pt idx="146">
                  <c:v>-10.514410018920898</c:v>
                </c:pt>
                <c:pt idx="147">
                  <c:v>-11.215120315551758</c:v>
                </c:pt>
                <c:pt idx="148">
                  <c:v>-11.968440055847168</c:v>
                </c:pt>
                <c:pt idx="149">
                  <c:v>-12.753100395202637</c:v>
                </c:pt>
                <c:pt idx="150">
                  <c:v>-13.598079681396484</c:v>
                </c:pt>
                <c:pt idx="151">
                  <c:v>-14.498530387878418</c:v>
                </c:pt>
                <c:pt idx="152">
                  <c:v>-15.443639755249023</c:v>
                </c:pt>
                <c:pt idx="153">
                  <c:v>-16.448820114135742</c:v>
                </c:pt>
                <c:pt idx="154">
                  <c:v>-17.493570327758789</c:v>
                </c:pt>
                <c:pt idx="155">
                  <c:v>-18.609729766845703</c:v>
                </c:pt>
                <c:pt idx="156">
                  <c:v>-19.788650512695313</c:v>
                </c:pt>
                <c:pt idx="157">
                  <c:v>-21.026769638061523</c:v>
                </c:pt>
                <c:pt idx="158">
                  <c:v>-22.332880020141602</c:v>
                </c:pt>
                <c:pt idx="159">
                  <c:v>-23.693359375</c:v>
                </c:pt>
                <c:pt idx="160">
                  <c:v>-25.120010375976563</c:v>
                </c:pt>
                <c:pt idx="161">
                  <c:v>-26.605709075927734</c:v>
                </c:pt>
                <c:pt idx="162">
                  <c:v>-28.155340194702148</c:v>
                </c:pt>
                <c:pt idx="163">
                  <c:v>-29.760099411010742</c:v>
                </c:pt>
                <c:pt idx="164">
                  <c:v>-31.418630599975586</c:v>
                </c:pt>
                <c:pt idx="165">
                  <c:v>-33.127891540527344</c:v>
                </c:pt>
                <c:pt idx="166">
                  <c:v>-34.88800048828125</c:v>
                </c:pt>
                <c:pt idx="167">
                  <c:v>-36.684940338134766</c:v>
                </c:pt>
                <c:pt idx="168">
                  <c:v>-38.524311065673828</c:v>
                </c:pt>
                <c:pt idx="169">
                  <c:v>-40.395290374755859</c:v>
                </c:pt>
                <c:pt idx="170">
                  <c:v>-42.290378570556641</c:v>
                </c:pt>
                <c:pt idx="171">
                  <c:v>-44.200229644775391</c:v>
                </c:pt>
                <c:pt idx="172">
                  <c:v>-46.119468688964844</c:v>
                </c:pt>
                <c:pt idx="173">
                  <c:v>-48.040088653564453</c:v>
                </c:pt>
                <c:pt idx="174">
                  <c:v>-49.987331390380859</c:v>
                </c:pt>
                <c:pt idx="175">
                  <c:v>-51.946159362792969</c:v>
                </c:pt>
                <c:pt idx="176">
                  <c:v>-53.892189025878906</c:v>
                </c:pt>
                <c:pt idx="177">
                  <c:v>-55.847549438476563</c:v>
                </c:pt>
                <c:pt idx="178">
                  <c:v>-57.820018768310547</c:v>
                </c:pt>
                <c:pt idx="179">
                  <c:v>-59.8603515625</c:v>
                </c:pt>
                <c:pt idx="180">
                  <c:v>-61.998970031738281</c:v>
                </c:pt>
                <c:pt idx="181">
                  <c:v>-64.30938720703125</c:v>
                </c:pt>
                <c:pt idx="182">
                  <c:v>-66.883308410644531</c:v>
                </c:pt>
                <c:pt idx="183">
                  <c:v>-69.802299499511719</c:v>
                </c:pt>
                <c:pt idx="184">
                  <c:v>-73.146842956542969</c:v>
                </c:pt>
                <c:pt idx="185">
                  <c:v>-76.962516784667969</c:v>
                </c:pt>
                <c:pt idx="186">
                  <c:v>-81.28900146484375</c:v>
                </c:pt>
                <c:pt idx="187">
                  <c:v>-86.367103576660156</c:v>
                </c:pt>
                <c:pt idx="188">
                  <c:v>-93.112640380859375</c:v>
                </c:pt>
                <c:pt idx="189">
                  <c:v>-103.48760223388672</c:v>
                </c:pt>
                <c:pt idx="190">
                  <c:v>-122.58769989013672</c:v>
                </c:pt>
                <c:pt idx="191">
                  <c:v>-157.88180541992188</c:v>
                </c:pt>
                <c:pt idx="192">
                  <c:v>163.83479309082031</c:v>
                </c:pt>
                <c:pt idx="193">
                  <c:v>-138.21440124511719</c:v>
                </c:pt>
                <c:pt idx="194">
                  <c:v>-142.43089294433594</c:v>
                </c:pt>
                <c:pt idx="195">
                  <c:v>-147.03520202636719</c:v>
                </c:pt>
                <c:pt idx="196">
                  <c:v>-151.79670715332031</c:v>
                </c:pt>
                <c:pt idx="197">
                  <c:v>-156.67230224609375</c:v>
                </c:pt>
                <c:pt idx="198">
                  <c:v>-161.22219848632813</c:v>
                </c:pt>
                <c:pt idx="199">
                  <c:v>-166.19760131835938</c:v>
                </c:pt>
                <c:pt idx="200">
                  <c:v>-171.14370727539063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A4-4E96-A4B1-E682D1A9C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859528623"/>
        <c:scaling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-1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59528623"/>
        <c:crosses val="autoZero"/>
        <c:crossBetween val="midCat"/>
      </c:valAx>
      <c:valAx>
        <c:axId val="3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"/>
        <c:crosses val="max"/>
        <c:crossBetween val="midCat"/>
      </c:valAx>
      <c:valAx>
        <c:axId val="4"/>
        <c:scaling>
          <c:orientation val="minMax"/>
        </c:scaling>
        <c:delete val="0"/>
        <c:axPos val="r"/>
        <c:numFmt formatCode="0.0000E+00" sourceLinked="1"/>
        <c:majorTickMark val="none"/>
        <c:minorTickMark val="none"/>
        <c:tickLblPos val="nextTo"/>
        <c:crossAx val="3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6733238231098431"/>
          <c:y val="0.25683114990235761"/>
          <c:w val="0.108416547788873"/>
          <c:h val="0.4754110942205976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|Z| - theta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203791561636277E-2"/>
          <c:y val="0.15027362500433583"/>
          <c:w val="0.64047977727598704"/>
          <c:h val="0.65027495910967148"/>
        </c:manualLayout>
      </c:layout>
      <c:scatterChart>
        <c:scatterStyle val="lineMarker"/>
        <c:varyColors val="0"/>
        <c:ser>
          <c:idx val="0"/>
          <c:order val="0"/>
          <c:tx>
            <c:strRef>
              <c:f>C_1!$D$10</c:f>
              <c:strCache>
                <c:ptCount val="1"/>
                <c:pt idx="0">
                  <c:v>Data Trace A Real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C_1!$N$11:$N$211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C_1!$D$11:$D$211</c:f>
              <c:numCache>
                <c:formatCode>0.0000E+00</c:formatCode>
                <c:ptCount val="201"/>
                <c:pt idx="0">
                  <c:v>745129920</c:v>
                </c:pt>
                <c:pt idx="1">
                  <c:v>753947904</c:v>
                </c:pt>
                <c:pt idx="2">
                  <c:v>670031232</c:v>
                </c:pt>
                <c:pt idx="3">
                  <c:v>600289472</c:v>
                </c:pt>
                <c:pt idx="4">
                  <c:v>620004608</c:v>
                </c:pt>
                <c:pt idx="5">
                  <c:v>579567680</c:v>
                </c:pt>
                <c:pt idx="6">
                  <c:v>501992608</c:v>
                </c:pt>
                <c:pt idx="7">
                  <c:v>459442400</c:v>
                </c:pt>
                <c:pt idx="8">
                  <c:v>431642496</c:v>
                </c:pt>
                <c:pt idx="9">
                  <c:v>414600384</c:v>
                </c:pt>
                <c:pt idx="10">
                  <c:v>377936608</c:v>
                </c:pt>
                <c:pt idx="11">
                  <c:v>365396288</c:v>
                </c:pt>
                <c:pt idx="12">
                  <c:v>333878112</c:v>
                </c:pt>
                <c:pt idx="13">
                  <c:v>310595488</c:v>
                </c:pt>
                <c:pt idx="14">
                  <c:v>285512800</c:v>
                </c:pt>
                <c:pt idx="15">
                  <c:v>268685184</c:v>
                </c:pt>
                <c:pt idx="16">
                  <c:v>255801504</c:v>
                </c:pt>
                <c:pt idx="17">
                  <c:v>251134704</c:v>
                </c:pt>
                <c:pt idx="18">
                  <c:v>224288096</c:v>
                </c:pt>
                <c:pt idx="19">
                  <c:v>208500608</c:v>
                </c:pt>
                <c:pt idx="20">
                  <c:v>197414096</c:v>
                </c:pt>
                <c:pt idx="21">
                  <c:v>182113408</c:v>
                </c:pt>
                <c:pt idx="22">
                  <c:v>168583904</c:v>
                </c:pt>
                <c:pt idx="23">
                  <c:v>160524096</c:v>
                </c:pt>
                <c:pt idx="24">
                  <c:v>149214304</c:v>
                </c:pt>
                <c:pt idx="25">
                  <c:v>146160800</c:v>
                </c:pt>
                <c:pt idx="26">
                  <c:v>129396800</c:v>
                </c:pt>
                <c:pt idx="27">
                  <c:v>122154400</c:v>
                </c:pt>
                <c:pt idx="28">
                  <c:v>113618304</c:v>
                </c:pt>
                <c:pt idx="29">
                  <c:v>107557104</c:v>
                </c:pt>
                <c:pt idx="30">
                  <c:v>101017600</c:v>
                </c:pt>
                <c:pt idx="31">
                  <c:v>95054704</c:v>
                </c:pt>
                <c:pt idx="32">
                  <c:v>89208792</c:v>
                </c:pt>
                <c:pt idx="33">
                  <c:v>83579536</c:v>
                </c:pt>
                <c:pt idx="34">
                  <c:v>77709960</c:v>
                </c:pt>
                <c:pt idx="35">
                  <c:v>72932032</c:v>
                </c:pt>
                <c:pt idx="36">
                  <c:v>68106920</c:v>
                </c:pt>
                <c:pt idx="37">
                  <c:v>63909232</c:v>
                </c:pt>
                <c:pt idx="38">
                  <c:v>59847648</c:v>
                </c:pt>
                <c:pt idx="39">
                  <c:v>55598460</c:v>
                </c:pt>
                <c:pt idx="40">
                  <c:v>51783180</c:v>
                </c:pt>
                <c:pt idx="41">
                  <c:v>48963460</c:v>
                </c:pt>
                <c:pt idx="42">
                  <c:v>45477888</c:v>
                </c:pt>
                <c:pt idx="43">
                  <c:v>42608368</c:v>
                </c:pt>
                <c:pt idx="44">
                  <c:v>39923320</c:v>
                </c:pt>
                <c:pt idx="45">
                  <c:v>37256600</c:v>
                </c:pt>
                <c:pt idx="46">
                  <c:v>34989368</c:v>
                </c:pt>
                <c:pt idx="47">
                  <c:v>32761830</c:v>
                </c:pt>
                <c:pt idx="48">
                  <c:v>30688120</c:v>
                </c:pt>
                <c:pt idx="49">
                  <c:v>28640340</c:v>
                </c:pt>
                <c:pt idx="50">
                  <c:v>26884620</c:v>
                </c:pt>
                <c:pt idx="51">
                  <c:v>25131020</c:v>
                </c:pt>
                <c:pt idx="52">
                  <c:v>23488510</c:v>
                </c:pt>
                <c:pt idx="53">
                  <c:v>22012090</c:v>
                </c:pt>
                <c:pt idx="54">
                  <c:v>20640500</c:v>
                </c:pt>
                <c:pt idx="55">
                  <c:v>19270860</c:v>
                </c:pt>
                <c:pt idx="56">
                  <c:v>18007350</c:v>
                </c:pt>
                <c:pt idx="57">
                  <c:v>16859570</c:v>
                </c:pt>
                <c:pt idx="58">
                  <c:v>15770800</c:v>
                </c:pt>
                <c:pt idx="59">
                  <c:v>14769800</c:v>
                </c:pt>
                <c:pt idx="60">
                  <c:v>13822190</c:v>
                </c:pt>
                <c:pt idx="61">
                  <c:v>12946530</c:v>
                </c:pt>
                <c:pt idx="62">
                  <c:v>12098400</c:v>
                </c:pt>
                <c:pt idx="63">
                  <c:v>11328120</c:v>
                </c:pt>
                <c:pt idx="64">
                  <c:v>10587820</c:v>
                </c:pt>
                <c:pt idx="65">
                  <c:v>9916406</c:v>
                </c:pt>
                <c:pt idx="66">
                  <c:v>9270536</c:v>
                </c:pt>
                <c:pt idx="67">
                  <c:v>8681595</c:v>
                </c:pt>
                <c:pt idx="68">
                  <c:v>8121593</c:v>
                </c:pt>
                <c:pt idx="69">
                  <c:v>7601297</c:v>
                </c:pt>
                <c:pt idx="70">
                  <c:v>7118350</c:v>
                </c:pt>
                <c:pt idx="71">
                  <c:v>6659253</c:v>
                </c:pt>
                <c:pt idx="72">
                  <c:v>6229058</c:v>
                </c:pt>
                <c:pt idx="73">
                  <c:v>5830819</c:v>
                </c:pt>
                <c:pt idx="74">
                  <c:v>5455124</c:v>
                </c:pt>
                <c:pt idx="75">
                  <c:v>5105260</c:v>
                </c:pt>
                <c:pt idx="76">
                  <c:v>4775811</c:v>
                </c:pt>
                <c:pt idx="77">
                  <c:v>4468726</c:v>
                </c:pt>
                <c:pt idx="78">
                  <c:v>4183442</c:v>
                </c:pt>
                <c:pt idx="79">
                  <c:v>3913626</c:v>
                </c:pt>
                <c:pt idx="80">
                  <c:v>3663060</c:v>
                </c:pt>
                <c:pt idx="81">
                  <c:v>3427622</c:v>
                </c:pt>
                <c:pt idx="82">
                  <c:v>3207778</c:v>
                </c:pt>
                <c:pt idx="83">
                  <c:v>3001011</c:v>
                </c:pt>
                <c:pt idx="84">
                  <c:v>2808906</c:v>
                </c:pt>
                <c:pt idx="85">
                  <c:v>2629271</c:v>
                </c:pt>
                <c:pt idx="86">
                  <c:v>2459528</c:v>
                </c:pt>
                <c:pt idx="87">
                  <c:v>2301991</c:v>
                </c:pt>
                <c:pt idx="88">
                  <c:v>2153654</c:v>
                </c:pt>
                <c:pt idx="89">
                  <c:v>2015828</c:v>
                </c:pt>
                <c:pt idx="90">
                  <c:v>1886447</c:v>
                </c:pt>
                <c:pt idx="91">
                  <c:v>1765224</c:v>
                </c:pt>
                <c:pt idx="92">
                  <c:v>1651894</c:v>
                </c:pt>
                <c:pt idx="93">
                  <c:v>1545711</c:v>
                </c:pt>
                <c:pt idx="94">
                  <c:v>1446392</c:v>
                </c:pt>
                <c:pt idx="95">
                  <c:v>1353668</c:v>
                </c:pt>
                <c:pt idx="96">
                  <c:v>1266917</c:v>
                </c:pt>
                <c:pt idx="97">
                  <c:v>1185519</c:v>
                </c:pt>
                <c:pt idx="98">
                  <c:v>1109444</c:v>
                </c:pt>
                <c:pt idx="99">
                  <c:v>1038180</c:v>
                </c:pt>
                <c:pt idx="100">
                  <c:v>971652.5</c:v>
                </c:pt>
                <c:pt idx="101">
                  <c:v>909272.875</c:v>
                </c:pt>
                <c:pt idx="102">
                  <c:v>850939.5</c:v>
                </c:pt>
                <c:pt idx="103">
                  <c:v>796318.6875</c:v>
                </c:pt>
                <c:pt idx="104">
                  <c:v>745207</c:v>
                </c:pt>
                <c:pt idx="105">
                  <c:v>697372.6875</c:v>
                </c:pt>
                <c:pt idx="106">
                  <c:v>652604.6875</c:v>
                </c:pt>
                <c:pt idx="107">
                  <c:v>610789.375</c:v>
                </c:pt>
                <c:pt idx="108">
                  <c:v>571610.1875</c:v>
                </c:pt>
                <c:pt idx="109">
                  <c:v>534969.875</c:v>
                </c:pt>
                <c:pt idx="110">
                  <c:v>500625.3125</c:v>
                </c:pt>
                <c:pt idx="111">
                  <c:v>468539.59375</c:v>
                </c:pt>
                <c:pt idx="112">
                  <c:v>438494.8125</c:v>
                </c:pt>
                <c:pt idx="113">
                  <c:v>410368.8125</c:v>
                </c:pt>
                <c:pt idx="114">
                  <c:v>384069.1875</c:v>
                </c:pt>
                <c:pt idx="115">
                  <c:v>359444.1875</c:v>
                </c:pt>
                <c:pt idx="116">
                  <c:v>336384.09375</c:v>
                </c:pt>
                <c:pt idx="117">
                  <c:v>314848.5</c:v>
                </c:pt>
                <c:pt idx="118">
                  <c:v>294648.40625</c:v>
                </c:pt>
                <c:pt idx="119">
                  <c:v>275791</c:v>
                </c:pt>
                <c:pt idx="120">
                  <c:v>258081.203125</c:v>
                </c:pt>
                <c:pt idx="121">
                  <c:v>241505.5</c:v>
                </c:pt>
                <c:pt idx="122">
                  <c:v>226020.203125</c:v>
                </c:pt>
                <c:pt idx="123">
                  <c:v>211518.203125</c:v>
                </c:pt>
                <c:pt idx="124">
                  <c:v>197968.703125</c:v>
                </c:pt>
                <c:pt idx="125">
                  <c:v>185302.796875</c:v>
                </c:pt>
                <c:pt idx="126">
                  <c:v>173439.296875</c:v>
                </c:pt>
                <c:pt idx="127">
                  <c:v>162334.203125</c:v>
                </c:pt>
                <c:pt idx="128">
                  <c:v>151934</c:v>
                </c:pt>
                <c:pt idx="129">
                  <c:v>142197.703125</c:v>
                </c:pt>
                <c:pt idx="130">
                  <c:v>133092.5</c:v>
                </c:pt>
                <c:pt idx="131">
                  <c:v>124579.703125</c:v>
                </c:pt>
                <c:pt idx="132">
                  <c:v>116604.5</c:v>
                </c:pt>
                <c:pt idx="133">
                  <c:v>109134.6015625</c:v>
                </c:pt>
                <c:pt idx="134">
                  <c:v>102146.296875</c:v>
                </c:pt>
                <c:pt idx="135">
                  <c:v>95623.15625</c:v>
                </c:pt>
                <c:pt idx="136">
                  <c:v>89507.5234375</c:v>
                </c:pt>
                <c:pt idx="137">
                  <c:v>83780.9765625</c:v>
                </c:pt>
                <c:pt idx="138">
                  <c:v>78412.59375</c:v>
                </c:pt>
                <c:pt idx="139">
                  <c:v>73398.5234375</c:v>
                </c:pt>
                <c:pt idx="140">
                  <c:v>68704.8828125</c:v>
                </c:pt>
                <c:pt idx="141">
                  <c:v>64317.6484375</c:v>
                </c:pt>
                <c:pt idx="142">
                  <c:v>60205.87109375</c:v>
                </c:pt>
                <c:pt idx="143">
                  <c:v>56366.80078125</c:v>
                </c:pt>
                <c:pt idx="144">
                  <c:v>52768.2890625</c:v>
                </c:pt>
                <c:pt idx="145">
                  <c:v>49405.890625</c:v>
                </c:pt>
                <c:pt idx="146">
                  <c:v>46255.390625</c:v>
                </c:pt>
                <c:pt idx="147">
                  <c:v>43311.9296875</c:v>
                </c:pt>
                <c:pt idx="148">
                  <c:v>40555.05859375</c:v>
                </c:pt>
                <c:pt idx="149">
                  <c:v>37977.30078125</c:v>
                </c:pt>
                <c:pt idx="150">
                  <c:v>35564.12109375</c:v>
                </c:pt>
                <c:pt idx="151">
                  <c:v>33306.75</c:v>
                </c:pt>
                <c:pt idx="152">
                  <c:v>31191.970703125</c:v>
                </c:pt>
                <c:pt idx="153">
                  <c:v>29215.609375</c:v>
                </c:pt>
                <c:pt idx="154">
                  <c:v>27370.6796875</c:v>
                </c:pt>
                <c:pt idx="155">
                  <c:v>25644.720703125</c:v>
                </c:pt>
                <c:pt idx="156">
                  <c:v>24029.26953125</c:v>
                </c:pt>
                <c:pt idx="157">
                  <c:v>22522.83984375</c:v>
                </c:pt>
                <c:pt idx="158">
                  <c:v>21115.080078125</c:v>
                </c:pt>
                <c:pt idx="159">
                  <c:v>19800.859375</c:v>
                </c:pt>
                <c:pt idx="160">
                  <c:v>18570.630859375</c:v>
                </c:pt>
                <c:pt idx="161">
                  <c:v>17423.169921875</c:v>
                </c:pt>
                <c:pt idx="162">
                  <c:v>16350.150390625</c:v>
                </c:pt>
                <c:pt idx="163">
                  <c:v>15350.240234375</c:v>
                </c:pt>
                <c:pt idx="164">
                  <c:v>14417.4697265625</c:v>
                </c:pt>
                <c:pt idx="165">
                  <c:v>13548.8896484375</c:v>
                </c:pt>
                <c:pt idx="166">
                  <c:v>12739.900390625</c:v>
                </c:pt>
                <c:pt idx="167">
                  <c:v>11987.7802734375</c:v>
                </c:pt>
                <c:pt idx="168">
                  <c:v>11288.8896484375</c:v>
                </c:pt>
                <c:pt idx="169">
                  <c:v>10639.330078125</c:v>
                </c:pt>
                <c:pt idx="170">
                  <c:v>10038.759765625</c:v>
                </c:pt>
                <c:pt idx="171">
                  <c:v>9484.013671875</c:v>
                </c:pt>
                <c:pt idx="172">
                  <c:v>8972.4033203125</c:v>
                </c:pt>
                <c:pt idx="173">
                  <c:v>8503.904296875</c:v>
                </c:pt>
                <c:pt idx="174">
                  <c:v>8075.02099609375</c:v>
                </c:pt>
                <c:pt idx="175">
                  <c:v>7683.4580078125</c:v>
                </c:pt>
                <c:pt idx="176">
                  <c:v>7330.81103515625</c:v>
                </c:pt>
                <c:pt idx="177">
                  <c:v>7018.68212890625</c:v>
                </c:pt>
                <c:pt idx="178">
                  <c:v>6747.80615234375</c:v>
                </c:pt>
                <c:pt idx="179">
                  <c:v>6517.0341796875</c:v>
                </c:pt>
                <c:pt idx="180">
                  <c:v>6329.1220703125</c:v>
                </c:pt>
                <c:pt idx="181">
                  <c:v>6183.64013671875</c:v>
                </c:pt>
                <c:pt idx="182">
                  <c:v>6082.66015625</c:v>
                </c:pt>
                <c:pt idx="183">
                  <c:v>6026.57177734375</c:v>
                </c:pt>
                <c:pt idx="184">
                  <c:v>6016.419921875</c:v>
                </c:pt>
                <c:pt idx="185">
                  <c:v>6062.044921875</c:v>
                </c:pt>
                <c:pt idx="186">
                  <c:v>6189.7978515625</c:v>
                </c:pt>
                <c:pt idx="187">
                  <c:v>6460.44189453125</c:v>
                </c:pt>
                <c:pt idx="188">
                  <c:v>6975.2861328125</c:v>
                </c:pt>
                <c:pt idx="189">
                  <c:v>7874.40576171875</c:v>
                </c:pt>
                <c:pt idx="190">
                  <c:v>9266.5078125</c:v>
                </c:pt>
                <c:pt idx="191">
                  <c:v>10190.650390625</c:v>
                </c:pt>
                <c:pt idx="192">
                  <c:v>8195.6123046875</c:v>
                </c:pt>
                <c:pt idx="193">
                  <c:v>1236.718994140625</c:v>
                </c:pt>
                <c:pt idx="194">
                  <c:v>1101.699951171875</c:v>
                </c:pt>
                <c:pt idx="195">
                  <c:v>977.31768798828125</c:v>
                </c:pt>
                <c:pt idx="196">
                  <c:v>857.077392578125</c:v>
                </c:pt>
                <c:pt idx="197">
                  <c:v>742.31201171875</c:v>
                </c:pt>
                <c:pt idx="198">
                  <c:v>636.12359619140625</c:v>
                </c:pt>
                <c:pt idx="199">
                  <c:v>541.15802001953125</c:v>
                </c:pt>
                <c:pt idx="200">
                  <c:v>451.91119384765625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46-4088-8C57-1A735BA94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528623"/>
        <c:axId val="1"/>
      </c:scatterChart>
      <c:scatterChart>
        <c:scatterStyle val="lineMarker"/>
        <c:varyColors val="0"/>
        <c:ser>
          <c:idx val="1"/>
          <c:order val="1"/>
          <c:tx>
            <c:strRef>
              <c:f>C_1!$F$10</c:f>
              <c:strCache>
                <c:ptCount val="1"/>
                <c:pt idx="0">
                  <c:v>Data Trace B Real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chemeClr val="bg1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C_1!$N$11:$N$211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C_1!$F$11:$F$211</c:f>
              <c:numCache>
                <c:formatCode>0.0000E+00</c:formatCode>
                <c:ptCount val="201"/>
                <c:pt idx="0">
                  <c:v>-80.742210388183594</c:v>
                </c:pt>
                <c:pt idx="1">
                  <c:v>-79.202529907226563</c:v>
                </c:pt>
                <c:pt idx="2">
                  <c:v>-79.330398559570313</c:v>
                </c:pt>
                <c:pt idx="3">
                  <c:v>-83.677360534667969</c:v>
                </c:pt>
                <c:pt idx="4">
                  <c:v>-83.113761901855469</c:v>
                </c:pt>
                <c:pt idx="5">
                  <c:v>-79.9005126953125</c:v>
                </c:pt>
                <c:pt idx="6">
                  <c:v>-82.505172729492188</c:v>
                </c:pt>
                <c:pt idx="7">
                  <c:v>-84.381027221679688</c:v>
                </c:pt>
                <c:pt idx="8">
                  <c:v>-84.249122619628906</c:v>
                </c:pt>
                <c:pt idx="9">
                  <c:v>-82.214683532714844</c:v>
                </c:pt>
                <c:pt idx="10">
                  <c:v>-86.851913452148438</c:v>
                </c:pt>
                <c:pt idx="11">
                  <c:v>-85.492233276367188</c:v>
                </c:pt>
                <c:pt idx="12">
                  <c:v>-85.583763122558594</c:v>
                </c:pt>
                <c:pt idx="13">
                  <c:v>-90.294189453125</c:v>
                </c:pt>
                <c:pt idx="14">
                  <c:v>-90.454849243164063</c:v>
                </c:pt>
                <c:pt idx="15">
                  <c:v>-88.613151550292969</c:v>
                </c:pt>
                <c:pt idx="16">
                  <c:v>-87.826713562011719</c:v>
                </c:pt>
                <c:pt idx="17">
                  <c:v>-88.670326232910156</c:v>
                </c:pt>
                <c:pt idx="18">
                  <c:v>-89.996368408203125</c:v>
                </c:pt>
                <c:pt idx="19">
                  <c:v>-89.518409729003906</c:v>
                </c:pt>
                <c:pt idx="20">
                  <c:v>-87.600433349609375</c:v>
                </c:pt>
                <c:pt idx="21">
                  <c:v>-89.991188049316406</c:v>
                </c:pt>
                <c:pt idx="22">
                  <c:v>-88.109268188476563</c:v>
                </c:pt>
                <c:pt idx="23">
                  <c:v>-88.568336486816406</c:v>
                </c:pt>
                <c:pt idx="24">
                  <c:v>-87.688522338867188</c:v>
                </c:pt>
                <c:pt idx="25">
                  <c:v>-88.515907287597656</c:v>
                </c:pt>
                <c:pt idx="26">
                  <c:v>-88.680381774902344</c:v>
                </c:pt>
                <c:pt idx="27">
                  <c:v>-87.643836975097656</c:v>
                </c:pt>
                <c:pt idx="28">
                  <c:v>-87.843116760253906</c:v>
                </c:pt>
                <c:pt idx="29">
                  <c:v>-88.64923095703125</c:v>
                </c:pt>
                <c:pt idx="30">
                  <c:v>-88.545013427734375</c:v>
                </c:pt>
                <c:pt idx="31">
                  <c:v>-89.020072937011719</c:v>
                </c:pt>
                <c:pt idx="32">
                  <c:v>-88.974273681640625</c:v>
                </c:pt>
                <c:pt idx="33">
                  <c:v>-88.883506774902344</c:v>
                </c:pt>
                <c:pt idx="34">
                  <c:v>-89.260528564453125</c:v>
                </c:pt>
                <c:pt idx="35">
                  <c:v>-89.651687622070313</c:v>
                </c:pt>
                <c:pt idx="36">
                  <c:v>-89.779930114746094</c:v>
                </c:pt>
                <c:pt idx="37">
                  <c:v>-89.026527404785156</c:v>
                </c:pt>
                <c:pt idx="38">
                  <c:v>-89.029647827148438</c:v>
                </c:pt>
                <c:pt idx="39">
                  <c:v>-89.146682739257813</c:v>
                </c:pt>
                <c:pt idx="40">
                  <c:v>-89.223213195800781</c:v>
                </c:pt>
                <c:pt idx="41">
                  <c:v>-89.207511901855469</c:v>
                </c:pt>
                <c:pt idx="42">
                  <c:v>-89.363372802734375</c:v>
                </c:pt>
                <c:pt idx="43">
                  <c:v>-89.187210083007813</c:v>
                </c:pt>
                <c:pt idx="44">
                  <c:v>-89.216163635253906</c:v>
                </c:pt>
                <c:pt idx="45">
                  <c:v>-89.4576416015625</c:v>
                </c:pt>
                <c:pt idx="46">
                  <c:v>-89.27813720703125</c:v>
                </c:pt>
                <c:pt idx="47">
                  <c:v>-89.264266967773438</c:v>
                </c:pt>
                <c:pt idx="48">
                  <c:v>-89.256759643554688</c:v>
                </c:pt>
                <c:pt idx="49">
                  <c:v>-89.316726684570313</c:v>
                </c:pt>
                <c:pt idx="50">
                  <c:v>-89.156600952148438</c:v>
                </c:pt>
                <c:pt idx="51">
                  <c:v>-89.311241149902344</c:v>
                </c:pt>
                <c:pt idx="52">
                  <c:v>-89.385696411132813</c:v>
                </c:pt>
                <c:pt idx="53">
                  <c:v>-89.343193054199219</c:v>
                </c:pt>
                <c:pt idx="54">
                  <c:v>-89.409690856933594</c:v>
                </c:pt>
                <c:pt idx="55">
                  <c:v>-89.353202819824219</c:v>
                </c:pt>
                <c:pt idx="56">
                  <c:v>-89.442626953125</c:v>
                </c:pt>
                <c:pt idx="57">
                  <c:v>-89.378662109375</c:v>
                </c:pt>
                <c:pt idx="58">
                  <c:v>-89.395980834960938</c:v>
                </c:pt>
                <c:pt idx="59">
                  <c:v>-89.428962707519531</c:v>
                </c:pt>
                <c:pt idx="60">
                  <c:v>-89.470947265625</c:v>
                </c:pt>
                <c:pt idx="61">
                  <c:v>-89.395370483398438</c:v>
                </c:pt>
                <c:pt idx="62">
                  <c:v>-89.448188781738281</c:v>
                </c:pt>
                <c:pt idx="63">
                  <c:v>-89.403762817382813</c:v>
                </c:pt>
                <c:pt idx="64">
                  <c:v>-89.468818664550781</c:v>
                </c:pt>
                <c:pt idx="65">
                  <c:v>-89.462882995605469</c:v>
                </c:pt>
                <c:pt idx="66">
                  <c:v>-89.43438720703125</c:v>
                </c:pt>
                <c:pt idx="67">
                  <c:v>-89.49652099609375</c:v>
                </c:pt>
                <c:pt idx="68">
                  <c:v>-89.452980041503906</c:v>
                </c:pt>
                <c:pt idx="69">
                  <c:v>-89.457107543945313</c:v>
                </c:pt>
                <c:pt idx="70">
                  <c:v>-89.459136962890625</c:v>
                </c:pt>
                <c:pt idx="71">
                  <c:v>-89.457237243652344</c:v>
                </c:pt>
                <c:pt idx="72">
                  <c:v>-89.489326477050781</c:v>
                </c:pt>
                <c:pt idx="73">
                  <c:v>-89.497886657714844</c:v>
                </c:pt>
                <c:pt idx="74">
                  <c:v>-89.482353210449219</c:v>
                </c:pt>
                <c:pt idx="75">
                  <c:v>-89.461883544921875</c:v>
                </c:pt>
                <c:pt idx="76">
                  <c:v>-89.448478698730469</c:v>
                </c:pt>
                <c:pt idx="77">
                  <c:v>-89.474563598632813</c:v>
                </c:pt>
                <c:pt idx="78">
                  <c:v>-89.460777282714844</c:v>
                </c:pt>
                <c:pt idx="79">
                  <c:v>-89.465278625488281</c:v>
                </c:pt>
                <c:pt idx="80">
                  <c:v>-89.467811584472656</c:v>
                </c:pt>
                <c:pt idx="81">
                  <c:v>-89.485618591308594</c:v>
                </c:pt>
                <c:pt idx="82">
                  <c:v>-89.498977661132813</c:v>
                </c:pt>
                <c:pt idx="83">
                  <c:v>-89.478019714355469</c:v>
                </c:pt>
                <c:pt idx="84">
                  <c:v>-89.476158142089844</c:v>
                </c:pt>
                <c:pt idx="85">
                  <c:v>-89.480552673339844</c:v>
                </c:pt>
                <c:pt idx="86">
                  <c:v>-89.480758666992188</c:v>
                </c:pt>
                <c:pt idx="87">
                  <c:v>-89.488723754882813</c:v>
                </c:pt>
                <c:pt idx="88">
                  <c:v>-89.475433349609375</c:v>
                </c:pt>
                <c:pt idx="89">
                  <c:v>-89.484748840332031</c:v>
                </c:pt>
                <c:pt idx="90">
                  <c:v>-89.472457885742188</c:v>
                </c:pt>
                <c:pt idx="91">
                  <c:v>-89.464912414550781</c:v>
                </c:pt>
                <c:pt idx="92">
                  <c:v>-89.4700927734375</c:v>
                </c:pt>
                <c:pt idx="93">
                  <c:v>-89.46539306640625</c:v>
                </c:pt>
                <c:pt idx="94">
                  <c:v>-89.463249206542969</c:v>
                </c:pt>
                <c:pt idx="95">
                  <c:v>-89.467597961425781</c:v>
                </c:pt>
                <c:pt idx="96">
                  <c:v>-89.456008911132813</c:v>
                </c:pt>
                <c:pt idx="97">
                  <c:v>-89.455451965332031</c:v>
                </c:pt>
                <c:pt idx="98">
                  <c:v>-89.452926635742188</c:v>
                </c:pt>
                <c:pt idx="99">
                  <c:v>-89.448432922363281</c:v>
                </c:pt>
                <c:pt idx="100">
                  <c:v>-89.455596923828125</c:v>
                </c:pt>
                <c:pt idx="101">
                  <c:v>-89.446426391601563</c:v>
                </c:pt>
                <c:pt idx="102">
                  <c:v>-89.446296691894531</c:v>
                </c:pt>
                <c:pt idx="103">
                  <c:v>-89.439582824707031</c:v>
                </c:pt>
                <c:pt idx="104">
                  <c:v>-89.440582275390625</c:v>
                </c:pt>
                <c:pt idx="105">
                  <c:v>-89.434188842773438</c:v>
                </c:pt>
                <c:pt idx="106">
                  <c:v>-89.428916931152344</c:v>
                </c:pt>
                <c:pt idx="107">
                  <c:v>-89.422286987304688</c:v>
                </c:pt>
                <c:pt idx="108">
                  <c:v>-89.419479370117188</c:v>
                </c:pt>
                <c:pt idx="109">
                  <c:v>-89.41339111328125</c:v>
                </c:pt>
                <c:pt idx="110">
                  <c:v>-89.412429809570313</c:v>
                </c:pt>
                <c:pt idx="111">
                  <c:v>-89.409042358398438</c:v>
                </c:pt>
                <c:pt idx="112">
                  <c:v>-89.401313781738281</c:v>
                </c:pt>
                <c:pt idx="113">
                  <c:v>-89.406936645507813</c:v>
                </c:pt>
                <c:pt idx="114">
                  <c:v>-89.40557861328125</c:v>
                </c:pt>
                <c:pt idx="115">
                  <c:v>-89.399986267089844</c:v>
                </c:pt>
                <c:pt idx="116">
                  <c:v>-89.390098571777344</c:v>
                </c:pt>
                <c:pt idx="117">
                  <c:v>-89.384872436523438</c:v>
                </c:pt>
                <c:pt idx="118">
                  <c:v>-89.379951477050781</c:v>
                </c:pt>
                <c:pt idx="119">
                  <c:v>-89.37420654296875</c:v>
                </c:pt>
                <c:pt idx="120">
                  <c:v>-89.38372802734375</c:v>
                </c:pt>
                <c:pt idx="121">
                  <c:v>-89.359733581542969</c:v>
                </c:pt>
                <c:pt idx="122">
                  <c:v>-89.350753784179688</c:v>
                </c:pt>
                <c:pt idx="123">
                  <c:v>-89.351142883300781</c:v>
                </c:pt>
                <c:pt idx="124">
                  <c:v>-89.344451904296875</c:v>
                </c:pt>
                <c:pt idx="125">
                  <c:v>-89.344017028808594</c:v>
                </c:pt>
                <c:pt idx="126">
                  <c:v>-89.350852966308594</c:v>
                </c:pt>
                <c:pt idx="127">
                  <c:v>-89.351509094238281</c:v>
                </c:pt>
                <c:pt idx="128">
                  <c:v>-89.346488952636719</c:v>
                </c:pt>
                <c:pt idx="129">
                  <c:v>-89.342681884765625</c:v>
                </c:pt>
                <c:pt idx="130">
                  <c:v>-89.339202880859375</c:v>
                </c:pt>
                <c:pt idx="131">
                  <c:v>-89.337272644042969</c:v>
                </c:pt>
                <c:pt idx="132">
                  <c:v>-89.33544921875</c:v>
                </c:pt>
                <c:pt idx="133">
                  <c:v>-89.32611083984375</c:v>
                </c:pt>
                <c:pt idx="134">
                  <c:v>-89.32916259765625</c:v>
                </c:pt>
                <c:pt idx="135">
                  <c:v>-89.322952270507813</c:v>
                </c:pt>
                <c:pt idx="136">
                  <c:v>-89.323226928710938</c:v>
                </c:pt>
                <c:pt idx="137">
                  <c:v>-89.323173522949219</c:v>
                </c:pt>
                <c:pt idx="138">
                  <c:v>-89.320411682128906</c:v>
                </c:pt>
                <c:pt idx="139">
                  <c:v>-89.317436218261719</c:v>
                </c:pt>
                <c:pt idx="140">
                  <c:v>-89.316253662109375</c:v>
                </c:pt>
                <c:pt idx="141">
                  <c:v>-89.315460205078125</c:v>
                </c:pt>
                <c:pt idx="142">
                  <c:v>-89.314811706542969</c:v>
                </c:pt>
                <c:pt idx="143">
                  <c:v>-89.313316345214844</c:v>
                </c:pt>
                <c:pt idx="144">
                  <c:v>-89.315292358398438</c:v>
                </c:pt>
                <c:pt idx="145">
                  <c:v>-89.319038391113281</c:v>
                </c:pt>
                <c:pt idx="146">
                  <c:v>-89.316879272460938</c:v>
                </c:pt>
                <c:pt idx="147">
                  <c:v>-89.31915283203125</c:v>
                </c:pt>
                <c:pt idx="148">
                  <c:v>-89.321632385253906</c:v>
                </c:pt>
                <c:pt idx="149">
                  <c:v>-89.326263427734375</c:v>
                </c:pt>
                <c:pt idx="150">
                  <c:v>-89.328582763671875</c:v>
                </c:pt>
                <c:pt idx="151">
                  <c:v>-89.338798522949219</c:v>
                </c:pt>
                <c:pt idx="152">
                  <c:v>-89.328857421875</c:v>
                </c:pt>
                <c:pt idx="153">
                  <c:v>-89.338577270507813</c:v>
                </c:pt>
                <c:pt idx="154">
                  <c:v>-89.334388732910156</c:v>
                </c:pt>
                <c:pt idx="155">
                  <c:v>-89.343856811523438</c:v>
                </c:pt>
                <c:pt idx="156">
                  <c:v>-89.3494873046875</c:v>
                </c:pt>
                <c:pt idx="157">
                  <c:v>-89.358833312988281</c:v>
                </c:pt>
                <c:pt idx="158">
                  <c:v>-89.368637084960938</c:v>
                </c:pt>
                <c:pt idx="159">
                  <c:v>-89.391067504882813</c:v>
                </c:pt>
                <c:pt idx="160">
                  <c:v>-89.405357360839844</c:v>
                </c:pt>
                <c:pt idx="161">
                  <c:v>-89.416961669921875</c:v>
                </c:pt>
                <c:pt idx="162">
                  <c:v>-89.444358825683594</c:v>
                </c:pt>
                <c:pt idx="163">
                  <c:v>-89.463623046875</c:v>
                </c:pt>
                <c:pt idx="164">
                  <c:v>-89.493843078613281</c:v>
                </c:pt>
                <c:pt idx="165">
                  <c:v>-89.523162841796875</c:v>
                </c:pt>
                <c:pt idx="166">
                  <c:v>-89.558921813964844</c:v>
                </c:pt>
                <c:pt idx="167">
                  <c:v>-89.597503662109375</c:v>
                </c:pt>
                <c:pt idx="168">
                  <c:v>-89.643402099609375</c:v>
                </c:pt>
                <c:pt idx="169">
                  <c:v>-89.70220947265625</c:v>
                </c:pt>
                <c:pt idx="170">
                  <c:v>-89.772071838378906</c:v>
                </c:pt>
                <c:pt idx="171">
                  <c:v>-89.85321044921875</c:v>
                </c:pt>
                <c:pt idx="172">
                  <c:v>-89.952583312988281</c:v>
                </c:pt>
                <c:pt idx="173">
                  <c:v>-90.069847106933594</c:v>
                </c:pt>
                <c:pt idx="174">
                  <c:v>-90.22772216796875</c:v>
                </c:pt>
                <c:pt idx="175">
                  <c:v>-90.416351318359375</c:v>
                </c:pt>
                <c:pt idx="176">
                  <c:v>-90.639068603515625</c:v>
                </c:pt>
                <c:pt idx="177">
                  <c:v>-90.914482116699219</c:v>
                </c:pt>
                <c:pt idx="178">
                  <c:v>-91.268722534179688</c:v>
                </c:pt>
                <c:pt idx="179">
                  <c:v>-91.744438171386719</c:v>
                </c:pt>
                <c:pt idx="180">
                  <c:v>-92.387863159179688</c:v>
                </c:pt>
                <c:pt idx="181">
                  <c:v>-93.262176513671875</c:v>
                </c:pt>
                <c:pt idx="182">
                  <c:v>-94.452392578125</c:v>
                </c:pt>
                <c:pt idx="183">
                  <c:v>-96.025962829589844</c:v>
                </c:pt>
                <c:pt idx="184">
                  <c:v>-98.05133056640625</c:v>
                </c:pt>
                <c:pt idx="185">
                  <c:v>-100.54440307617188</c:v>
                </c:pt>
                <c:pt idx="186">
                  <c:v>-103.56420135498047</c:v>
                </c:pt>
                <c:pt idx="187">
                  <c:v>-107.34159851074219</c:v>
                </c:pt>
                <c:pt idx="188">
                  <c:v>-112.70120239257813</c:v>
                </c:pt>
                <c:pt idx="189">
                  <c:v>-121.29840087890625</c:v>
                </c:pt>
                <c:pt idx="190">
                  <c:v>-136.90159606933594</c:v>
                </c:pt>
                <c:pt idx="191">
                  <c:v>-165.23379516601563</c:v>
                </c:pt>
                <c:pt idx="192">
                  <c:v>158.985107421875</c:v>
                </c:pt>
                <c:pt idx="193">
                  <c:v>-150.12510681152344</c:v>
                </c:pt>
                <c:pt idx="194">
                  <c:v>-153.46009826660156</c:v>
                </c:pt>
                <c:pt idx="195">
                  <c:v>-157.28860473632813</c:v>
                </c:pt>
                <c:pt idx="196">
                  <c:v>-161.32200622558594</c:v>
                </c:pt>
                <c:pt idx="197">
                  <c:v>-165.5238037109375</c:v>
                </c:pt>
                <c:pt idx="198">
                  <c:v>-169.50450134277344</c:v>
                </c:pt>
                <c:pt idx="199">
                  <c:v>-173.92289733886719</c:v>
                </c:pt>
                <c:pt idx="200">
                  <c:v>-178.41229248046875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46-4088-8C57-1A735BA94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859528623"/>
        <c:scaling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-1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59528623"/>
        <c:crosses val="autoZero"/>
        <c:crossBetween val="midCat"/>
      </c:valAx>
      <c:valAx>
        <c:axId val="3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"/>
        <c:crosses val="max"/>
        <c:crossBetween val="midCat"/>
      </c:valAx>
      <c:valAx>
        <c:axId val="4"/>
        <c:scaling>
          <c:orientation val="minMax"/>
        </c:scaling>
        <c:delete val="0"/>
        <c:axPos val="r"/>
        <c:numFmt formatCode="0.0000E+00" sourceLinked="1"/>
        <c:majorTickMark val="none"/>
        <c:minorTickMark val="none"/>
        <c:tickLblPos val="nextTo"/>
        <c:crossAx val="3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6733238231098431"/>
          <c:y val="0.25683114990235761"/>
          <c:w val="0.108416547788873"/>
          <c:h val="0.4754110942205976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|Z| - theta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203791561636277E-2"/>
          <c:y val="0.15027362500433583"/>
          <c:w val="0.64047977727598704"/>
          <c:h val="0.65027495910967148"/>
        </c:manualLayout>
      </c:layout>
      <c:scatterChart>
        <c:scatterStyle val="lineMarker"/>
        <c:varyColors val="0"/>
        <c:ser>
          <c:idx val="0"/>
          <c:order val="0"/>
          <c:tx>
            <c:strRef>
              <c:f>C_2!$D$10</c:f>
              <c:strCache>
                <c:ptCount val="1"/>
                <c:pt idx="0">
                  <c:v>Data Trace A Real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C_2!$N$11:$N$211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C_2!$D$11:$D$211</c:f>
              <c:numCache>
                <c:formatCode>0.0000E+00</c:formatCode>
                <c:ptCount val="201"/>
                <c:pt idx="0">
                  <c:v>970891776</c:v>
                </c:pt>
                <c:pt idx="1">
                  <c:v>1086881024</c:v>
                </c:pt>
                <c:pt idx="2">
                  <c:v>937894080</c:v>
                </c:pt>
                <c:pt idx="3">
                  <c:v>1005817984</c:v>
                </c:pt>
                <c:pt idx="4">
                  <c:v>765917888</c:v>
                </c:pt>
                <c:pt idx="5">
                  <c:v>720180608</c:v>
                </c:pt>
                <c:pt idx="6">
                  <c:v>645919680</c:v>
                </c:pt>
                <c:pt idx="7">
                  <c:v>623789824</c:v>
                </c:pt>
                <c:pt idx="8">
                  <c:v>559350400</c:v>
                </c:pt>
                <c:pt idx="9">
                  <c:v>552649920</c:v>
                </c:pt>
                <c:pt idx="10">
                  <c:v>553675072</c:v>
                </c:pt>
                <c:pt idx="11">
                  <c:v>476815616</c:v>
                </c:pt>
                <c:pt idx="12">
                  <c:v>449935200</c:v>
                </c:pt>
                <c:pt idx="13">
                  <c:v>422187392</c:v>
                </c:pt>
                <c:pt idx="14">
                  <c:v>396908288</c:v>
                </c:pt>
                <c:pt idx="15">
                  <c:v>406646688</c:v>
                </c:pt>
                <c:pt idx="16">
                  <c:v>351531808</c:v>
                </c:pt>
                <c:pt idx="17">
                  <c:v>347584992</c:v>
                </c:pt>
                <c:pt idx="18">
                  <c:v>315955904</c:v>
                </c:pt>
                <c:pt idx="19">
                  <c:v>293805696</c:v>
                </c:pt>
                <c:pt idx="20">
                  <c:v>272630784</c:v>
                </c:pt>
                <c:pt idx="21">
                  <c:v>243663296</c:v>
                </c:pt>
                <c:pt idx="22">
                  <c:v>240619008</c:v>
                </c:pt>
                <c:pt idx="23">
                  <c:v>216173696</c:v>
                </c:pt>
                <c:pt idx="24">
                  <c:v>217937904</c:v>
                </c:pt>
                <c:pt idx="25">
                  <c:v>202915504</c:v>
                </c:pt>
                <c:pt idx="26">
                  <c:v>183952304</c:v>
                </c:pt>
                <c:pt idx="27">
                  <c:v>169435808</c:v>
                </c:pt>
                <c:pt idx="28">
                  <c:v>159534304</c:v>
                </c:pt>
                <c:pt idx="29">
                  <c:v>149744704</c:v>
                </c:pt>
                <c:pt idx="30">
                  <c:v>138582592</c:v>
                </c:pt>
                <c:pt idx="31">
                  <c:v>132090304</c:v>
                </c:pt>
                <c:pt idx="32">
                  <c:v>122909504</c:v>
                </c:pt>
                <c:pt idx="33">
                  <c:v>114463104</c:v>
                </c:pt>
                <c:pt idx="34">
                  <c:v>107938800</c:v>
                </c:pt>
                <c:pt idx="35">
                  <c:v>100757000</c:v>
                </c:pt>
                <c:pt idx="36">
                  <c:v>94134928</c:v>
                </c:pt>
                <c:pt idx="37">
                  <c:v>87658464</c:v>
                </c:pt>
                <c:pt idx="38">
                  <c:v>82602928</c:v>
                </c:pt>
                <c:pt idx="39">
                  <c:v>76532832</c:v>
                </c:pt>
                <c:pt idx="40">
                  <c:v>72158464</c:v>
                </c:pt>
                <c:pt idx="41">
                  <c:v>66966440</c:v>
                </c:pt>
                <c:pt idx="42">
                  <c:v>62901280</c:v>
                </c:pt>
                <c:pt idx="43">
                  <c:v>58672500</c:v>
                </c:pt>
                <c:pt idx="44">
                  <c:v>55196460</c:v>
                </c:pt>
                <c:pt idx="45">
                  <c:v>51616048</c:v>
                </c:pt>
                <c:pt idx="46">
                  <c:v>48276712</c:v>
                </c:pt>
                <c:pt idx="47">
                  <c:v>45389352</c:v>
                </c:pt>
                <c:pt idx="48">
                  <c:v>42366060</c:v>
                </c:pt>
                <c:pt idx="49">
                  <c:v>39716740</c:v>
                </c:pt>
                <c:pt idx="50">
                  <c:v>37159128</c:v>
                </c:pt>
                <c:pt idx="51">
                  <c:v>34706240</c:v>
                </c:pt>
                <c:pt idx="52">
                  <c:v>32585840</c:v>
                </c:pt>
                <c:pt idx="53">
                  <c:v>30378260</c:v>
                </c:pt>
                <c:pt idx="54">
                  <c:v>28404040</c:v>
                </c:pt>
                <c:pt idx="55">
                  <c:v>26556490</c:v>
                </c:pt>
                <c:pt idx="56">
                  <c:v>24917630</c:v>
                </c:pt>
                <c:pt idx="57">
                  <c:v>23286640</c:v>
                </c:pt>
                <c:pt idx="58">
                  <c:v>21787240</c:v>
                </c:pt>
                <c:pt idx="59">
                  <c:v>20349830</c:v>
                </c:pt>
                <c:pt idx="60">
                  <c:v>19068650</c:v>
                </c:pt>
                <c:pt idx="61">
                  <c:v>17837250</c:v>
                </c:pt>
                <c:pt idx="62">
                  <c:v>16681970</c:v>
                </c:pt>
                <c:pt idx="63">
                  <c:v>15591760</c:v>
                </c:pt>
                <c:pt idx="64">
                  <c:v>14634050</c:v>
                </c:pt>
                <c:pt idx="65">
                  <c:v>13672630</c:v>
                </c:pt>
                <c:pt idx="66">
                  <c:v>12793790</c:v>
                </c:pt>
                <c:pt idx="67">
                  <c:v>11969210</c:v>
                </c:pt>
                <c:pt idx="68">
                  <c:v>11195070</c:v>
                </c:pt>
                <c:pt idx="69">
                  <c:v>10484550</c:v>
                </c:pt>
                <c:pt idx="70">
                  <c:v>9804845</c:v>
                </c:pt>
                <c:pt idx="71">
                  <c:v>9168988</c:v>
                </c:pt>
                <c:pt idx="72">
                  <c:v>8575844</c:v>
                </c:pt>
                <c:pt idx="73">
                  <c:v>8028832</c:v>
                </c:pt>
                <c:pt idx="74">
                  <c:v>7512571</c:v>
                </c:pt>
                <c:pt idx="75">
                  <c:v>7026853</c:v>
                </c:pt>
                <c:pt idx="76">
                  <c:v>6573215</c:v>
                </c:pt>
                <c:pt idx="77">
                  <c:v>6148217</c:v>
                </c:pt>
                <c:pt idx="78">
                  <c:v>5750358</c:v>
                </c:pt>
                <c:pt idx="79">
                  <c:v>5378761</c:v>
                </c:pt>
                <c:pt idx="80">
                  <c:v>5034592</c:v>
                </c:pt>
                <c:pt idx="81">
                  <c:v>4710149</c:v>
                </c:pt>
                <c:pt idx="82">
                  <c:v>4408019</c:v>
                </c:pt>
                <c:pt idx="83">
                  <c:v>4123758</c:v>
                </c:pt>
                <c:pt idx="84">
                  <c:v>3858115</c:v>
                </c:pt>
                <c:pt idx="85">
                  <c:v>3609161</c:v>
                </c:pt>
                <c:pt idx="86">
                  <c:v>3377715</c:v>
                </c:pt>
                <c:pt idx="87">
                  <c:v>3159608</c:v>
                </c:pt>
                <c:pt idx="88">
                  <c:v>2956402</c:v>
                </c:pt>
                <c:pt idx="89">
                  <c:v>2765745</c:v>
                </c:pt>
                <c:pt idx="90">
                  <c:v>2587522</c:v>
                </c:pt>
                <c:pt idx="91">
                  <c:v>2421763</c:v>
                </c:pt>
                <c:pt idx="92">
                  <c:v>2265562</c:v>
                </c:pt>
                <c:pt idx="93">
                  <c:v>2119563</c:v>
                </c:pt>
                <c:pt idx="94">
                  <c:v>1983005</c:v>
                </c:pt>
                <c:pt idx="95">
                  <c:v>1855477</c:v>
                </c:pt>
                <c:pt idx="96">
                  <c:v>1735853</c:v>
                </c:pt>
                <c:pt idx="97">
                  <c:v>1624295</c:v>
                </c:pt>
                <c:pt idx="98">
                  <c:v>1519756</c:v>
                </c:pt>
                <c:pt idx="99">
                  <c:v>1421846</c:v>
                </c:pt>
                <c:pt idx="100">
                  <c:v>1330324</c:v>
                </c:pt>
                <c:pt idx="101">
                  <c:v>1244929</c:v>
                </c:pt>
                <c:pt idx="102">
                  <c:v>1164569</c:v>
                </c:pt>
                <c:pt idx="103">
                  <c:v>1089526</c:v>
                </c:pt>
                <c:pt idx="104">
                  <c:v>1019504</c:v>
                </c:pt>
                <c:pt idx="105">
                  <c:v>953788</c:v>
                </c:pt>
                <c:pt idx="106">
                  <c:v>892416.375</c:v>
                </c:pt>
                <c:pt idx="107">
                  <c:v>835067.125</c:v>
                </c:pt>
                <c:pt idx="108">
                  <c:v>781290.125</c:v>
                </c:pt>
                <c:pt idx="109">
                  <c:v>731091.8125</c:v>
                </c:pt>
                <c:pt idx="110">
                  <c:v>684031.625</c:v>
                </c:pt>
                <c:pt idx="111">
                  <c:v>640037.375</c:v>
                </c:pt>
                <c:pt idx="112">
                  <c:v>598856.875</c:v>
                </c:pt>
                <c:pt idx="113">
                  <c:v>560340.8125</c:v>
                </c:pt>
                <c:pt idx="114">
                  <c:v>524330.375</c:v>
                </c:pt>
                <c:pt idx="115">
                  <c:v>490592.3125</c:v>
                </c:pt>
                <c:pt idx="116">
                  <c:v>459043.5</c:v>
                </c:pt>
                <c:pt idx="117">
                  <c:v>429548.59375</c:v>
                </c:pt>
                <c:pt idx="118">
                  <c:v>401933</c:v>
                </c:pt>
                <c:pt idx="119">
                  <c:v>376069.8125</c:v>
                </c:pt>
                <c:pt idx="120">
                  <c:v>351889.8125</c:v>
                </c:pt>
                <c:pt idx="121">
                  <c:v>329246</c:v>
                </c:pt>
                <c:pt idx="122">
                  <c:v>308068.6875</c:v>
                </c:pt>
                <c:pt idx="123">
                  <c:v>288252.8125</c:v>
                </c:pt>
                <c:pt idx="124">
                  <c:v>269709</c:v>
                </c:pt>
                <c:pt idx="125">
                  <c:v>252316.703125</c:v>
                </c:pt>
                <c:pt idx="126">
                  <c:v>236096.703125</c:v>
                </c:pt>
                <c:pt idx="127">
                  <c:v>220919.296875</c:v>
                </c:pt>
                <c:pt idx="128">
                  <c:v>206731.40625</c:v>
                </c:pt>
                <c:pt idx="129">
                  <c:v>193411.296875</c:v>
                </c:pt>
                <c:pt idx="130">
                  <c:v>180983</c:v>
                </c:pt>
                <c:pt idx="131">
                  <c:v>169370.59375</c:v>
                </c:pt>
                <c:pt idx="132">
                  <c:v>158504.09375</c:v>
                </c:pt>
                <c:pt idx="133">
                  <c:v>148309.796875</c:v>
                </c:pt>
                <c:pt idx="134">
                  <c:v>138799.59375</c:v>
                </c:pt>
                <c:pt idx="135">
                  <c:v>129878.703125</c:v>
                </c:pt>
                <c:pt idx="136">
                  <c:v>121543.6015625</c:v>
                </c:pt>
                <c:pt idx="137">
                  <c:v>113733.203125</c:v>
                </c:pt>
                <c:pt idx="138">
                  <c:v>106429.296875</c:v>
                </c:pt>
                <c:pt idx="139">
                  <c:v>99597.3828125</c:v>
                </c:pt>
                <c:pt idx="140">
                  <c:v>93212.78125</c:v>
                </c:pt>
                <c:pt idx="141">
                  <c:v>87238.359375</c:v>
                </c:pt>
                <c:pt idx="142">
                  <c:v>81642.9609375</c:v>
                </c:pt>
                <c:pt idx="143">
                  <c:v>76413.4765625</c:v>
                </c:pt>
                <c:pt idx="144">
                  <c:v>71523.546875</c:v>
                </c:pt>
                <c:pt idx="145">
                  <c:v>66944.390625</c:v>
                </c:pt>
                <c:pt idx="146">
                  <c:v>62662.48828125</c:v>
                </c:pt>
                <c:pt idx="147">
                  <c:v>58660.55859375</c:v>
                </c:pt>
                <c:pt idx="148">
                  <c:v>54912.828125</c:v>
                </c:pt>
                <c:pt idx="149">
                  <c:v>51404.9609375</c:v>
                </c:pt>
                <c:pt idx="150">
                  <c:v>48134.30859375</c:v>
                </c:pt>
                <c:pt idx="151">
                  <c:v>45077.44921875</c:v>
                </c:pt>
                <c:pt idx="152">
                  <c:v>42206.58984375</c:v>
                </c:pt>
                <c:pt idx="153">
                  <c:v>39534.421875</c:v>
                </c:pt>
                <c:pt idx="154">
                  <c:v>37046.3203125</c:v>
                </c:pt>
                <c:pt idx="155">
                  <c:v>34696.671875</c:v>
                </c:pt>
                <c:pt idx="156">
                  <c:v>32503.75</c:v>
                </c:pt>
                <c:pt idx="157">
                  <c:v>30457.9609375</c:v>
                </c:pt>
                <c:pt idx="158">
                  <c:v>28556.75</c:v>
                </c:pt>
                <c:pt idx="159">
                  <c:v>26774.08984375</c:v>
                </c:pt>
                <c:pt idx="160">
                  <c:v>25105.880859375</c:v>
                </c:pt>
                <c:pt idx="161">
                  <c:v>23546.44921875</c:v>
                </c:pt>
                <c:pt idx="162">
                  <c:v>22094.859375</c:v>
                </c:pt>
                <c:pt idx="163">
                  <c:v>20741.1796875</c:v>
                </c:pt>
                <c:pt idx="164">
                  <c:v>19482.810546875</c:v>
                </c:pt>
                <c:pt idx="165">
                  <c:v>18308.80078125</c:v>
                </c:pt>
                <c:pt idx="166">
                  <c:v>17216.75</c:v>
                </c:pt>
                <c:pt idx="167">
                  <c:v>16200.2900390625</c:v>
                </c:pt>
                <c:pt idx="168">
                  <c:v>15275.5302734375</c:v>
                </c:pt>
                <c:pt idx="169">
                  <c:v>14369.900390625</c:v>
                </c:pt>
                <c:pt idx="170">
                  <c:v>13561.5595703125</c:v>
                </c:pt>
                <c:pt idx="171">
                  <c:v>12815.2900390625</c:v>
                </c:pt>
                <c:pt idx="172">
                  <c:v>12129.2099609375</c:v>
                </c:pt>
                <c:pt idx="173">
                  <c:v>11501.8603515625</c:v>
                </c:pt>
                <c:pt idx="174">
                  <c:v>10928.0498046875</c:v>
                </c:pt>
                <c:pt idx="175">
                  <c:v>10403.6396484375</c:v>
                </c:pt>
                <c:pt idx="176">
                  <c:v>9934.2626953125</c:v>
                </c:pt>
                <c:pt idx="177">
                  <c:v>9520.818359375</c:v>
                </c:pt>
                <c:pt idx="178">
                  <c:v>9164.8076171875</c:v>
                </c:pt>
                <c:pt idx="179">
                  <c:v>8866.357421875</c:v>
                </c:pt>
                <c:pt idx="180">
                  <c:v>8628.1748046875</c:v>
                </c:pt>
                <c:pt idx="181">
                  <c:v>8453.912109375</c:v>
                </c:pt>
                <c:pt idx="182">
                  <c:v>8341.9599609375</c:v>
                </c:pt>
                <c:pt idx="183">
                  <c:v>8294.7080078125</c:v>
                </c:pt>
                <c:pt idx="184">
                  <c:v>8312.0830078125</c:v>
                </c:pt>
                <c:pt idx="185">
                  <c:v>8407.7861328125</c:v>
                </c:pt>
                <c:pt idx="186">
                  <c:v>8616.966796875</c:v>
                </c:pt>
                <c:pt idx="187">
                  <c:v>9026.6181640625</c:v>
                </c:pt>
                <c:pt idx="188">
                  <c:v>9776.255859375</c:v>
                </c:pt>
                <c:pt idx="189">
                  <c:v>11024.830078125</c:v>
                </c:pt>
                <c:pt idx="190">
                  <c:v>12628.2001953125</c:v>
                </c:pt>
                <c:pt idx="191">
                  <c:v>12629.0302734375</c:v>
                </c:pt>
                <c:pt idx="192">
                  <c:v>9672.8583984375</c:v>
                </c:pt>
                <c:pt idx="193">
                  <c:v>1625.8759765625</c:v>
                </c:pt>
                <c:pt idx="194">
                  <c:v>1448.240966796875</c:v>
                </c:pt>
                <c:pt idx="195">
                  <c:v>1288.1920166015625</c:v>
                </c:pt>
                <c:pt idx="196">
                  <c:v>1130.3380126953125</c:v>
                </c:pt>
                <c:pt idx="197">
                  <c:v>978.0283203125</c:v>
                </c:pt>
                <c:pt idx="198">
                  <c:v>838.9385986328125</c:v>
                </c:pt>
                <c:pt idx="199">
                  <c:v>717.5963134765625</c:v>
                </c:pt>
                <c:pt idx="200">
                  <c:v>601.97601318359375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A-4E98-8098-0687E3F30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528623"/>
        <c:axId val="1"/>
      </c:scatterChart>
      <c:scatterChart>
        <c:scatterStyle val="lineMarker"/>
        <c:varyColors val="0"/>
        <c:ser>
          <c:idx val="1"/>
          <c:order val="1"/>
          <c:tx>
            <c:strRef>
              <c:f>C_2!$F$10</c:f>
              <c:strCache>
                <c:ptCount val="1"/>
                <c:pt idx="0">
                  <c:v>Data Trace B Real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chemeClr val="bg1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C_2!$N$11:$N$211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C_2!$F$11:$F$211</c:f>
              <c:numCache>
                <c:formatCode>0.0000E+00</c:formatCode>
                <c:ptCount val="201"/>
                <c:pt idx="0">
                  <c:v>-75.890953063964844</c:v>
                </c:pt>
                <c:pt idx="1">
                  <c:v>-71.854408264160156</c:v>
                </c:pt>
                <c:pt idx="2">
                  <c:v>-81.160293579101563</c:v>
                </c:pt>
                <c:pt idx="3">
                  <c:v>-80.045326232910156</c:v>
                </c:pt>
                <c:pt idx="4">
                  <c:v>-85.977203369140625</c:v>
                </c:pt>
                <c:pt idx="5">
                  <c:v>-81.033828735351563</c:v>
                </c:pt>
                <c:pt idx="6">
                  <c:v>-78.637077331542969</c:v>
                </c:pt>
                <c:pt idx="7">
                  <c:v>-83.449661254882813</c:v>
                </c:pt>
                <c:pt idx="8">
                  <c:v>-82.752601623535156</c:v>
                </c:pt>
                <c:pt idx="9">
                  <c:v>-84.470550537109375</c:v>
                </c:pt>
                <c:pt idx="10">
                  <c:v>-85.054336547851563</c:v>
                </c:pt>
                <c:pt idx="11">
                  <c:v>-83.752510070800781</c:v>
                </c:pt>
                <c:pt idx="12">
                  <c:v>-83.287216186523438</c:v>
                </c:pt>
                <c:pt idx="13">
                  <c:v>-88.478416442871094</c:v>
                </c:pt>
                <c:pt idx="14">
                  <c:v>-86.144546508789063</c:v>
                </c:pt>
                <c:pt idx="15">
                  <c:v>-89.955451965332031</c:v>
                </c:pt>
                <c:pt idx="16">
                  <c:v>-88.72833251953125</c:v>
                </c:pt>
                <c:pt idx="17">
                  <c:v>-90.797271728515625</c:v>
                </c:pt>
                <c:pt idx="18">
                  <c:v>-87.552017211914063</c:v>
                </c:pt>
                <c:pt idx="19">
                  <c:v>-89.6094970703125</c:v>
                </c:pt>
                <c:pt idx="20">
                  <c:v>-86.083137512207031</c:v>
                </c:pt>
                <c:pt idx="21">
                  <c:v>-86.501441955566406</c:v>
                </c:pt>
                <c:pt idx="22">
                  <c:v>-88.901779174804688</c:v>
                </c:pt>
                <c:pt idx="23">
                  <c:v>-88.306282043457031</c:v>
                </c:pt>
                <c:pt idx="24">
                  <c:v>-91.787811279296875</c:v>
                </c:pt>
                <c:pt idx="25">
                  <c:v>-86.965431213378906</c:v>
                </c:pt>
                <c:pt idx="26">
                  <c:v>-86.508651733398438</c:v>
                </c:pt>
                <c:pt idx="27">
                  <c:v>-89.984329223632813</c:v>
                </c:pt>
                <c:pt idx="28">
                  <c:v>-88.609001159667969</c:v>
                </c:pt>
                <c:pt idx="29">
                  <c:v>-89.773368835449219</c:v>
                </c:pt>
                <c:pt idx="30">
                  <c:v>-89.483352661132813</c:v>
                </c:pt>
                <c:pt idx="31">
                  <c:v>-89.474327087402344</c:v>
                </c:pt>
                <c:pt idx="32">
                  <c:v>-88.577659606933594</c:v>
                </c:pt>
                <c:pt idx="33">
                  <c:v>-88.186882019042969</c:v>
                </c:pt>
                <c:pt idx="34">
                  <c:v>-89.120033264160156</c:v>
                </c:pt>
                <c:pt idx="35">
                  <c:v>-88.8553466796875</c:v>
                </c:pt>
                <c:pt idx="36">
                  <c:v>-89.092483520507813</c:v>
                </c:pt>
                <c:pt idx="37">
                  <c:v>-88.960441589355469</c:v>
                </c:pt>
                <c:pt idx="38">
                  <c:v>-89.140357971191406</c:v>
                </c:pt>
                <c:pt idx="39">
                  <c:v>-89.794418334960938</c:v>
                </c:pt>
                <c:pt idx="40">
                  <c:v>-89.126243591308594</c:v>
                </c:pt>
                <c:pt idx="41">
                  <c:v>-89.486221313476563</c:v>
                </c:pt>
                <c:pt idx="42">
                  <c:v>-88.883583068847656</c:v>
                </c:pt>
                <c:pt idx="43">
                  <c:v>-89.310997009277344</c:v>
                </c:pt>
                <c:pt idx="44">
                  <c:v>-89.531593322753906</c:v>
                </c:pt>
                <c:pt idx="45">
                  <c:v>-90.041030883789063</c:v>
                </c:pt>
                <c:pt idx="46">
                  <c:v>-89.602836608886719</c:v>
                </c:pt>
                <c:pt idx="47">
                  <c:v>-89.082008361816406</c:v>
                </c:pt>
                <c:pt idx="48">
                  <c:v>-89.336196899414063</c:v>
                </c:pt>
                <c:pt idx="49">
                  <c:v>-89.531532287597656</c:v>
                </c:pt>
                <c:pt idx="50">
                  <c:v>-89.431480407714844</c:v>
                </c:pt>
                <c:pt idx="51">
                  <c:v>-89.461219787597656</c:v>
                </c:pt>
                <c:pt idx="52">
                  <c:v>-89.433456420898438</c:v>
                </c:pt>
                <c:pt idx="53">
                  <c:v>-89.579322814941406</c:v>
                </c:pt>
                <c:pt idx="54">
                  <c:v>-89.736602783203125</c:v>
                </c:pt>
                <c:pt idx="55">
                  <c:v>-89.5888671875</c:v>
                </c:pt>
                <c:pt idx="56">
                  <c:v>-89.733818054199219</c:v>
                </c:pt>
                <c:pt idx="57">
                  <c:v>-89.671432495117188</c:v>
                </c:pt>
                <c:pt idx="58">
                  <c:v>-89.610969543457031</c:v>
                </c:pt>
                <c:pt idx="59">
                  <c:v>-89.601409912109375</c:v>
                </c:pt>
                <c:pt idx="60">
                  <c:v>-89.694526672363281</c:v>
                </c:pt>
                <c:pt idx="61">
                  <c:v>-89.613243103027344</c:v>
                </c:pt>
                <c:pt idx="62">
                  <c:v>-89.640663146972656</c:v>
                </c:pt>
                <c:pt idx="63">
                  <c:v>-89.614028930664063</c:v>
                </c:pt>
                <c:pt idx="64">
                  <c:v>-89.667823791503906</c:v>
                </c:pt>
                <c:pt idx="65">
                  <c:v>-89.6519775390625</c:v>
                </c:pt>
                <c:pt idx="66">
                  <c:v>-89.682670593261719</c:v>
                </c:pt>
                <c:pt idx="67">
                  <c:v>-89.7181396484375</c:v>
                </c:pt>
                <c:pt idx="68">
                  <c:v>-89.717262268066406</c:v>
                </c:pt>
                <c:pt idx="69">
                  <c:v>-89.722526550292969</c:v>
                </c:pt>
                <c:pt idx="70">
                  <c:v>-89.686447143554688</c:v>
                </c:pt>
                <c:pt idx="71">
                  <c:v>-89.687576293945313</c:v>
                </c:pt>
                <c:pt idx="72">
                  <c:v>-89.701683044433594</c:v>
                </c:pt>
                <c:pt idx="73">
                  <c:v>-89.670730590820313</c:v>
                </c:pt>
                <c:pt idx="74">
                  <c:v>-89.690696716308594</c:v>
                </c:pt>
                <c:pt idx="75">
                  <c:v>-89.6876220703125</c:v>
                </c:pt>
                <c:pt idx="76">
                  <c:v>-89.717941284179688</c:v>
                </c:pt>
                <c:pt idx="77">
                  <c:v>-89.714179992675781</c:v>
                </c:pt>
                <c:pt idx="78">
                  <c:v>-89.707321166992188</c:v>
                </c:pt>
                <c:pt idx="79">
                  <c:v>-89.702278137207031</c:v>
                </c:pt>
                <c:pt idx="80">
                  <c:v>-89.717430114746094</c:v>
                </c:pt>
                <c:pt idx="81">
                  <c:v>-89.707427978515625</c:v>
                </c:pt>
                <c:pt idx="82">
                  <c:v>-89.732261657714844</c:v>
                </c:pt>
                <c:pt idx="83">
                  <c:v>-89.710357666015625</c:v>
                </c:pt>
                <c:pt idx="84">
                  <c:v>-89.718948364257813</c:v>
                </c:pt>
                <c:pt idx="85">
                  <c:v>-89.714126586914063</c:v>
                </c:pt>
                <c:pt idx="86">
                  <c:v>-89.740463256835938</c:v>
                </c:pt>
                <c:pt idx="87">
                  <c:v>-89.728370666503906</c:v>
                </c:pt>
                <c:pt idx="88">
                  <c:v>-89.721199035644531</c:v>
                </c:pt>
                <c:pt idx="89">
                  <c:v>-89.720008850097656</c:v>
                </c:pt>
                <c:pt idx="90">
                  <c:v>-89.715347290039063</c:v>
                </c:pt>
                <c:pt idx="91">
                  <c:v>-89.71893310546875</c:v>
                </c:pt>
                <c:pt idx="92">
                  <c:v>-89.718536376953125</c:v>
                </c:pt>
                <c:pt idx="93">
                  <c:v>-89.719589233398438</c:v>
                </c:pt>
                <c:pt idx="94">
                  <c:v>-89.718528747558594</c:v>
                </c:pt>
                <c:pt idx="95">
                  <c:v>-89.716438293457031</c:v>
                </c:pt>
                <c:pt idx="96">
                  <c:v>-89.723007202148438</c:v>
                </c:pt>
                <c:pt idx="97">
                  <c:v>-89.717643737792969</c:v>
                </c:pt>
                <c:pt idx="98">
                  <c:v>-89.722183227539063</c:v>
                </c:pt>
                <c:pt idx="99">
                  <c:v>-89.714279174804688</c:v>
                </c:pt>
                <c:pt idx="100">
                  <c:v>-89.720687866210938</c:v>
                </c:pt>
                <c:pt idx="101">
                  <c:v>-89.717666625976563</c:v>
                </c:pt>
                <c:pt idx="102">
                  <c:v>-89.717849731445313</c:v>
                </c:pt>
                <c:pt idx="103">
                  <c:v>-89.709503173828125</c:v>
                </c:pt>
                <c:pt idx="104">
                  <c:v>-89.716583251953125</c:v>
                </c:pt>
                <c:pt idx="105">
                  <c:v>-89.711082458496094</c:v>
                </c:pt>
                <c:pt idx="106">
                  <c:v>-89.698753356933594</c:v>
                </c:pt>
                <c:pt idx="107">
                  <c:v>-89.705802917480469</c:v>
                </c:pt>
                <c:pt idx="108">
                  <c:v>-89.704933166503906</c:v>
                </c:pt>
                <c:pt idx="109">
                  <c:v>-89.697860717773438</c:v>
                </c:pt>
                <c:pt idx="110">
                  <c:v>-89.698356628417969</c:v>
                </c:pt>
                <c:pt idx="111">
                  <c:v>-89.700126647949219</c:v>
                </c:pt>
                <c:pt idx="112">
                  <c:v>-89.699470520019531</c:v>
                </c:pt>
                <c:pt idx="113">
                  <c:v>-89.699653625488281</c:v>
                </c:pt>
                <c:pt idx="114">
                  <c:v>-89.701011657714844</c:v>
                </c:pt>
                <c:pt idx="115">
                  <c:v>-89.694198608398438</c:v>
                </c:pt>
                <c:pt idx="116">
                  <c:v>-89.696983337402344</c:v>
                </c:pt>
                <c:pt idx="117">
                  <c:v>-89.687576293945313</c:v>
                </c:pt>
                <c:pt idx="118">
                  <c:v>-89.688880920410156</c:v>
                </c:pt>
                <c:pt idx="119">
                  <c:v>-89.680732727050781</c:v>
                </c:pt>
                <c:pt idx="120">
                  <c:v>-89.683937072753906</c:v>
                </c:pt>
                <c:pt idx="121">
                  <c:v>-89.685211181640625</c:v>
                </c:pt>
                <c:pt idx="122">
                  <c:v>-89.679977416992188</c:v>
                </c:pt>
                <c:pt idx="123">
                  <c:v>-89.67822265625</c:v>
                </c:pt>
                <c:pt idx="124">
                  <c:v>-89.682060241699219</c:v>
                </c:pt>
                <c:pt idx="125">
                  <c:v>-89.665428161621094</c:v>
                </c:pt>
                <c:pt idx="126">
                  <c:v>-89.662239074707031</c:v>
                </c:pt>
                <c:pt idx="127">
                  <c:v>-89.664993286132813</c:v>
                </c:pt>
                <c:pt idx="128">
                  <c:v>-89.660087585449219</c:v>
                </c:pt>
                <c:pt idx="129">
                  <c:v>-89.6593017578125</c:v>
                </c:pt>
                <c:pt idx="130">
                  <c:v>-89.659111022949219</c:v>
                </c:pt>
                <c:pt idx="131">
                  <c:v>-89.657333374023438</c:v>
                </c:pt>
                <c:pt idx="132">
                  <c:v>-89.661163330078125</c:v>
                </c:pt>
                <c:pt idx="133">
                  <c:v>-89.653549194335938</c:v>
                </c:pt>
                <c:pt idx="134">
                  <c:v>-89.645103454589844</c:v>
                </c:pt>
                <c:pt idx="135">
                  <c:v>-89.655197143554688</c:v>
                </c:pt>
                <c:pt idx="136">
                  <c:v>-89.657020568847656</c:v>
                </c:pt>
                <c:pt idx="137">
                  <c:v>-89.650047302246094</c:v>
                </c:pt>
                <c:pt idx="138">
                  <c:v>-89.653556823730469</c:v>
                </c:pt>
                <c:pt idx="139">
                  <c:v>-89.652008056640625</c:v>
                </c:pt>
                <c:pt idx="140">
                  <c:v>-89.656562805175781</c:v>
                </c:pt>
                <c:pt idx="141">
                  <c:v>-89.655296325683594</c:v>
                </c:pt>
                <c:pt idx="142">
                  <c:v>-89.655723571777344</c:v>
                </c:pt>
                <c:pt idx="143">
                  <c:v>-89.654960632324219</c:v>
                </c:pt>
                <c:pt idx="144">
                  <c:v>-89.658126831054688</c:v>
                </c:pt>
                <c:pt idx="145">
                  <c:v>-89.665840148925781</c:v>
                </c:pt>
                <c:pt idx="146">
                  <c:v>-89.668411254882813</c:v>
                </c:pt>
                <c:pt idx="147">
                  <c:v>-89.669090270996094</c:v>
                </c:pt>
                <c:pt idx="148">
                  <c:v>-89.670356750488281</c:v>
                </c:pt>
                <c:pt idx="149">
                  <c:v>-89.672470092773438</c:v>
                </c:pt>
                <c:pt idx="150">
                  <c:v>-89.679763793945313</c:v>
                </c:pt>
                <c:pt idx="151">
                  <c:v>-89.691513061523438</c:v>
                </c:pt>
                <c:pt idx="152">
                  <c:v>-89.700576782226563</c:v>
                </c:pt>
                <c:pt idx="153">
                  <c:v>-89.705223083496094</c:v>
                </c:pt>
                <c:pt idx="154">
                  <c:v>-89.691452026367188</c:v>
                </c:pt>
                <c:pt idx="155">
                  <c:v>-89.700439453125</c:v>
                </c:pt>
                <c:pt idx="156">
                  <c:v>-89.716453552246094</c:v>
                </c:pt>
                <c:pt idx="157">
                  <c:v>-89.722068786621094</c:v>
                </c:pt>
                <c:pt idx="158">
                  <c:v>-89.739158630371094</c:v>
                </c:pt>
                <c:pt idx="159">
                  <c:v>-89.755821228027344</c:v>
                </c:pt>
                <c:pt idx="160">
                  <c:v>-89.774620056152344</c:v>
                </c:pt>
                <c:pt idx="161">
                  <c:v>-89.787109375</c:v>
                </c:pt>
                <c:pt idx="162">
                  <c:v>-89.813430786132813</c:v>
                </c:pt>
                <c:pt idx="163">
                  <c:v>-89.836029052734375</c:v>
                </c:pt>
                <c:pt idx="164">
                  <c:v>-89.864433288574219</c:v>
                </c:pt>
                <c:pt idx="165">
                  <c:v>-89.8978271484375</c:v>
                </c:pt>
                <c:pt idx="166">
                  <c:v>-89.937461853027344</c:v>
                </c:pt>
                <c:pt idx="167">
                  <c:v>-89.9774169921875</c:v>
                </c:pt>
                <c:pt idx="168">
                  <c:v>-90.037002563476563</c:v>
                </c:pt>
                <c:pt idx="169">
                  <c:v>-90.095756530761719</c:v>
                </c:pt>
                <c:pt idx="170">
                  <c:v>-90.170936584472656</c:v>
                </c:pt>
                <c:pt idx="171">
                  <c:v>-90.257850646972656</c:v>
                </c:pt>
                <c:pt idx="172">
                  <c:v>-90.364852905273438</c:v>
                </c:pt>
                <c:pt idx="173">
                  <c:v>-90.497482299804688</c:v>
                </c:pt>
                <c:pt idx="174">
                  <c:v>-90.684562683105469</c:v>
                </c:pt>
                <c:pt idx="175">
                  <c:v>-90.893806457519531</c:v>
                </c:pt>
                <c:pt idx="176">
                  <c:v>-91.13873291015625</c:v>
                </c:pt>
                <c:pt idx="177">
                  <c:v>-91.440132141113281</c:v>
                </c:pt>
                <c:pt idx="178">
                  <c:v>-91.828216552734375</c:v>
                </c:pt>
                <c:pt idx="179">
                  <c:v>-92.351570129394531</c:v>
                </c:pt>
                <c:pt idx="180">
                  <c:v>-93.060478210449219</c:v>
                </c:pt>
                <c:pt idx="181">
                  <c:v>-94.038932800292969</c:v>
                </c:pt>
                <c:pt idx="182">
                  <c:v>-95.372879028320313</c:v>
                </c:pt>
                <c:pt idx="183">
                  <c:v>-97.153297424316406</c:v>
                </c:pt>
                <c:pt idx="184">
                  <c:v>-99.467727661132813</c:v>
                </c:pt>
                <c:pt idx="185">
                  <c:v>-102.3572998046875</c:v>
                </c:pt>
                <c:pt idx="186">
                  <c:v>-105.89559936523438</c:v>
                </c:pt>
                <c:pt idx="187">
                  <c:v>-110.38089752197266</c:v>
                </c:pt>
                <c:pt idx="188">
                  <c:v>-116.78099822998047</c:v>
                </c:pt>
                <c:pt idx="189">
                  <c:v>-127.11190032958984</c:v>
                </c:pt>
                <c:pt idx="190">
                  <c:v>-145.51620483398438</c:v>
                </c:pt>
                <c:pt idx="191">
                  <c:v>-174.701904296875</c:v>
                </c:pt>
                <c:pt idx="192">
                  <c:v>153.85560607910156</c:v>
                </c:pt>
                <c:pt idx="193">
                  <c:v>-151.3179931640625</c:v>
                </c:pt>
                <c:pt idx="194">
                  <c:v>-154.48550415039063</c:v>
                </c:pt>
                <c:pt idx="195">
                  <c:v>-158.375</c:v>
                </c:pt>
                <c:pt idx="196">
                  <c:v>-162.48429870605469</c:v>
                </c:pt>
                <c:pt idx="197">
                  <c:v>-166.71449279785156</c:v>
                </c:pt>
                <c:pt idx="198">
                  <c:v>-170.41580200195313</c:v>
                </c:pt>
                <c:pt idx="199">
                  <c:v>-174.87710571289063</c:v>
                </c:pt>
                <c:pt idx="200">
                  <c:v>-179.34280395507813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7A-4E98-8098-0687E3F30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859528623"/>
        <c:scaling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-1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59528623"/>
        <c:crosses val="autoZero"/>
        <c:crossBetween val="midCat"/>
      </c:valAx>
      <c:valAx>
        <c:axId val="3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"/>
        <c:crosses val="max"/>
        <c:crossBetween val="midCat"/>
      </c:valAx>
      <c:valAx>
        <c:axId val="4"/>
        <c:scaling>
          <c:orientation val="minMax"/>
        </c:scaling>
        <c:delete val="0"/>
        <c:axPos val="r"/>
        <c:numFmt formatCode="0.0000E+00" sourceLinked="1"/>
        <c:majorTickMark val="none"/>
        <c:minorTickMark val="none"/>
        <c:tickLblPos val="nextTo"/>
        <c:crossAx val="3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6733238231098431"/>
          <c:y val="0.25683114990235761"/>
          <c:w val="0.108416547788873"/>
          <c:h val="0.4754110942205976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|Z| - theta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203791561636277E-2"/>
          <c:y val="0.15027362500433583"/>
          <c:w val="0.64047977727598704"/>
          <c:h val="0.65027495910967148"/>
        </c:manualLayout>
      </c:layout>
      <c:scatterChart>
        <c:scatterStyle val="lineMarker"/>
        <c:varyColors val="0"/>
        <c:ser>
          <c:idx val="0"/>
          <c:order val="0"/>
          <c:tx>
            <c:strRef>
              <c:f>RC_1_1M!$D$10</c:f>
              <c:strCache>
                <c:ptCount val="1"/>
                <c:pt idx="0">
                  <c:v>Data Trace A Real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RC_1_1M!$N$11:$N$211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RC_1_1M!$D$11:$D$211</c:f>
              <c:numCache>
                <c:formatCode>0.0000E+00</c:formatCode>
                <c:ptCount val="201"/>
                <c:pt idx="0">
                  <c:v>988916.1875</c:v>
                </c:pt>
                <c:pt idx="1">
                  <c:v>989067.375</c:v>
                </c:pt>
                <c:pt idx="2">
                  <c:v>989159.125</c:v>
                </c:pt>
                <c:pt idx="3">
                  <c:v>988968.625</c:v>
                </c:pt>
                <c:pt idx="4">
                  <c:v>988775.6875</c:v>
                </c:pt>
                <c:pt idx="5">
                  <c:v>988941.375</c:v>
                </c:pt>
                <c:pt idx="6">
                  <c:v>988886.1875</c:v>
                </c:pt>
                <c:pt idx="7">
                  <c:v>988999.6875</c:v>
                </c:pt>
                <c:pt idx="8">
                  <c:v>989145.3125</c:v>
                </c:pt>
                <c:pt idx="9">
                  <c:v>988885.625</c:v>
                </c:pt>
                <c:pt idx="10">
                  <c:v>989124.625</c:v>
                </c:pt>
                <c:pt idx="11">
                  <c:v>989051.1875</c:v>
                </c:pt>
                <c:pt idx="12">
                  <c:v>989091.1875</c:v>
                </c:pt>
                <c:pt idx="13">
                  <c:v>989155.1875</c:v>
                </c:pt>
                <c:pt idx="14">
                  <c:v>989339.375</c:v>
                </c:pt>
                <c:pt idx="15">
                  <c:v>989190.375</c:v>
                </c:pt>
                <c:pt idx="16">
                  <c:v>988779.6875</c:v>
                </c:pt>
                <c:pt idx="17">
                  <c:v>989093.625</c:v>
                </c:pt>
                <c:pt idx="18">
                  <c:v>989079</c:v>
                </c:pt>
                <c:pt idx="19">
                  <c:v>989096.625</c:v>
                </c:pt>
                <c:pt idx="20">
                  <c:v>989015.1875</c:v>
                </c:pt>
                <c:pt idx="21">
                  <c:v>988841.625</c:v>
                </c:pt>
                <c:pt idx="22">
                  <c:v>989132.375</c:v>
                </c:pt>
                <c:pt idx="23">
                  <c:v>988895.6875</c:v>
                </c:pt>
                <c:pt idx="24">
                  <c:v>988966.5</c:v>
                </c:pt>
                <c:pt idx="25">
                  <c:v>989019.1875</c:v>
                </c:pt>
                <c:pt idx="26">
                  <c:v>988984.625</c:v>
                </c:pt>
                <c:pt idx="27">
                  <c:v>988900.5</c:v>
                </c:pt>
                <c:pt idx="28">
                  <c:v>989053.5</c:v>
                </c:pt>
                <c:pt idx="29">
                  <c:v>989031.1875</c:v>
                </c:pt>
                <c:pt idx="30">
                  <c:v>988979.125</c:v>
                </c:pt>
                <c:pt idx="31">
                  <c:v>988928.8125</c:v>
                </c:pt>
                <c:pt idx="32">
                  <c:v>988939.875</c:v>
                </c:pt>
                <c:pt idx="33">
                  <c:v>988916.5</c:v>
                </c:pt>
                <c:pt idx="34">
                  <c:v>988891.875</c:v>
                </c:pt>
                <c:pt idx="35">
                  <c:v>988781.875</c:v>
                </c:pt>
                <c:pt idx="36">
                  <c:v>988787.6875</c:v>
                </c:pt>
                <c:pt idx="37">
                  <c:v>988879.3125</c:v>
                </c:pt>
                <c:pt idx="38">
                  <c:v>988707.125</c:v>
                </c:pt>
                <c:pt idx="39">
                  <c:v>988619.375</c:v>
                </c:pt>
                <c:pt idx="40">
                  <c:v>988751.3125</c:v>
                </c:pt>
                <c:pt idx="41">
                  <c:v>988632.875</c:v>
                </c:pt>
                <c:pt idx="42">
                  <c:v>988454.625</c:v>
                </c:pt>
                <c:pt idx="43">
                  <c:v>988703.875</c:v>
                </c:pt>
                <c:pt idx="44">
                  <c:v>988648</c:v>
                </c:pt>
                <c:pt idx="45">
                  <c:v>988582.125</c:v>
                </c:pt>
                <c:pt idx="46">
                  <c:v>988495.5</c:v>
                </c:pt>
                <c:pt idx="47">
                  <c:v>988248.625</c:v>
                </c:pt>
                <c:pt idx="48">
                  <c:v>988189.125</c:v>
                </c:pt>
                <c:pt idx="49">
                  <c:v>988028.375</c:v>
                </c:pt>
                <c:pt idx="50">
                  <c:v>988039.875</c:v>
                </c:pt>
                <c:pt idx="51">
                  <c:v>987878.875</c:v>
                </c:pt>
                <c:pt idx="52">
                  <c:v>987872.375</c:v>
                </c:pt>
                <c:pt idx="53">
                  <c:v>987643.875</c:v>
                </c:pt>
                <c:pt idx="54">
                  <c:v>987408.125</c:v>
                </c:pt>
                <c:pt idx="55">
                  <c:v>987362.625</c:v>
                </c:pt>
                <c:pt idx="56">
                  <c:v>987029.125</c:v>
                </c:pt>
                <c:pt idx="57">
                  <c:v>986848.625</c:v>
                </c:pt>
                <c:pt idx="58">
                  <c:v>986505.125</c:v>
                </c:pt>
                <c:pt idx="59">
                  <c:v>986242.5</c:v>
                </c:pt>
                <c:pt idx="60">
                  <c:v>985775.6875</c:v>
                </c:pt>
                <c:pt idx="61">
                  <c:v>985497.6875</c:v>
                </c:pt>
                <c:pt idx="62">
                  <c:v>985117.8125</c:v>
                </c:pt>
                <c:pt idx="63">
                  <c:v>984339.125</c:v>
                </c:pt>
                <c:pt idx="64">
                  <c:v>983824.375</c:v>
                </c:pt>
                <c:pt idx="65">
                  <c:v>983270.5</c:v>
                </c:pt>
                <c:pt idx="66">
                  <c:v>982467.625</c:v>
                </c:pt>
                <c:pt idx="67">
                  <c:v>981665</c:v>
                </c:pt>
                <c:pt idx="68">
                  <c:v>980602.375</c:v>
                </c:pt>
                <c:pt idx="69">
                  <c:v>979597.125</c:v>
                </c:pt>
                <c:pt idx="70">
                  <c:v>978239.625</c:v>
                </c:pt>
                <c:pt idx="71">
                  <c:v>976931.1875</c:v>
                </c:pt>
                <c:pt idx="72">
                  <c:v>975269.6875</c:v>
                </c:pt>
                <c:pt idx="73">
                  <c:v>973376.625</c:v>
                </c:pt>
                <c:pt idx="74">
                  <c:v>971405</c:v>
                </c:pt>
                <c:pt idx="75">
                  <c:v>969016.375</c:v>
                </c:pt>
                <c:pt idx="76">
                  <c:v>966425.1875</c:v>
                </c:pt>
                <c:pt idx="77">
                  <c:v>963488.125</c:v>
                </c:pt>
                <c:pt idx="78">
                  <c:v>960028.625</c:v>
                </c:pt>
                <c:pt idx="79">
                  <c:v>956367.5</c:v>
                </c:pt>
                <c:pt idx="80">
                  <c:v>951959</c:v>
                </c:pt>
                <c:pt idx="81">
                  <c:v>947338.8125</c:v>
                </c:pt>
                <c:pt idx="82">
                  <c:v>942130.375</c:v>
                </c:pt>
                <c:pt idx="83">
                  <c:v>936067.375</c:v>
                </c:pt>
                <c:pt idx="84">
                  <c:v>929497.1875</c:v>
                </c:pt>
                <c:pt idx="85">
                  <c:v>922109.1875</c:v>
                </c:pt>
                <c:pt idx="86">
                  <c:v>913643.375</c:v>
                </c:pt>
                <c:pt idx="87">
                  <c:v>904608.3125</c:v>
                </c:pt>
                <c:pt idx="88">
                  <c:v>894493.375</c:v>
                </c:pt>
                <c:pt idx="89">
                  <c:v>883292</c:v>
                </c:pt>
                <c:pt idx="90">
                  <c:v>871083.875</c:v>
                </c:pt>
                <c:pt idx="91">
                  <c:v>857704.8125</c:v>
                </c:pt>
                <c:pt idx="92">
                  <c:v>843243.625</c:v>
                </c:pt>
                <c:pt idx="93">
                  <c:v>827563.375</c:v>
                </c:pt>
                <c:pt idx="94">
                  <c:v>810642</c:v>
                </c:pt>
                <c:pt idx="95">
                  <c:v>792580.625</c:v>
                </c:pt>
                <c:pt idx="96">
                  <c:v>773427.625</c:v>
                </c:pt>
                <c:pt idx="97">
                  <c:v>753181</c:v>
                </c:pt>
                <c:pt idx="98">
                  <c:v>731913.8125</c:v>
                </c:pt>
                <c:pt idx="99">
                  <c:v>709649.625</c:v>
                </c:pt>
                <c:pt idx="100">
                  <c:v>686662.1875</c:v>
                </c:pt>
                <c:pt idx="101">
                  <c:v>662959.375</c:v>
                </c:pt>
                <c:pt idx="102">
                  <c:v>638686.875</c:v>
                </c:pt>
                <c:pt idx="103">
                  <c:v>613934.125</c:v>
                </c:pt>
                <c:pt idx="104">
                  <c:v>589005.625</c:v>
                </c:pt>
                <c:pt idx="105">
                  <c:v>563906.375</c:v>
                </c:pt>
                <c:pt idx="106">
                  <c:v>538881.5</c:v>
                </c:pt>
                <c:pt idx="107">
                  <c:v>514022.5</c:v>
                </c:pt>
                <c:pt idx="108">
                  <c:v>489444</c:v>
                </c:pt>
                <c:pt idx="109">
                  <c:v>465305.6875</c:v>
                </c:pt>
                <c:pt idx="110">
                  <c:v>441706.3125</c:v>
                </c:pt>
                <c:pt idx="111">
                  <c:v>418702.40625</c:v>
                </c:pt>
                <c:pt idx="112">
                  <c:v>396377.3125</c:v>
                </c:pt>
                <c:pt idx="113">
                  <c:v>374802.90625</c:v>
                </c:pt>
                <c:pt idx="114">
                  <c:v>354026</c:v>
                </c:pt>
                <c:pt idx="115">
                  <c:v>334055.40625</c:v>
                </c:pt>
                <c:pt idx="116">
                  <c:v>314925.90625</c:v>
                </c:pt>
                <c:pt idx="117">
                  <c:v>296688.90625</c:v>
                </c:pt>
                <c:pt idx="118">
                  <c:v>279285.6875</c:v>
                </c:pt>
                <c:pt idx="119">
                  <c:v>262719.1875</c:v>
                </c:pt>
                <c:pt idx="120">
                  <c:v>246973.40625</c:v>
                </c:pt>
                <c:pt idx="121">
                  <c:v>232059.296875</c:v>
                </c:pt>
                <c:pt idx="122">
                  <c:v>217962.90625</c:v>
                </c:pt>
                <c:pt idx="123">
                  <c:v>204621.296875</c:v>
                </c:pt>
                <c:pt idx="124">
                  <c:v>192058.90625</c:v>
                </c:pt>
                <c:pt idx="125">
                  <c:v>180230.296875</c:v>
                </c:pt>
                <c:pt idx="126">
                  <c:v>169060.5</c:v>
                </c:pt>
                <c:pt idx="127">
                  <c:v>158523.40625</c:v>
                </c:pt>
                <c:pt idx="128">
                  <c:v>148633.703125</c:v>
                </c:pt>
                <c:pt idx="129">
                  <c:v>139314.703125</c:v>
                </c:pt>
                <c:pt idx="130">
                  <c:v>130572.796875</c:v>
                </c:pt>
                <c:pt idx="131">
                  <c:v>122357.8984375</c:v>
                </c:pt>
                <c:pt idx="132">
                  <c:v>114649.3984375</c:v>
                </c:pt>
                <c:pt idx="133">
                  <c:v>107400.1015625</c:v>
                </c:pt>
                <c:pt idx="134">
                  <c:v>100617.703125</c:v>
                </c:pt>
                <c:pt idx="135">
                  <c:v>94248.578125</c:v>
                </c:pt>
                <c:pt idx="136">
                  <c:v>88276.1484375</c:v>
                </c:pt>
                <c:pt idx="137">
                  <c:v>82678.328125</c:v>
                </c:pt>
                <c:pt idx="138">
                  <c:v>77426.5</c:v>
                </c:pt>
                <c:pt idx="139">
                  <c:v>72508.9921875</c:v>
                </c:pt>
                <c:pt idx="140">
                  <c:v>67900.0234375</c:v>
                </c:pt>
                <c:pt idx="141">
                  <c:v>63587.26171875</c:v>
                </c:pt>
                <c:pt idx="142">
                  <c:v>59546.421875</c:v>
                </c:pt>
                <c:pt idx="143">
                  <c:v>55762.01171875</c:v>
                </c:pt>
                <c:pt idx="144">
                  <c:v>52217.48046875</c:v>
                </c:pt>
                <c:pt idx="145">
                  <c:v>48900.890625</c:v>
                </c:pt>
                <c:pt idx="146">
                  <c:v>45793.46875</c:v>
                </c:pt>
                <c:pt idx="147">
                  <c:v>42886.7890625</c:v>
                </c:pt>
                <c:pt idx="148">
                  <c:v>40165.76953125</c:v>
                </c:pt>
                <c:pt idx="149">
                  <c:v>37618.80859375</c:v>
                </c:pt>
                <c:pt idx="150">
                  <c:v>35236.80078125</c:v>
                </c:pt>
                <c:pt idx="151">
                  <c:v>33006.1796875</c:v>
                </c:pt>
                <c:pt idx="152">
                  <c:v>30912.369140625</c:v>
                </c:pt>
                <c:pt idx="153">
                  <c:v>28959.369140625</c:v>
                </c:pt>
                <c:pt idx="154">
                  <c:v>27134.119140625</c:v>
                </c:pt>
                <c:pt idx="155">
                  <c:v>25428.240234375</c:v>
                </c:pt>
                <c:pt idx="156">
                  <c:v>23832.30078125</c:v>
                </c:pt>
                <c:pt idx="157">
                  <c:v>22338.890625</c:v>
                </c:pt>
                <c:pt idx="158">
                  <c:v>20950.400390625</c:v>
                </c:pt>
                <c:pt idx="159">
                  <c:v>19649.109375</c:v>
                </c:pt>
                <c:pt idx="160">
                  <c:v>18434.869140625</c:v>
                </c:pt>
                <c:pt idx="161">
                  <c:v>17298.919921875</c:v>
                </c:pt>
                <c:pt idx="162">
                  <c:v>16240.2099609375</c:v>
                </c:pt>
                <c:pt idx="163">
                  <c:v>15252.330078125</c:v>
                </c:pt>
                <c:pt idx="164">
                  <c:v>14332.150390625</c:v>
                </c:pt>
                <c:pt idx="165">
                  <c:v>13473.830078125</c:v>
                </c:pt>
                <c:pt idx="166">
                  <c:v>12675.91015625</c:v>
                </c:pt>
                <c:pt idx="167">
                  <c:v>11933.9501953125</c:v>
                </c:pt>
                <c:pt idx="168">
                  <c:v>11244.5</c:v>
                </c:pt>
                <c:pt idx="169">
                  <c:v>10604.5</c:v>
                </c:pt>
                <c:pt idx="170">
                  <c:v>10014.0703125</c:v>
                </c:pt>
                <c:pt idx="171">
                  <c:v>9468.576171875</c:v>
                </c:pt>
                <c:pt idx="172">
                  <c:v>8966.8310546875</c:v>
                </c:pt>
                <c:pt idx="173">
                  <c:v>8508.2822265625</c:v>
                </c:pt>
                <c:pt idx="174">
                  <c:v>8089.43017578125</c:v>
                </c:pt>
                <c:pt idx="175">
                  <c:v>7707.98779296875</c:v>
                </c:pt>
                <c:pt idx="176">
                  <c:v>7366.52685546875</c:v>
                </c:pt>
                <c:pt idx="177">
                  <c:v>7066.55615234375</c:v>
                </c:pt>
                <c:pt idx="178">
                  <c:v>6809.63623046875</c:v>
                </c:pt>
                <c:pt idx="179">
                  <c:v>6596.8818359375</c:v>
                </c:pt>
                <c:pt idx="180">
                  <c:v>6431.10693359375</c:v>
                </c:pt>
                <c:pt idx="181">
                  <c:v>6314.89697265625</c:v>
                </c:pt>
                <c:pt idx="182">
                  <c:v>6251.283203125</c:v>
                </c:pt>
                <c:pt idx="183">
                  <c:v>6244.2412109375</c:v>
                </c:pt>
                <c:pt idx="184">
                  <c:v>6299.35693359375</c:v>
                </c:pt>
                <c:pt idx="185">
                  <c:v>6433.19287109375</c:v>
                </c:pt>
                <c:pt idx="186">
                  <c:v>6680.4921875</c:v>
                </c:pt>
                <c:pt idx="187">
                  <c:v>7117.8837890625</c:v>
                </c:pt>
                <c:pt idx="188">
                  <c:v>7887.68701171875</c:v>
                </c:pt>
                <c:pt idx="189">
                  <c:v>9157.296875</c:v>
                </c:pt>
                <c:pt idx="190">
                  <c:v>10599.5595703125</c:v>
                </c:pt>
                <c:pt idx="191">
                  <c:v>9774.341796875</c:v>
                </c:pt>
                <c:pt idx="192">
                  <c:v>6648.0517578125</c:v>
                </c:pt>
                <c:pt idx="193">
                  <c:v>1181.843994140625</c:v>
                </c:pt>
                <c:pt idx="194">
                  <c:v>1049.873046875</c:v>
                </c:pt>
                <c:pt idx="195">
                  <c:v>929.05352783203125</c:v>
                </c:pt>
                <c:pt idx="196">
                  <c:v>812.1995849609375</c:v>
                </c:pt>
                <c:pt idx="197">
                  <c:v>700.9110107421875</c:v>
                </c:pt>
                <c:pt idx="198">
                  <c:v>599.135986328125</c:v>
                </c:pt>
                <c:pt idx="199">
                  <c:v>508.46539306640625</c:v>
                </c:pt>
                <c:pt idx="200">
                  <c:v>423.42330932617188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43-44C1-A791-A1D41570A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528623"/>
        <c:axId val="1"/>
      </c:scatterChart>
      <c:scatterChart>
        <c:scatterStyle val="lineMarker"/>
        <c:varyColors val="0"/>
        <c:ser>
          <c:idx val="1"/>
          <c:order val="1"/>
          <c:tx>
            <c:strRef>
              <c:f>RC_1_1M!$F$10</c:f>
              <c:strCache>
                <c:ptCount val="1"/>
                <c:pt idx="0">
                  <c:v>Data Trace B Real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chemeClr val="bg1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RC_1_1M!$N$11:$N$211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RC_1_1M!$F$11:$F$211</c:f>
              <c:numCache>
                <c:formatCode>0.0000E+00</c:formatCode>
                <c:ptCount val="201"/>
                <c:pt idx="0">
                  <c:v>-2.4163449183106422E-2</c:v>
                </c:pt>
                <c:pt idx="1">
                  <c:v>-4.241522029042244E-2</c:v>
                </c:pt>
                <c:pt idx="2">
                  <c:v>-5.4078981280326843E-2</c:v>
                </c:pt>
                <c:pt idx="3">
                  <c:v>-6.9316618144512177E-2</c:v>
                </c:pt>
                <c:pt idx="4">
                  <c:v>-6.9052703678607941E-2</c:v>
                </c:pt>
                <c:pt idx="5">
                  <c:v>-7.8225038945674896E-2</c:v>
                </c:pt>
                <c:pt idx="6">
                  <c:v>-9.1100417077541351E-2</c:v>
                </c:pt>
                <c:pt idx="7">
                  <c:v>-0.1000140979886055</c:v>
                </c:pt>
                <c:pt idx="8">
                  <c:v>-9.2805996537208557E-2</c:v>
                </c:pt>
                <c:pt idx="9">
                  <c:v>-0.11665070056915283</c:v>
                </c:pt>
                <c:pt idx="10">
                  <c:v>-0.12303990125656128</c:v>
                </c:pt>
                <c:pt idx="11">
                  <c:v>-0.13013400137424469</c:v>
                </c:pt>
                <c:pt idx="12">
                  <c:v>-0.14352120459079742</c:v>
                </c:pt>
                <c:pt idx="13">
                  <c:v>-0.16250930726528168</c:v>
                </c:pt>
                <c:pt idx="14">
                  <c:v>-0.17631229758262634</c:v>
                </c:pt>
                <c:pt idx="15">
                  <c:v>-0.1945611983537674</c:v>
                </c:pt>
                <c:pt idx="16">
                  <c:v>-0.20514559745788574</c:v>
                </c:pt>
                <c:pt idx="17">
                  <c:v>-0.22479419410228729</c:v>
                </c:pt>
                <c:pt idx="18">
                  <c:v>-0.24082930386066437</c:v>
                </c:pt>
                <c:pt idx="19">
                  <c:v>-0.24657970666885376</c:v>
                </c:pt>
                <c:pt idx="20">
                  <c:v>-0.27616879343986511</c:v>
                </c:pt>
                <c:pt idx="21">
                  <c:v>-0.29679569602012634</c:v>
                </c:pt>
                <c:pt idx="22">
                  <c:v>-0.31587269902229309</c:v>
                </c:pt>
                <c:pt idx="23">
                  <c:v>-0.34439799189567566</c:v>
                </c:pt>
                <c:pt idx="24">
                  <c:v>-0.36296439170837402</c:v>
                </c:pt>
                <c:pt idx="25">
                  <c:v>-0.40029799938201904</c:v>
                </c:pt>
                <c:pt idx="26">
                  <c:v>-0.41452288627624512</c:v>
                </c:pt>
                <c:pt idx="27">
                  <c:v>-0.46699890494346619</c:v>
                </c:pt>
                <c:pt idx="28">
                  <c:v>-0.48803448677062988</c:v>
                </c:pt>
                <c:pt idx="29">
                  <c:v>-0.51602572202682495</c:v>
                </c:pt>
                <c:pt idx="30">
                  <c:v>-0.54619288444519043</c:v>
                </c:pt>
                <c:pt idx="31">
                  <c:v>-0.59636718034744263</c:v>
                </c:pt>
                <c:pt idx="32">
                  <c:v>-0.62398982048034668</c:v>
                </c:pt>
                <c:pt idx="33">
                  <c:v>-0.66384702920913696</c:v>
                </c:pt>
                <c:pt idx="34">
                  <c:v>-0.72080010175704956</c:v>
                </c:pt>
                <c:pt idx="35">
                  <c:v>-0.77229809761047363</c:v>
                </c:pt>
                <c:pt idx="36">
                  <c:v>-0.834908127784729</c:v>
                </c:pt>
                <c:pt idx="37">
                  <c:v>-0.88900452852249146</c:v>
                </c:pt>
                <c:pt idx="38">
                  <c:v>-0.95164138078689575</c:v>
                </c:pt>
                <c:pt idx="39">
                  <c:v>-1.02093505859375</c:v>
                </c:pt>
                <c:pt idx="40">
                  <c:v>-1.0793030261993408</c:v>
                </c:pt>
                <c:pt idx="41">
                  <c:v>-1.1676850318908691</c:v>
                </c:pt>
                <c:pt idx="42">
                  <c:v>-1.2269450426101685</c:v>
                </c:pt>
                <c:pt idx="43">
                  <c:v>-1.3322980403900146</c:v>
                </c:pt>
                <c:pt idx="44">
                  <c:v>-1.4273769855499268</c:v>
                </c:pt>
                <c:pt idx="45">
                  <c:v>-1.5245180130004883</c:v>
                </c:pt>
                <c:pt idx="46">
                  <c:v>-1.6292719841003418</c:v>
                </c:pt>
                <c:pt idx="47">
                  <c:v>-1.7108249664306641</c:v>
                </c:pt>
                <c:pt idx="48">
                  <c:v>-1.8379939794540405</c:v>
                </c:pt>
                <c:pt idx="49">
                  <c:v>-1.9716089963912964</c:v>
                </c:pt>
                <c:pt idx="50">
                  <c:v>-2.1048140525817871</c:v>
                </c:pt>
                <c:pt idx="51">
                  <c:v>-2.251694917678833</c:v>
                </c:pt>
                <c:pt idx="52">
                  <c:v>-2.410114049911499</c:v>
                </c:pt>
                <c:pt idx="53">
                  <c:v>-2.566504955291748</c:v>
                </c:pt>
                <c:pt idx="54">
                  <c:v>-2.7448949813842773</c:v>
                </c:pt>
                <c:pt idx="55">
                  <c:v>-2.945857048034668</c:v>
                </c:pt>
                <c:pt idx="56">
                  <c:v>-3.1437520980834961</c:v>
                </c:pt>
                <c:pt idx="57">
                  <c:v>-3.3659539222717285</c:v>
                </c:pt>
                <c:pt idx="58">
                  <c:v>-3.5975809097290039</c:v>
                </c:pt>
                <c:pt idx="59">
                  <c:v>-3.845944881439209</c:v>
                </c:pt>
                <c:pt idx="60">
                  <c:v>-4.1077079772949219</c:v>
                </c:pt>
                <c:pt idx="61">
                  <c:v>-4.3895578384399414</c:v>
                </c:pt>
                <c:pt idx="62">
                  <c:v>-4.6942081451416016</c:v>
                </c:pt>
                <c:pt idx="63">
                  <c:v>-5.0104207992553711</c:v>
                </c:pt>
                <c:pt idx="64">
                  <c:v>-5.3504109382629395</c:v>
                </c:pt>
                <c:pt idx="65">
                  <c:v>-5.7261571884155273</c:v>
                </c:pt>
                <c:pt idx="66">
                  <c:v>-6.1156058311462402</c:v>
                </c:pt>
                <c:pt idx="67">
                  <c:v>-6.5361800193786621</c:v>
                </c:pt>
                <c:pt idx="68">
                  <c:v>-6.977787971496582</c:v>
                </c:pt>
                <c:pt idx="69">
                  <c:v>-7.4469718933105469</c:v>
                </c:pt>
                <c:pt idx="70">
                  <c:v>-7.9573488235473633</c:v>
                </c:pt>
                <c:pt idx="71">
                  <c:v>-8.5004911422729492</c:v>
                </c:pt>
                <c:pt idx="72">
                  <c:v>-9.0698461532592773</c:v>
                </c:pt>
                <c:pt idx="73">
                  <c:v>-9.6857442855834961</c:v>
                </c:pt>
                <c:pt idx="74">
                  <c:v>-10.337849617004395</c:v>
                </c:pt>
                <c:pt idx="75">
                  <c:v>-11.030559539794922</c:v>
                </c:pt>
                <c:pt idx="76">
                  <c:v>-11.767990112304688</c:v>
                </c:pt>
                <c:pt idx="77">
                  <c:v>-12.541119575500488</c:v>
                </c:pt>
                <c:pt idx="78">
                  <c:v>-13.364500045776367</c:v>
                </c:pt>
                <c:pt idx="79">
                  <c:v>-14.244990348815918</c:v>
                </c:pt>
                <c:pt idx="80">
                  <c:v>-15.18220043182373</c:v>
                </c:pt>
                <c:pt idx="81">
                  <c:v>-16.174640655517578</c:v>
                </c:pt>
                <c:pt idx="82">
                  <c:v>-17.240909576416016</c:v>
                </c:pt>
                <c:pt idx="83">
                  <c:v>-18.335409164428711</c:v>
                </c:pt>
                <c:pt idx="84">
                  <c:v>-19.486270904541016</c:v>
                </c:pt>
                <c:pt idx="85">
                  <c:v>-20.731870651245117</c:v>
                </c:pt>
                <c:pt idx="86">
                  <c:v>-22.001729965209961</c:v>
                </c:pt>
                <c:pt idx="87">
                  <c:v>-23.347610473632813</c:v>
                </c:pt>
                <c:pt idx="88">
                  <c:v>-24.755619049072266</c:v>
                </c:pt>
                <c:pt idx="89">
                  <c:v>-26.229059219360352</c:v>
                </c:pt>
                <c:pt idx="90">
                  <c:v>-27.7593994140625</c:v>
                </c:pt>
                <c:pt idx="91">
                  <c:v>-29.347770690917969</c:v>
                </c:pt>
                <c:pt idx="92">
                  <c:v>-30.988979339599609</c:v>
                </c:pt>
                <c:pt idx="93">
                  <c:v>-32.687870025634766</c:v>
                </c:pt>
                <c:pt idx="94">
                  <c:v>-34.433818817138672</c:v>
                </c:pt>
                <c:pt idx="95">
                  <c:v>-36.207729339599609</c:v>
                </c:pt>
                <c:pt idx="96">
                  <c:v>-38.019569396972656</c:v>
                </c:pt>
                <c:pt idx="97">
                  <c:v>-39.858249664306641</c:v>
                </c:pt>
                <c:pt idx="98">
                  <c:v>-41.720958709716797</c:v>
                </c:pt>
                <c:pt idx="99">
                  <c:v>-43.603000640869141</c:v>
                </c:pt>
                <c:pt idx="100">
                  <c:v>-45.485870361328125</c:v>
                </c:pt>
                <c:pt idx="101">
                  <c:v>-47.356819152832031</c:v>
                </c:pt>
                <c:pt idx="102">
                  <c:v>-49.221721649169922</c:v>
                </c:pt>
                <c:pt idx="103">
                  <c:v>-51.0701904296875</c:v>
                </c:pt>
                <c:pt idx="104">
                  <c:v>-52.884849548339844</c:v>
                </c:pt>
                <c:pt idx="105">
                  <c:v>-54.669300079345703</c:v>
                </c:pt>
                <c:pt idx="106">
                  <c:v>-56.410671234130859</c:v>
                </c:pt>
                <c:pt idx="107">
                  <c:v>-58.103748321533203</c:v>
                </c:pt>
                <c:pt idx="108">
                  <c:v>-59.751579284667969</c:v>
                </c:pt>
                <c:pt idx="109">
                  <c:v>-61.344959259033203</c:v>
                </c:pt>
                <c:pt idx="110">
                  <c:v>-62.880619049072266</c:v>
                </c:pt>
                <c:pt idx="111">
                  <c:v>-64.360496520996094</c:v>
                </c:pt>
                <c:pt idx="112">
                  <c:v>-65.774322509765625</c:v>
                </c:pt>
                <c:pt idx="113">
                  <c:v>-67.1328125</c:v>
                </c:pt>
                <c:pt idx="114">
                  <c:v>-68.426612854003906</c:v>
                </c:pt>
                <c:pt idx="115">
                  <c:v>-69.645599365234375</c:v>
                </c:pt>
                <c:pt idx="116">
                  <c:v>-70.818450927734375</c:v>
                </c:pt>
                <c:pt idx="117">
                  <c:v>-71.924026489257813</c:v>
                </c:pt>
                <c:pt idx="118">
                  <c:v>-72.974037170410156</c:v>
                </c:pt>
                <c:pt idx="119">
                  <c:v>-73.963592529296875</c:v>
                </c:pt>
                <c:pt idx="120">
                  <c:v>-74.889373779296875</c:v>
                </c:pt>
                <c:pt idx="121">
                  <c:v>-75.777496337890625</c:v>
                </c:pt>
                <c:pt idx="122">
                  <c:v>-76.615280151367188</c:v>
                </c:pt>
                <c:pt idx="123">
                  <c:v>-77.398086547851563</c:v>
                </c:pt>
                <c:pt idx="124">
                  <c:v>-78.136787414550781</c:v>
                </c:pt>
                <c:pt idx="125">
                  <c:v>-78.8411865234375</c:v>
                </c:pt>
                <c:pt idx="126">
                  <c:v>-79.496932983398438</c:v>
                </c:pt>
                <c:pt idx="127">
                  <c:v>-80.117759704589844</c:v>
                </c:pt>
                <c:pt idx="128">
                  <c:v>-80.691398620605469</c:v>
                </c:pt>
                <c:pt idx="129">
                  <c:v>-81.229286193847656</c:v>
                </c:pt>
                <c:pt idx="130">
                  <c:v>-81.737937927246094</c:v>
                </c:pt>
                <c:pt idx="131">
                  <c:v>-82.217933654785156</c:v>
                </c:pt>
                <c:pt idx="132">
                  <c:v>-82.669723510742188</c:v>
                </c:pt>
                <c:pt idx="133">
                  <c:v>-83.079200744628906</c:v>
                </c:pt>
                <c:pt idx="134">
                  <c:v>-83.470947265625</c:v>
                </c:pt>
                <c:pt idx="135">
                  <c:v>-83.84100341796875</c:v>
                </c:pt>
                <c:pt idx="136">
                  <c:v>-84.195770263671875</c:v>
                </c:pt>
                <c:pt idx="137">
                  <c:v>-84.514671325683594</c:v>
                </c:pt>
                <c:pt idx="138">
                  <c:v>-84.818527221679688</c:v>
                </c:pt>
                <c:pt idx="139">
                  <c:v>-85.101676940917969</c:v>
                </c:pt>
                <c:pt idx="140">
                  <c:v>-85.367996215820313</c:v>
                </c:pt>
                <c:pt idx="141">
                  <c:v>-85.616470336914063</c:v>
                </c:pt>
                <c:pt idx="142">
                  <c:v>-85.8533935546875</c:v>
                </c:pt>
                <c:pt idx="143">
                  <c:v>-86.071968078613281</c:v>
                </c:pt>
                <c:pt idx="144">
                  <c:v>-86.279052734375</c:v>
                </c:pt>
                <c:pt idx="145">
                  <c:v>-86.470733642578125</c:v>
                </c:pt>
                <c:pt idx="146">
                  <c:v>-86.653861999511719</c:v>
                </c:pt>
                <c:pt idx="147">
                  <c:v>-86.823822021484375</c:v>
                </c:pt>
                <c:pt idx="148">
                  <c:v>-86.983657836914063</c:v>
                </c:pt>
                <c:pt idx="149">
                  <c:v>-87.129806518554688</c:v>
                </c:pt>
                <c:pt idx="150">
                  <c:v>-87.275558471679688</c:v>
                </c:pt>
                <c:pt idx="151">
                  <c:v>-87.409919738769531</c:v>
                </c:pt>
                <c:pt idx="152">
                  <c:v>-87.525230407714844</c:v>
                </c:pt>
                <c:pt idx="153">
                  <c:v>-87.644447326660156</c:v>
                </c:pt>
                <c:pt idx="154">
                  <c:v>-87.741317749023438</c:v>
                </c:pt>
                <c:pt idx="155">
                  <c:v>-87.850273132324219</c:v>
                </c:pt>
                <c:pt idx="156">
                  <c:v>-87.950126647949219</c:v>
                </c:pt>
                <c:pt idx="157">
                  <c:v>-88.0506591796875</c:v>
                </c:pt>
                <c:pt idx="158">
                  <c:v>-88.149711608886719</c:v>
                </c:pt>
                <c:pt idx="159">
                  <c:v>-88.232612609863281</c:v>
                </c:pt>
                <c:pt idx="160">
                  <c:v>-88.318336486816406</c:v>
                </c:pt>
                <c:pt idx="161">
                  <c:v>-88.405586242675781</c:v>
                </c:pt>
                <c:pt idx="162">
                  <c:v>-88.492462158203125</c:v>
                </c:pt>
                <c:pt idx="163">
                  <c:v>-88.575981140136719</c:v>
                </c:pt>
                <c:pt idx="164">
                  <c:v>-88.654098510742188</c:v>
                </c:pt>
                <c:pt idx="165">
                  <c:v>-88.734657287597656</c:v>
                </c:pt>
                <c:pt idx="166">
                  <c:v>-88.823341369628906</c:v>
                </c:pt>
                <c:pt idx="167">
                  <c:v>-88.906173706054688</c:v>
                </c:pt>
                <c:pt idx="168">
                  <c:v>-88.998573303222656</c:v>
                </c:pt>
                <c:pt idx="169">
                  <c:v>-89.1021728515625</c:v>
                </c:pt>
                <c:pt idx="170">
                  <c:v>-89.213996887207031</c:v>
                </c:pt>
                <c:pt idx="171">
                  <c:v>-89.337821960449219</c:v>
                </c:pt>
                <c:pt idx="172">
                  <c:v>-89.475288391113281</c:v>
                </c:pt>
                <c:pt idx="173">
                  <c:v>-89.632682800292969</c:v>
                </c:pt>
                <c:pt idx="174">
                  <c:v>-89.835121154785156</c:v>
                </c:pt>
                <c:pt idx="175">
                  <c:v>-90.066017150878906</c:v>
                </c:pt>
                <c:pt idx="176">
                  <c:v>-90.322380065917969</c:v>
                </c:pt>
                <c:pt idx="177">
                  <c:v>-90.634841918945313</c:v>
                </c:pt>
                <c:pt idx="178">
                  <c:v>-91.018608093261719</c:v>
                </c:pt>
                <c:pt idx="179">
                  <c:v>-91.531936645507813</c:v>
                </c:pt>
                <c:pt idx="180">
                  <c:v>-92.21484375</c:v>
                </c:pt>
                <c:pt idx="181">
                  <c:v>-93.144561767578125</c:v>
                </c:pt>
                <c:pt idx="182">
                  <c:v>-94.412582397460938</c:v>
                </c:pt>
                <c:pt idx="183">
                  <c:v>-96.116462707519531</c:v>
                </c:pt>
                <c:pt idx="184">
                  <c:v>-98.361686706542969</c:v>
                </c:pt>
                <c:pt idx="185">
                  <c:v>-101.24089813232422</c:v>
                </c:pt>
                <c:pt idx="186">
                  <c:v>-104.91750335693359</c:v>
                </c:pt>
                <c:pt idx="187">
                  <c:v>-109.79170227050781</c:v>
                </c:pt>
                <c:pt idx="188">
                  <c:v>-117.01969909667969</c:v>
                </c:pt>
                <c:pt idx="189">
                  <c:v>-129.35360717773438</c:v>
                </c:pt>
                <c:pt idx="190">
                  <c:v>-152.31559753417969</c:v>
                </c:pt>
                <c:pt idx="191">
                  <c:v>173.57730102539063</c:v>
                </c:pt>
                <c:pt idx="192">
                  <c:v>143.85859680175781</c:v>
                </c:pt>
                <c:pt idx="193">
                  <c:v>-152.79510498046875</c:v>
                </c:pt>
                <c:pt idx="194">
                  <c:v>-156.12869262695313</c:v>
                </c:pt>
                <c:pt idx="195">
                  <c:v>-160.0303955078125</c:v>
                </c:pt>
                <c:pt idx="196">
                  <c:v>-164.10820007324219</c:v>
                </c:pt>
                <c:pt idx="197">
                  <c:v>-168.32049560546875</c:v>
                </c:pt>
                <c:pt idx="198">
                  <c:v>-172.22340393066406</c:v>
                </c:pt>
                <c:pt idx="199">
                  <c:v>-176.66889953613281</c:v>
                </c:pt>
                <c:pt idx="200">
                  <c:v>178.84890747070313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43-44C1-A791-A1D41570A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859528623"/>
        <c:scaling>
          <c:logBase val="10"/>
          <c:orientation val="minMax"/>
        </c:scaling>
        <c:delete val="0"/>
        <c:axPos val="b"/>
        <c:numFmt formatCode="0.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-1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59528623"/>
        <c:crosses val="autoZero"/>
        <c:crossBetween val="midCat"/>
      </c:valAx>
      <c:valAx>
        <c:axId val="3"/>
        <c:scaling>
          <c:logBase val="10"/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"/>
        <c:crosses val="max"/>
        <c:crossBetween val="midCat"/>
      </c:valAx>
      <c:valAx>
        <c:axId val="4"/>
        <c:scaling>
          <c:orientation val="minMax"/>
        </c:scaling>
        <c:delete val="0"/>
        <c:axPos val="r"/>
        <c:numFmt formatCode="0.0000E+00" sourceLinked="1"/>
        <c:majorTickMark val="none"/>
        <c:minorTickMark val="none"/>
        <c:tickLblPos val="nextTo"/>
        <c:crossAx val="3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6733238231098431"/>
          <c:y val="0.25683114990235761"/>
          <c:w val="0.108416547788873"/>
          <c:h val="0.4754110942205976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|Z| - theta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203791561636277E-2"/>
          <c:y val="0.15027362500433583"/>
          <c:w val="0.64047977727598704"/>
          <c:h val="0.65027495910967148"/>
        </c:manualLayout>
      </c:layout>
      <c:scatterChart>
        <c:scatterStyle val="lineMarker"/>
        <c:varyColors val="0"/>
        <c:ser>
          <c:idx val="0"/>
          <c:order val="0"/>
          <c:tx>
            <c:strRef>
              <c:f>RC_2_1M!$D$10</c:f>
              <c:strCache>
                <c:ptCount val="1"/>
                <c:pt idx="0">
                  <c:v>Data Trace A Real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RC_2_1M!$N$11:$N$211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RC_2_1M!$D$11:$D$211</c:f>
              <c:numCache>
                <c:formatCode>0.0000E+00</c:formatCode>
                <c:ptCount val="201"/>
                <c:pt idx="0">
                  <c:v>988980.125</c:v>
                </c:pt>
                <c:pt idx="1">
                  <c:v>989050.625</c:v>
                </c:pt>
                <c:pt idx="2">
                  <c:v>989004.8125</c:v>
                </c:pt>
                <c:pt idx="3">
                  <c:v>988923</c:v>
                </c:pt>
                <c:pt idx="4">
                  <c:v>989046.625</c:v>
                </c:pt>
                <c:pt idx="5">
                  <c:v>989003.3125</c:v>
                </c:pt>
                <c:pt idx="6">
                  <c:v>988941.375</c:v>
                </c:pt>
                <c:pt idx="7">
                  <c:v>988956.6875</c:v>
                </c:pt>
                <c:pt idx="8">
                  <c:v>989157</c:v>
                </c:pt>
                <c:pt idx="9">
                  <c:v>989141.375</c:v>
                </c:pt>
                <c:pt idx="10">
                  <c:v>989180.125</c:v>
                </c:pt>
                <c:pt idx="11">
                  <c:v>989075.1875</c:v>
                </c:pt>
                <c:pt idx="12">
                  <c:v>989151.6875</c:v>
                </c:pt>
                <c:pt idx="13">
                  <c:v>989132.5</c:v>
                </c:pt>
                <c:pt idx="14">
                  <c:v>989170.6875</c:v>
                </c:pt>
                <c:pt idx="15">
                  <c:v>989185.625</c:v>
                </c:pt>
                <c:pt idx="16">
                  <c:v>989056.375</c:v>
                </c:pt>
                <c:pt idx="17">
                  <c:v>989312.6875</c:v>
                </c:pt>
                <c:pt idx="18">
                  <c:v>989221.625</c:v>
                </c:pt>
                <c:pt idx="19">
                  <c:v>989197.625</c:v>
                </c:pt>
                <c:pt idx="20">
                  <c:v>989122.625</c:v>
                </c:pt>
                <c:pt idx="21">
                  <c:v>989000.1875</c:v>
                </c:pt>
                <c:pt idx="22">
                  <c:v>989017.8125</c:v>
                </c:pt>
                <c:pt idx="23">
                  <c:v>989274.625</c:v>
                </c:pt>
                <c:pt idx="24">
                  <c:v>989219.875</c:v>
                </c:pt>
                <c:pt idx="25">
                  <c:v>989230.125</c:v>
                </c:pt>
                <c:pt idx="26">
                  <c:v>989213.1875</c:v>
                </c:pt>
                <c:pt idx="27">
                  <c:v>988821.625</c:v>
                </c:pt>
                <c:pt idx="28">
                  <c:v>989151.6875</c:v>
                </c:pt>
                <c:pt idx="29">
                  <c:v>989220.375</c:v>
                </c:pt>
                <c:pt idx="30">
                  <c:v>988965.125</c:v>
                </c:pt>
                <c:pt idx="31">
                  <c:v>989065.6875</c:v>
                </c:pt>
                <c:pt idx="32">
                  <c:v>989205.625</c:v>
                </c:pt>
                <c:pt idx="33">
                  <c:v>989216.1875</c:v>
                </c:pt>
                <c:pt idx="34">
                  <c:v>989099.875</c:v>
                </c:pt>
                <c:pt idx="35">
                  <c:v>989087.375</c:v>
                </c:pt>
                <c:pt idx="36">
                  <c:v>989099.125</c:v>
                </c:pt>
                <c:pt idx="37">
                  <c:v>988913.375</c:v>
                </c:pt>
                <c:pt idx="38">
                  <c:v>988921.6875</c:v>
                </c:pt>
                <c:pt idx="39">
                  <c:v>989031.1875</c:v>
                </c:pt>
                <c:pt idx="40">
                  <c:v>988904.3125</c:v>
                </c:pt>
                <c:pt idx="41">
                  <c:v>989003.625</c:v>
                </c:pt>
                <c:pt idx="42">
                  <c:v>989021.625</c:v>
                </c:pt>
                <c:pt idx="43">
                  <c:v>988991.1875</c:v>
                </c:pt>
                <c:pt idx="44">
                  <c:v>989008.3125</c:v>
                </c:pt>
                <c:pt idx="45">
                  <c:v>988950.625</c:v>
                </c:pt>
                <c:pt idx="46">
                  <c:v>988859</c:v>
                </c:pt>
                <c:pt idx="47">
                  <c:v>988672.3125</c:v>
                </c:pt>
                <c:pt idx="48">
                  <c:v>988544.3125</c:v>
                </c:pt>
                <c:pt idx="49">
                  <c:v>988536.625</c:v>
                </c:pt>
                <c:pt idx="50">
                  <c:v>988469.375</c:v>
                </c:pt>
                <c:pt idx="51">
                  <c:v>988480.1875</c:v>
                </c:pt>
                <c:pt idx="52">
                  <c:v>988396.1875</c:v>
                </c:pt>
                <c:pt idx="53">
                  <c:v>988226.875</c:v>
                </c:pt>
                <c:pt idx="54">
                  <c:v>988241.3125</c:v>
                </c:pt>
                <c:pt idx="55">
                  <c:v>988147.8125</c:v>
                </c:pt>
                <c:pt idx="56">
                  <c:v>987802.3125</c:v>
                </c:pt>
                <c:pt idx="57">
                  <c:v>987788.875</c:v>
                </c:pt>
                <c:pt idx="58">
                  <c:v>987431.125</c:v>
                </c:pt>
                <c:pt idx="59">
                  <c:v>987222.1875</c:v>
                </c:pt>
                <c:pt idx="60">
                  <c:v>987052.875</c:v>
                </c:pt>
                <c:pt idx="61">
                  <c:v>986826.1875</c:v>
                </c:pt>
                <c:pt idx="62">
                  <c:v>986436.5</c:v>
                </c:pt>
                <c:pt idx="63">
                  <c:v>986001.625</c:v>
                </c:pt>
                <c:pt idx="64">
                  <c:v>985614.625</c:v>
                </c:pt>
                <c:pt idx="65">
                  <c:v>985123</c:v>
                </c:pt>
                <c:pt idx="66">
                  <c:v>984670</c:v>
                </c:pt>
                <c:pt idx="67">
                  <c:v>984018.6875</c:v>
                </c:pt>
                <c:pt idx="68">
                  <c:v>983284.1875</c:v>
                </c:pt>
                <c:pt idx="69">
                  <c:v>982560.375</c:v>
                </c:pt>
                <c:pt idx="70">
                  <c:v>981792.625</c:v>
                </c:pt>
                <c:pt idx="71">
                  <c:v>980549.625</c:v>
                </c:pt>
                <c:pt idx="72">
                  <c:v>979382.1875</c:v>
                </c:pt>
                <c:pt idx="73">
                  <c:v>978057.6875</c:v>
                </c:pt>
                <c:pt idx="74">
                  <c:v>976641.375</c:v>
                </c:pt>
                <c:pt idx="75">
                  <c:v>974828</c:v>
                </c:pt>
                <c:pt idx="76">
                  <c:v>972987.5</c:v>
                </c:pt>
                <c:pt idx="77">
                  <c:v>970886.375</c:v>
                </c:pt>
                <c:pt idx="78">
                  <c:v>968363</c:v>
                </c:pt>
                <c:pt idx="79">
                  <c:v>965690.5</c:v>
                </c:pt>
                <c:pt idx="80">
                  <c:v>962373.1875</c:v>
                </c:pt>
                <c:pt idx="81">
                  <c:v>959110.875</c:v>
                </c:pt>
                <c:pt idx="82">
                  <c:v>955232</c:v>
                </c:pt>
                <c:pt idx="83">
                  <c:v>950609.375</c:v>
                </c:pt>
                <c:pt idx="84">
                  <c:v>945644.6875</c:v>
                </c:pt>
                <c:pt idx="85">
                  <c:v>940008.1875</c:v>
                </c:pt>
                <c:pt idx="86">
                  <c:v>933787.875</c:v>
                </c:pt>
                <c:pt idx="87">
                  <c:v>926669.125</c:v>
                </c:pt>
                <c:pt idx="88">
                  <c:v>918723</c:v>
                </c:pt>
                <c:pt idx="89">
                  <c:v>910046.625</c:v>
                </c:pt>
                <c:pt idx="90">
                  <c:v>900380.1875</c:v>
                </c:pt>
                <c:pt idx="91">
                  <c:v>889743.8125</c:v>
                </c:pt>
                <c:pt idx="92">
                  <c:v>878000.6875</c:v>
                </c:pt>
                <c:pt idx="93">
                  <c:v>865210</c:v>
                </c:pt>
                <c:pt idx="94">
                  <c:v>851161.1875</c:v>
                </c:pt>
                <c:pt idx="95">
                  <c:v>836090.125</c:v>
                </c:pt>
                <c:pt idx="96">
                  <c:v>819702.625</c:v>
                </c:pt>
                <c:pt idx="97">
                  <c:v>802136.6875</c:v>
                </c:pt>
                <c:pt idx="98">
                  <c:v>783466.6875</c:v>
                </c:pt>
                <c:pt idx="99">
                  <c:v>763621.5</c:v>
                </c:pt>
                <c:pt idx="100">
                  <c:v>742764.875</c:v>
                </c:pt>
                <c:pt idx="101">
                  <c:v>720861.125</c:v>
                </c:pt>
                <c:pt idx="102">
                  <c:v>698043.6875</c:v>
                </c:pt>
                <c:pt idx="103">
                  <c:v>674551.625</c:v>
                </c:pt>
                <c:pt idx="104">
                  <c:v>650425</c:v>
                </c:pt>
                <c:pt idx="105">
                  <c:v>625692.5</c:v>
                </c:pt>
                <c:pt idx="106">
                  <c:v>600747.375</c:v>
                </c:pt>
                <c:pt idx="107">
                  <c:v>575618.8125</c:v>
                </c:pt>
                <c:pt idx="108">
                  <c:v>550413.625</c:v>
                </c:pt>
                <c:pt idx="109">
                  <c:v>525340.625</c:v>
                </c:pt>
                <c:pt idx="110">
                  <c:v>500508.1875</c:v>
                </c:pt>
                <c:pt idx="111">
                  <c:v>476083.8125</c:v>
                </c:pt>
                <c:pt idx="112">
                  <c:v>452116</c:v>
                </c:pt>
                <c:pt idx="113">
                  <c:v>428694.6875</c:v>
                </c:pt>
                <c:pt idx="114">
                  <c:v>405955.90625</c:v>
                </c:pt>
                <c:pt idx="115">
                  <c:v>383963.59375</c:v>
                </c:pt>
                <c:pt idx="116">
                  <c:v>362742.09375</c:v>
                </c:pt>
                <c:pt idx="117">
                  <c:v>342397.59375</c:v>
                </c:pt>
                <c:pt idx="118">
                  <c:v>322837.8125</c:v>
                </c:pt>
                <c:pt idx="119">
                  <c:v>304129.6875</c:v>
                </c:pt>
                <c:pt idx="120">
                  <c:v>286320.40625</c:v>
                </c:pt>
                <c:pt idx="121">
                  <c:v>269356.8125</c:v>
                </c:pt>
                <c:pt idx="122">
                  <c:v>253159.296875</c:v>
                </c:pt>
                <c:pt idx="123">
                  <c:v>237871.90625</c:v>
                </c:pt>
                <c:pt idx="124">
                  <c:v>223420</c:v>
                </c:pt>
                <c:pt idx="125">
                  <c:v>209784.796875</c:v>
                </c:pt>
                <c:pt idx="126">
                  <c:v>196877.796875</c:v>
                </c:pt>
                <c:pt idx="127">
                  <c:v>184701.796875</c:v>
                </c:pt>
                <c:pt idx="128">
                  <c:v>173226.40625</c:v>
                </c:pt>
                <c:pt idx="129">
                  <c:v>162422.09375</c:v>
                </c:pt>
                <c:pt idx="130">
                  <c:v>152252.40625</c:v>
                </c:pt>
                <c:pt idx="131">
                  <c:v>142715.59375</c:v>
                </c:pt>
                <c:pt idx="132">
                  <c:v>133736.203125</c:v>
                </c:pt>
                <c:pt idx="133">
                  <c:v>125288</c:v>
                </c:pt>
                <c:pt idx="134">
                  <c:v>117369.296875</c:v>
                </c:pt>
                <c:pt idx="135">
                  <c:v>109946.703125</c:v>
                </c:pt>
                <c:pt idx="136">
                  <c:v>102978.203125</c:v>
                </c:pt>
                <c:pt idx="137">
                  <c:v>96440.1171875</c:v>
                </c:pt>
                <c:pt idx="138">
                  <c:v>90310.546875</c:v>
                </c:pt>
                <c:pt idx="139">
                  <c:v>84567.9375</c:v>
                </c:pt>
                <c:pt idx="140">
                  <c:v>79184</c:v>
                </c:pt>
                <c:pt idx="141">
                  <c:v>74147.2578125</c:v>
                </c:pt>
                <c:pt idx="142">
                  <c:v>69425.34375</c:v>
                </c:pt>
                <c:pt idx="143">
                  <c:v>65006.25</c:v>
                </c:pt>
                <c:pt idx="144">
                  <c:v>60863.78125</c:v>
                </c:pt>
                <c:pt idx="145">
                  <c:v>56988.69921875</c:v>
                </c:pt>
                <c:pt idx="146">
                  <c:v>53359.08984375</c:v>
                </c:pt>
                <c:pt idx="147">
                  <c:v>49965.28125</c:v>
                </c:pt>
                <c:pt idx="148">
                  <c:v>46788.03125</c:v>
                </c:pt>
                <c:pt idx="149">
                  <c:v>43811.078125</c:v>
                </c:pt>
                <c:pt idx="150">
                  <c:v>41028.48046875</c:v>
                </c:pt>
                <c:pt idx="151">
                  <c:v>38424.078125</c:v>
                </c:pt>
                <c:pt idx="152">
                  <c:v>35989.80859375</c:v>
                </c:pt>
                <c:pt idx="153">
                  <c:v>33706.6015625</c:v>
                </c:pt>
                <c:pt idx="154">
                  <c:v>31573.150390625</c:v>
                </c:pt>
                <c:pt idx="155">
                  <c:v>29581.619140625</c:v>
                </c:pt>
                <c:pt idx="156">
                  <c:v>27717.140625</c:v>
                </c:pt>
                <c:pt idx="157">
                  <c:v>25981.080078125</c:v>
                </c:pt>
                <c:pt idx="158">
                  <c:v>24359.169921875</c:v>
                </c:pt>
                <c:pt idx="159">
                  <c:v>22842.470703125</c:v>
                </c:pt>
                <c:pt idx="160">
                  <c:v>21425.94921875</c:v>
                </c:pt>
                <c:pt idx="161">
                  <c:v>20103.51953125</c:v>
                </c:pt>
                <c:pt idx="162">
                  <c:v>18870.619140625</c:v>
                </c:pt>
                <c:pt idx="163">
                  <c:v>17721.359375</c:v>
                </c:pt>
                <c:pt idx="164">
                  <c:v>16650.5390625</c:v>
                </c:pt>
                <c:pt idx="165">
                  <c:v>15653.33984375</c:v>
                </c:pt>
                <c:pt idx="166">
                  <c:v>14724.669921875</c:v>
                </c:pt>
                <c:pt idx="167">
                  <c:v>13863.9697265625</c:v>
                </c:pt>
                <c:pt idx="168">
                  <c:v>13063.75</c:v>
                </c:pt>
                <c:pt idx="169">
                  <c:v>12320.3798828125</c:v>
                </c:pt>
                <c:pt idx="170">
                  <c:v>11635.509765625</c:v>
                </c:pt>
                <c:pt idx="171">
                  <c:v>11003.6904296875</c:v>
                </c:pt>
                <c:pt idx="172">
                  <c:v>10422.5703125</c:v>
                </c:pt>
                <c:pt idx="173">
                  <c:v>9893.0537109375</c:v>
                </c:pt>
                <c:pt idx="174">
                  <c:v>9410.333984375</c:v>
                </c:pt>
                <c:pt idx="175">
                  <c:v>8970.3916015625</c:v>
                </c:pt>
                <c:pt idx="176">
                  <c:v>8577.849609375</c:v>
                </c:pt>
                <c:pt idx="177">
                  <c:v>8234.787109375</c:v>
                </c:pt>
                <c:pt idx="178">
                  <c:v>7943.15380859375</c:v>
                </c:pt>
                <c:pt idx="179">
                  <c:v>7704.69482421875</c:v>
                </c:pt>
                <c:pt idx="180">
                  <c:v>7523.02294921875</c:v>
                </c:pt>
                <c:pt idx="181">
                  <c:v>7401.18701171875</c:v>
                </c:pt>
                <c:pt idx="182">
                  <c:v>7342.634765625</c:v>
                </c:pt>
                <c:pt idx="183">
                  <c:v>7351.8271484375</c:v>
                </c:pt>
                <c:pt idx="184">
                  <c:v>7433.59521484375</c:v>
                </c:pt>
                <c:pt idx="185">
                  <c:v>7603.64697265625</c:v>
                </c:pt>
                <c:pt idx="186">
                  <c:v>7900.7841796875</c:v>
                </c:pt>
                <c:pt idx="187">
                  <c:v>8414.150390625</c:v>
                </c:pt>
                <c:pt idx="188">
                  <c:v>9292.3642578125</c:v>
                </c:pt>
                <c:pt idx="189">
                  <c:v>10641.8798828125</c:v>
                </c:pt>
                <c:pt idx="190">
                  <c:v>11811.490234375</c:v>
                </c:pt>
                <c:pt idx="191">
                  <c:v>10361.080078125</c:v>
                </c:pt>
                <c:pt idx="192">
                  <c:v>7076.51611328125</c:v>
                </c:pt>
                <c:pt idx="193">
                  <c:v>1349.3199462890625</c:v>
                </c:pt>
                <c:pt idx="194">
                  <c:v>1201.1729736328125</c:v>
                </c:pt>
                <c:pt idx="195">
                  <c:v>1065.4820556640625</c:v>
                </c:pt>
                <c:pt idx="196">
                  <c:v>932.49029541015625</c:v>
                </c:pt>
                <c:pt idx="197">
                  <c:v>805.2877197265625</c:v>
                </c:pt>
                <c:pt idx="198">
                  <c:v>689.7462158203125</c:v>
                </c:pt>
                <c:pt idx="199">
                  <c:v>587.55499267578125</c:v>
                </c:pt>
                <c:pt idx="200">
                  <c:v>491.1802978515625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FF-4B58-92BA-31565A881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528623"/>
        <c:axId val="1"/>
      </c:scatterChart>
      <c:scatterChart>
        <c:scatterStyle val="lineMarker"/>
        <c:varyColors val="0"/>
        <c:ser>
          <c:idx val="1"/>
          <c:order val="1"/>
          <c:tx>
            <c:strRef>
              <c:f>RC_2_1M!$F$10</c:f>
              <c:strCache>
                <c:ptCount val="1"/>
                <c:pt idx="0">
                  <c:v>Data Trace B Real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chemeClr val="bg1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RC_2_1M!$N$11:$N$211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RC_2_1M!$F$11:$F$211</c:f>
              <c:numCache>
                <c:formatCode>0.0000E+00</c:formatCode>
                <c:ptCount val="201"/>
                <c:pt idx="0">
                  <c:v>-1.5278720296919346E-2</c:v>
                </c:pt>
                <c:pt idx="1">
                  <c:v>-4.9670200794935226E-2</c:v>
                </c:pt>
                <c:pt idx="2">
                  <c:v>-3.5905029624700546E-2</c:v>
                </c:pt>
                <c:pt idx="3">
                  <c:v>-4.952457919716835E-2</c:v>
                </c:pt>
                <c:pt idx="4">
                  <c:v>-4.2445261031389236E-2</c:v>
                </c:pt>
                <c:pt idx="5">
                  <c:v>-5.3920689970254898E-2</c:v>
                </c:pt>
                <c:pt idx="6">
                  <c:v>-6.0202769935131073E-2</c:v>
                </c:pt>
                <c:pt idx="7">
                  <c:v>-8.9402437210083008E-2</c:v>
                </c:pt>
                <c:pt idx="8">
                  <c:v>-8.2057036459445953E-2</c:v>
                </c:pt>
                <c:pt idx="9">
                  <c:v>-9.5216378569602966E-2</c:v>
                </c:pt>
                <c:pt idx="10">
                  <c:v>-9.8293162882328033E-2</c:v>
                </c:pt>
                <c:pt idx="11">
                  <c:v>-0.11903680115938187</c:v>
                </c:pt>
                <c:pt idx="12">
                  <c:v>-0.11844170093536377</c:v>
                </c:pt>
                <c:pt idx="13">
                  <c:v>-0.12937849760055542</c:v>
                </c:pt>
                <c:pt idx="14">
                  <c:v>-0.14870600402355194</c:v>
                </c:pt>
                <c:pt idx="15">
                  <c:v>-0.14823439717292786</c:v>
                </c:pt>
                <c:pt idx="16">
                  <c:v>-0.17078240215778351</c:v>
                </c:pt>
                <c:pt idx="17">
                  <c:v>-0.18367080390453339</c:v>
                </c:pt>
                <c:pt idx="18">
                  <c:v>-0.20757840573787689</c:v>
                </c:pt>
                <c:pt idx="19">
                  <c:v>-0.21876919269561768</c:v>
                </c:pt>
                <c:pt idx="20">
                  <c:v>-0.23506970703601837</c:v>
                </c:pt>
                <c:pt idx="21">
                  <c:v>-0.24363219738006592</c:v>
                </c:pt>
                <c:pt idx="22">
                  <c:v>-0.27523830533027649</c:v>
                </c:pt>
                <c:pt idx="23">
                  <c:v>-0.28093299269676208</c:v>
                </c:pt>
                <c:pt idx="24">
                  <c:v>-0.29398930072784424</c:v>
                </c:pt>
                <c:pt idx="25">
                  <c:v>-0.33277618885040283</c:v>
                </c:pt>
                <c:pt idx="26">
                  <c:v>-0.34209978580474854</c:v>
                </c:pt>
                <c:pt idx="27">
                  <c:v>-0.38437739014625549</c:v>
                </c:pt>
                <c:pt idx="28">
                  <c:v>-0.39173710346221924</c:v>
                </c:pt>
                <c:pt idx="29">
                  <c:v>-0.43953201174736023</c:v>
                </c:pt>
                <c:pt idx="30">
                  <c:v>-0.45991501212120056</c:v>
                </c:pt>
                <c:pt idx="31">
                  <c:v>-0.49398091435432434</c:v>
                </c:pt>
                <c:pt idx="32">
                  <c:v>-0.52614891529083252</c:v>
                </c:pt>
                <c:pt idx="33">
                  <c:v>-0.56093382835388184</c:v>
                </c:pt>
                <c:pt idx="34">
                  <c:v>-0.61513382196426392</c:v>
                </c:pt>
                <c:pt idx="35">
                  <c:v>-0.65497738122940063</c:v>
                </c:pt>
                <c:pt idx="36">
                  <c:v>-0.69999247789382935</c:v>
                </c:pt>
                <c:pt idx="37">
                  <c:v>-0.75443220138549805</c:v>
                </c:pt>
                <c:pt idx="38">
                  <c:v>-0.79797327518463135</c:v>
                </c:pt>
                <c:pt idx="39">
                  <c:v>-0.85752612352371216</c:v>
                </c:pt>
                <c:pt idx="40">
                  <c:v>-0.91627627611160278</c:v>
                </c:pt>
                <c:pt idx="41">
                  <c:v>-0.97697597742080688</c:v>
                </c:pt>
                <c:pt idx="42">
                  <c:v>-1.0513520240783691</c:v>
                </c:pt>
                <c:pt idx="43">
                  <c:v>-1.1196080446243286</c:v>
                </c:pt>
                <c:pt idx="44">
                  <c:v>-1.1955260038375854</c:v>
                </c:pt>
                <c:pt idx="45">
                  <c:v>-1.2778220176696777</c:v>
                </c:pt>
                <c:pt idx="46">
                  <c:v>-1.3628940582275391</c:v>
                </c:pt>
                <c:pt idx="47">
                  <c:v>-1.4356310367584229</c:v>
                </c:pt>
                <c:pt idx="48">
                  <c:v>-1.5494749546051025</c:v>
                </c:pt>
                <c:pt idx="49">
                  <c:v>-1.6609300374984741</c:v>
                </c:pt>
                <c:pt idx="50">
                  <c:v>-1.7718249559402466</c:v>
                </c:pt>
                <c:pt idx="51">
                  <c:v>-1.8956429958343506</c:v>
                </c:pt>
                <c:pt idx="52">
                  <c:v>-2.0255839824676514</c:v>
                </c:pt>
                <c:pt idx="53">
                  <c:v>-2.1712110042572021</c:v>
                </c:pt>
                <c:pt idx="54">
                  <c:v>-2.3100190162658691</c:v>
                </c:pt>
                <c:pt idx="55">
                  <c:v>-2.4788670539855957</c:v>
                </c:pt>
                <c:pt idx="56">
                  <c:v>-2.6464810371398926</c:v>
                </c:pt>
                <c:pt idx="57">
                  <c:v>-2.8398890495300293</c:v>
                </c:pt>
                <c:pt idx="58">
                  <c:v>-3.0436511039733887</c:v>
                </c:pt>
                <c:pt idx="59">
                  <c:v>-3.2508900165557861</c:v>
                </c:pt>
                <c:pt idx="60">
                  <c:v>-3.4714078903198242</c:v>
                </c:pt>
                <c:pt idx="61">
                  <c:v>-3.7015650272369385</c:v>
                </c:pt>
                <c:pt idx="62">
                  <c:v>-3.9689569473266602</c:v>
                </c:pt>
                <c:pt idx="63">
                  <c:v>-4.2449460029602051</c:v>
                </c:pt>
                <c:pt idx="64">
                  <c:v>-4.5358481407165527</c:v>
                </c:pt>
                <c:pt idx="65">
                  <c:v>-4.8543858528137207</c:v>
                </c:pt>
                <c:pt idx="66">
                  <c:v>-5.1848139762878418</c:v>
                </c:pt>
                <c:pt idx="67">
                  <c:v>-5.5350298881530762</c:v>
                </c:pt>
                <c:pt idx="68">
                  <c:v>-5.9077348709106445</c:v>
                </c:pt>
                <c:pt idx="69">
                  <c:v>-6.3221597671508789</c:v>
                </c:pt>
                <c:pt idx="70">
                  <c:v>-6.7581892013549805</c:v>
                </c:pt>
                <c:pt idx="71">
                  <c:v>-7.2149372100830078</c:v>
                </c:pt>
                <c:pt idx="72">
                  <c:v>-7.7062277793884277</c:v>
                </c:pt>
                <c:pt idx="73">
                  <c:v>-8.2278537750244141</c:v>
                </c:pt>
                <c:pt idx="74">
                  <c:v>-8.7930793762207031</c:v>
                </c:pt>
                <c:pt idx="75">
                  <c:v>-9.3835458755493164</c:v>
                </c:pt>
                <c:pt idx="76">
                  <c:v>-10.015810012817383</c:v>
                </c:pt>
                <c:pt idx="77">
                  <c:v>-10.686960220336914</c:v>
                </c:pt>
                <c:pt idx="78">
                  <c:v>-11.410079956054688</c:v>
                </c:pt>
                <c:pt idx="79">
                  <c:v>-12.16703987121582</c:v>
                </c:pt>
                <c:pt idx="80">
                  <c:v>-12.981630325317383</c:v>
                </c:pt>
                <c:pt idx="81">
                  <c:v>-13.840410232543945</c:v>
                </c:pt>
                <c:pt idx="82">
                  <c:v>-14.779950141906738</c:v>
                </c:pt>
                <c:pt idx="83">
                  <c:v>-15.725810050964355</c:v>
                </c:pt>
                <c:pt idx="84">
                  <c:v>-16.745550155639648</c:v>
                </c:pt>
                <c:pt idx="85">
                  <c:v>-17.830219268798828</c:v>
                </c:pt>
                <c:pt idx="86">
                  <c:v>-18.973030090332031</c:v>
                </c:pt>
                <c:pt idx="87">
                  <c:v>-20.1610107421875</c:v>
                </c:pt>
                <c:pt idx="88">
                  <c:v>-21.432390213012695</c:v>
                </c:pt>
                <c:pt idx="89">
                  <c:v>-22.750749588012695</c:v>
                </c:pt>
                <c:pt idx="90">
                  <c:v>-24.142810821533203</c:v>
                </c:pt>
                <c:pt idx="91">
                  <c:v>-25.5872802734375</c:v>
                </c:pt>
                <c:pt idx="92">
                  <c:v>-27.10059928894043</c:v>
                </c:pt>
                <c:pt idx="93">
                  <c:v>-28.671039581298828</c:v>
                </c:pt>
                <c:pt idx="94">
                  <c:v>-30.306350708007813</c:v>
                </c:pt>
                <c:pt idx="95">
                  <c:v>-31.98076057434082</c:v>
                </c:pt>
                <c:pt idx="96">
                  <c:v>-33.705429077148438</c:v>
                </c:pt>
                <c:pt idx="97">
                  <c:v>-35.473911285400391</c:v>
                </c:pt>
                <c:pt idx="98">
                  <c:v>-37.291370391845703</c:v>
                </c:pt>
                <c:pt idx="99">
                  <c:v>-39.133399963378906</c:v>
                </c:pt>
                <c:pt idx="100">
                  <c:v>-41.000770568847656</c:v>
                </c:pt>
                <c:pt idx="101">
                  <c:v>-42.880340576171875</c:v>
                </c:pt>
                <c:pt idx="102">
                  <c:v>-44.776439666748047</c:v>
                </c:pt>
                <c:pt idx="103">
                  <c:v>-46.659549713134766</c:v>
                </c:pt>
                <c:pt idx="104">
                  <c:v>-48.547580718994141</c:v>
                </c:pt>
                <c:pt idx="105">
                  <c:v>-50.416671752929688</c:v>
                </c:pt>
                <c:pt idx="106">
                  <c:v>-52.253490447998047</c:v>
                </c:pt>
                <c:pt idx="107">
                  <c:v>-54.060291290283203</c:v>
                </c:pt>
                <c:pt idx="108">
                  <c:v>-55.833629608154297</c:v>
                </c:pt>
                <c:pt idx="109">
                  <c:v>-57.566440582275391</c:v>
                </c:pt>
                <c:pt idx="110">
                  <c:v>-59.243499755859375</c:v>
                </c:pt>
                <c:pt idx="111">
                  <c:v>-60.869041442871094</c:v>
                </c:pt>
                <c:pt idx="112">
                  <c:v>-62.451339721679688</c:v>
                </c:pt>
                <c:pt idx="113">
                  <c:v>-63.952301025390625</c:v>
                </c:pt>
                <c:pt idx="114">
                  <c:v>-65.408096313476563</c:v>
                </c:pt>
                <c:pt idx="115">
                  <c:v>-66.794120788574219</c:v>
                </c:pt>
                <c:pt idx="116">
                  <c:v>-68.114959716796875</c:v>
                </c:pt>
                <c:pt idx="117">
                  <c:v>-69.370536804199219</c:v>
                </c:pt>
                <c:pt idx="118">
                  <c:v>-70.570953369140625</c:v>
                </c:pt>
                <c:pt idx="119">
                  <c:v>-71.714057922363281</c:v>
                </c:pt>
                <c:pt idx="120">
                  <c:v>-72.791648864746094</c:v>
                </c:pt>
                <c:pt idx="121">
                  <c:v>-73.815338134765625</c:v>
                </c:pt>
                <c:pt idx="122">
                  <c:v>-74.764358520507813</c:v>
                </c:pt>
                <c:pt idx="123">
                  <c:v>-75.673980712890625</c:v>
                </c:pt>
                <c:pt idx="124">
                  <c:v>-76.534492492675781</c:v>
                </c:pt>
                <c:pt idx="125">
                  <c:v>-77.346336364746094</c:v>
                </c:pt>
                <c:pt idx="126">
                  <c:v>-78.110977172851563</c:v>
                </c:pt>
                <c:pt idx="127">
                  <c:v>-78.831260681152344</c:v>
                </c:pt>
                <c:pt idx="128">
                  <c:v>-79.501609802246094</c:v>
                </c:pt>
                <c:pt idx="129">
                  <c:v>-80.141471862792969</c:v>
                </c:pt>
                <c:pt idx="130">
                  <c:v>-80.731781005859375</c:v>
                </c:pt>
                <c:pt idx="131">
                  <c:v>-81.294120788574219</c:v>
                </c:pt>
                <c:pt idx="132">
                  <c:v>-81.817146301269531</c:v>
                </c:pt>
                <c:pt idx="133">
                  <c:v>-82.306053161621094</c:v>
                </c:pt>
                <c:pt idx="134">
                  <c:v>-82.758979797363281</c:v>
                </c:pt>
                <c:pt idx="135">
                  <c:v>-83.199722290039063</c:v>
                </c:pt>
                <c:pt idx="136">
                  <c:v>-83.6085205078125</c:v>
                </c:pt>
                <c:pt idx="137">
                  <c:v>-83.988677978515625</c:v>
                </c:pt>
                <c:pt idx="138">
                  <c:v>-84.340507507324219</c:v>
                </c:pt>
                <c:pt idx="139">
                  <c:v>-84.674568176269531</c:v>
                </c:pt>
                <c:pt idx="140">
                  <c:v>-84.99188232421875</c:v>
                </c:pt>
                <c:pt idx="141">
                  <c:v>-85.284072875976563</c:v>
                </c:pt>
                <c:pt idx="142">
                  <c:v>-85.560539245605469</c:v>
                </c:pt>
                <c:pt idx="143">
                  <c:v>-85.81646728515625</c:v>
                </c:pt>
                <c:pt idx="144">
                  <c:v>-86.052497863769531</c:v>
                </c:pt>
                <c:pt idx="145">
                  <c:v>-86.282463073730469</c:v>
                </c:pt>
                <c:pt idx="146">
                  <c:v>-86.491378784179688</c:v>
                </c:pt>
                <c:pt idx="147">
                  <c:v>-86.698646545410156</c:v>
                </c:pt>
                <c:pt idx="148">
                  <c:v>-86.884986877441406</c:v>
                </c:pt>
                <c:pt idx="149">
                  <c:v>-87.064506530761719</c:v>
                </c:pt>
                <c:pt idx="150">
                  <c:v>-87.228103637695313</c:v>
                </c:pt>
                <c:pt idx="151">
                  <c:v>-87.385452270507813</c:v>
                </c:pt>
                <c:pt idx="152">
                  <c:v>-87.532913208007813</c:v>
                </c:pt>
                <c:pt idx="153">
                  <c:v>-87.672836303710938</c:v>
                </c:pt>
                <c:pt idx="154">
                  <c:v>-87.771446228027344</c:v>
                </c:pt>
                <c:pt idx="155">
                  <c:v>-87.909011840820313</c:v>
                </c:pt>
                <c:pt idx="156">
                  <c:v>-88.020973205566406</c:v>
                </c:pt>
                <c:pt idx="157">
                  <c:v>-88.135276794433594</c:v>
                </c:pt>
                <c:pt idx="158">
                  <c:v>-88.24395751953125</c:v>
                </c:pt>
                <c:pt idx="159">
                  <c:v>-88.346076965332031</c:v>
                </c:pt>
                <c:pt idx="160">
                  <c:v>-88.446769714355469</c:v>
                </c:pt>
                <c:pt idx="161">
                  <c:v>-88.546920776367188</c:v>
                </c:pt>
                <c:pt idx="162">
                  <c:v>-88.637802124023438</c:v>
                </c:pt>
                <c:pt idx="163">
                  <c:v>-88.730720520019531</c:v>
                </c:pt>
                <c:pt idx="164">
                  <c:v>-88.822639465332031</c:v>
                </c:pt>
                <c:pt idx="165">
                  <c:v>-88.910110473632813</c:v>
                </c:pt>
                <c:pt idx="166">
                  <c:v>-89.010818481445313</c:v>
                </c:pt>
                <c:pt idx="167">
                  <c:v>-89.106643676757813</c:v>
                </c:pt>
                <c:pt idx="168">
                  <c:v>-89.2076416015625</c:v>
                </c:pt>
                <c:pt idx="169">
                  <c:v>-89.321853637695313</c:v>
                </c:pt>
                <c:pt idx="170">
                  <c:v>-89.444869995117188</c:v>
                </c:pt>
                <c:pt idx="171">
                  <c:v>-89.580253601074219</c:v>
                </c:pt>
                <c:pt idx="172">
                  <c:v>-89.728759765625</c:v>
                </c:pt>
                <c:pt idx="173">
                  <c:v>-89.901176452636719</c:v>
                </c:pt>
                <c:pt idx="174">
                  <c:v>-90.121566772460938</c:v>
                </c:pt>
                <c:pt idx="175">
                  <c:v>-90.37506103515625</c:v>
                </c:pt>
                <c:pt idx="176">
                  <c:v>-90.653976440429688</c:v>
                </c:pt>
                <c:pt idx="177">
                  <c:v>-90.992889404296875</c:v>
                </c:pt>
                <c:pt idx="178">
                  <c:v>-91.412300109863281</c:v>
                </c:pt>
                <c:pt idx="179">
                  <c:v>-91.972732543945313</c:v>
                </c:pt>
                <c:pt idx="180">
                  <c:v>-92.72125244140625</c:v>
                </c:pt>
                <c:pt idx="181">
                  <c:v>-93.74639892578125</c:v>
                </c:pt>
                <c:pt idx="182">
                  <c:v>-95.154350280761719</c:v>
                </c:pt>
                <c:pt idx="183">
                  <c:v>-97.058563232421875</c:v>
                </c:pt>
                <c:pt idx="184">
                  <c:v>-99.5841064453125</c:v>
                </c:pt>
                <c:pt idx="185">
                  <c:v>-102.83519744873047</c:v>
                </c:pt>
                <c:pt idx="186">
                  <c:v>-106.97709655761719</c:v>
                </c:pt>
                <c:pt idx="187">
                  <c:v>-112.45279693603516</c:v>
                </c:pt>
                <c:pt idx="188">
                  <c:v>-120.55870056152344</c:v>
                </c:pt>
                <c:pt idx="189">
                  <c:v>-134.16610717773438</c:v>
                </c:pt>
                <c:pt idx="190">
                  <c:v>-158.12199401855469</c:v>
                </c:pt>
                <c:pt idx="191">
                  <c:v>169.85330200195313</c:v>
                </c:pt>
                <c:pt idx="192">
                  <c:v>142.92579650878906</c:v>
                </c:pt>
                <c:pt idx="193">
                  <c:v>-153.30650329589844</c:v>
                </c:pt>
                <c:pt idx="194">
                  <c:v>-156.52200317382813</c:v>
                </c:pt>
                <c:pt idx="195">
                  <c:v>-160.50399780273438</c:v>
                </c:pt>
                <c:pt idx="196">
                  <c:v>-164.63600158691406</c:v>
                </c:pt>
                <c:pt idx="197">
                  <c:v>-168.87469482421875</c:v>
                </c:pt>
                <c:pt idx="198">
                  <c:v>-172.67750549316406</c:v>
                </c:pt>
                <c:pt idx="199">
                  <c:v>-177.16389465332031</c:v>
                </c:pt>
                <c:pt idx="200">
                  <c:v>178.34170532226563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FF-4B58-92BA-31565A881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859528623"/>
        <c:scaling>
          <c:logBase val="10"/>
          <c:orientation val="minMax"/>
        </c:scaling>
        <c:delete val="0"/>
        <c:axPos val="b"/>
        <c:numFmt formatCode="0.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-1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59528623"/>
        <c:crosses val="autoZero"/>
        <c:crossBetween val="midCat"/>
      </c:valAx>
      <c:valAx>
        <c:axId val="3"/>
        <c:scaling>
          <c:logBase val="10"/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"/>
        <c:crosses val="max"/>
        <c:crossBetween val="midCat"/>
      </c:valAx>
      <c:valAx>
        <c:axId val="4"/>
        <c:scaling>
          <c:orientation val="minMax"/>
        </c:scaling>
        <c:delete val="0"/>
        <c:axPos val="r"/>
        <c:numFmt formatCode="0.0000E+00" sourceLinked="1"/>
        <c:majorTickMark val="none"/>
        <c:minorTickMark val="none"/>
        <c:tickLblPos val="nextTo"/>
        <c:crossAx val="3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6733238231098431"/>
          <c:y val="0.25683114990235761"/>
          <c:w val="0.108416547788873"/>
          <c:h val="0.4754110942205976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|Z| - theta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203791561636277E-2"/>
          <c:y val="0.15027362500433583"/>
          <c:w val="0.64047977727598704"/>
          <c:h val="0.650274959109671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'RC1_100M_RC2_2pt_1'!$D$10</c:f>
              <c:strCache>
                <c:ptCount val="1"/>
                <c:pt idx="0">
                  <c:v>Data Trace A Real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'RC1_100M_RC2_2pt_1'!$N$11:$N$211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'RC1_100M_RC2_2pt_1'!$D$11:$D$211</c:f>
              <c:numCache>
                <c:formatCode>0.0000E+00</c:formatCode>
                <c:ptCount val="201"/>
                <c:pt idx="0">
                  <c:v>99789216</c:v>
                </c:pt>
                <c:pt idx="1">
                  <c:v>97722480</c:v>
                </c:pt>
                <c:pt idx="2">
                  <c:v>99543832</c:v>
                </c:pt>
                <c:pt idx="3">
                  <c:v>99582400</c:v>
                </c:pt>
                <c:pt idx="4">
                  <c:v>98340176</c:v>
                </c:pt>
                <c:pt idx="5">
                  <c:v>97294144</c:v>
                </c:pt>
                <c:pt idx="6">
                  <c:v>97795640</c:v>
                </c:pt>
                <c:pt idx="7">
                  <c:v>94654336</c:v>
                </c:pt>
                <c:pt idx="8">
                  <c:v>94743072</c:v>
                </c:pt>
                <c:pt idx="9">
                  <c:v>94506488</c:v>
                </c:pt>
                <c:pt idx="10">
                  <c:v>94731984</c:v>
                </c:pt>
                <c:pt idx="11">
                  <c:v>91206792</c:v>
                </c:pt>
                <c:pt idx="12">
                  <c:v>91230032</c:v>
                </c:pt>
                <c:pt idx="13">
                  <c:v>91345408</c:v>
                </c:pt>
                <c:pt idx="14">
                  <c:v>88677232</c:v>
                </c:pt>
                <c:pt idx="15">
                  <c:v>86931616</c:v>
                </c:pt>
                <c:pt idx="16">
                  <c:v>86430144</c:v>
                </c:pt>
                <c:pt idx="17">
                  <c:v>83569824</c:v>
                </c:pt>
                <c:pt idx="18">
                  <c:v>80713056</c:v>
                </c:pt>
                <c:pt idx="19">
                  <c:v>79474248</c:v>
                </c:pt>
                <c:pt idx="20">
                  <c:v>77397456</c:v>
                </c:pt>
                <c:pt idx="21">
                  <c:v>75929672</c:v>
                </c:pt>
                <c:pt idx="22">
                  <c:v>72876648</c:v>
                </c:pt>
                <c:pt idx="23">
                  <c:v>69195120</c:v>
                </c:pt>
                <c:pt idx="24">
                  <c:v>68415480</c:v>
                </c:pt>
                <c:pt idx="25">
                  <c:v>64794192</c:v>
                </c:pt>
                <c:pt idx="26">
                  <c:v>63492000</c:v>
                </c:pt>
                <c:pt idx="27">
                  <c:v>59475368</c:v>
                </c:pt>
                <c:pt idx="28">
                  <c:v>57414120</c:v>
                </c:pt>
                <c:pt idx="29">
                  <c:v>54986780</c:v>
                </c:pt>
                <c:pt idx="30">
                  <c:v>52382008</c:v>
                </c:pt>
                <c:pt idx="31">
                  <c:v>49683032</c:v>
                </c:pt>
                <c:pt idx="32">
                  <c:v>47252860</c:v>
                </c:pt>
                <c:pt idx="33">
                  <c:v>44986088</c:v>
                </c:pt>
                <c:pt idx="34">
                  <c:v>42642260</c:v>
                </c:pt>
                <c:pt idx="35">
                  <c:v>40495480</c:v>
                </c:pt>
                <c:pt idx="36">
                  <c:v>38027128</c:v>
                </c:pt>
                <c:pt idx="37">
                  <c:v>36136688</c:v>
                </c:pt>
                <c:pt idx="38">
                  <c:v>33974408</c:v>
                </c:pt>
                <c:pt idx="39">
                  <c:v>32130680</c:v>
                </c:pt>
                <c:pt idx="40">
                  <c:v>30304510</c:v>
                </c:pt>
                <c:pt idx="41">
                  <c:v>28571700</c:v>
                </c:pt>
                <c:pt idx="42">
                  <c:v>26955660</c:v>
                </c:pt>
                <c:pt idx="43">
                  <c:v>25369290</c:v>
                </c:pt>
                <c:pt idx="44">
                  <c:v>23920550</c:v>
                </c:pt>
                <c:pt idx="45">
                  <c:v>22511610</c:v>
                </c:pt>
                <c:pt idx="46">
                  <c:v>21195150</c:v>
                </c:pt>
                <c:pt idx="47">
                  <c:v>19941450</c:v>
                </c:pt>
                <c:pt idx="48">
                  <c:v>18744060</c:v>
                </c:pt>
                <c:pt idx="49">
                  <c:v>17644830</c:v>
                </c:pt>
                <c:pt idx="50">
                  <c:v>16614440</c:v>
                </c:pt>
                <c:pt idx="51">
                  <c:v>15627950</c:v>
                </c:pt>
                <c:pt idx="52">
                  <c:v>14733750</c:v>
                </c:pt>
                <c:pt idx="53">
                  <c:v>13842230</c:v>
                </c:pt>
                <c:pt idx="54">
                  <c:v>13009190</c:v>
                </c:pt>
                <c:pt idx="55">
                  <c:v>12233040</c:v>
                </c:pt>
                <c:pt idx="56">
                  <c:v>11532280</c:v>
                </c:pt>
                <c:pt idx="57">
                  <c:v>10825620</c:v>
                </c:pt>
                <c:pt idx="58">
                  <c:v>10197370</c:v>
                </c:pt>
                <c:pt idx="59">
                  <c:v>9583721</c:v>
                </c:pt>
                <c:pt idx="60">
                  <c:v>9008064</c:v>
                </c:pt>
                <c:pt idx="61">
                  <c:v>8473338</c:v>
                </c:pt>
                <c:pt idx="62">
                  <c:v>7964572</c:v>
                </c:pt>
                <c:pt idx="63">
                  <c:v>7478169</c:v>
                </c:pt>
                <c:pt idx="64">
                  <c:v>7028205</c:v>
                </c:pt>
                <c:pt idx="65">
                  <c:v>6601010</c:v>
                </c:pt>
                <c:pt idx="66">
                  <c:v>6197682</c:v>
                </c:pt>
                <c:pt idx="67">
                  <c:v>5819570</c:v>
                </c:pt>
                <c:pt idx="68">
                  <c:v>5466733</c:v>
                </c:pt>
                <c:pt idx="69">
                  <c:v>5129453</c:v>
                </c:pt>
                <c:pt idx="70">
                  <c:v>4811534</c:v>
                </c:pt>
                <c:pt idx="71">
                  <c:v>4515349</c:v>
                </c:pt>
                <c:pt idx="72">
                  <c:v>4237392</c:v>
                </c:pt>
                <c:pt idx="73">
                  <c:v>3974064</c:v>
                </c:pt>
                <c:pt idx="74">
                  <c:v>3726995</c:v>
                </c:pt>
                <c:pt idx="75">
                  <c:v>3493399</c:v>
                </c:pt>
                <c:pt idx="76">
                  <c:v>3276187</c:v>
                </c:pt>
                <c:pt idx="77">
                  <c:v>3069693</c:v>
                </c:pt>
                <c:pt idx="78">
                  <c:v>2877703</c:v>
                </c:pt>
                <c:pt idx="79">
                  <c:v>2696349</c:v>
                </c:pt>
                <c:pt idx="80">
                  <c:v>2526699</c:v>
                </c:pt>
                <c:pt idx="81">
                  <c:v>2367687</c:v>
                </c:pt>
                <c:pt idx="82">
                  <c:v>2218495</c:v>
                </c:pt>
                <c:pt idx="83">
                  <c:v>2077920</c:v>
                </c:pt>
                <c:pt idx="84">
                  <c:v>1945911</c:v>
                </c:pt>
                <c:pt idx="85">
                  <c:v>1822787</c:v>
                </c:pt>
                <c:pt idx="86">
                  <c:v>1708725</c:v>
                </c:pt>
                <c:pt idx="87">
                  <c:v>1600489</c:v>
                </c:pt>
                <c:pt idx="88">
                  <c:v>1498928</c:v>
                </c:pt>
                <c:pt idx="89">
                  <c:v>1403136</c:v>
                </c:pt>
                <c:pt idx="90">
                  <c:v>1313684</c:v>
                </c:pt>
                <c:pt idx="91">
                  <c:v>1229742</c:v>
                </c:pt>
                <c:pt idx="92">
                  <c:v>1151337</c:v>
                </c:pt>
                <c:pt idx="93">
                  <c:v>1077757</c:v>
                </c:pt>
                <c:pt idx="94">
                  <c:v>1009042</c:v>
                </c:pt>
                <c:pt idx="95">
                  <c:v>944114.625</c:v>
                </c:pt>
                <c:pt idx="96">
                  <c:v>883662.1875</c:v>
                </c:pt>
                <c:pt idx="97">
                  <c:v>827247.3125</c:v>
                </c:pt>
                <c:pt idx="98">
                  <c:v>774293.8125</c:v>
                </c:pt>
                <c:pt idx="99">
                  <c:v>724548.125</c:v>
                </c:pt>
                <c:pt idx="100">
                  <c:v>678078.375</c:v>
                </c:pt>
                <c:pt idx="101">
                  <c:v>634703.625</c:v>
                </c:pt>
                <c:pt idx="102">
                  <c:v>593969.6875</c:v>
                </c:pt>
                <c:pt idx="103">
                  <c:v>555976.5</c:v>
                </c:pt>
                <c:pt idx="104">
                  <c:v>520434.8125</c:v>
                </c:pt>
                <c:pt idx="105">
                  <c:v>487081.8125</c:v>
                </c:pt>
                <c:pt idx="106">
                  <c:v>455853.59375</c:v>
                </c:pt>
                <c:pt idx="107">
                  <c:v>426646.1875</c:v>
                </c:pt>
                <c:pt idx="108">
                  <c:v>399302.8125</c:v>
                </c:pt>
                <c:pt idx="109">
                  <c:v>373791.6875</c:v>
                </c:pt>
                <c:pt idx="110">
                  <c:v>350020.3125</c:v>
                </c:pt>
                <c:pt idx="111">
                  <c:v>327757.90625</c:v>
                </c:pt>
                <c:pt idx="112">
                  <c:v>306954.5</c:v>
                </c:pt>
                <c:pt idx="113">
                  <c:v>287506.5</c:v>
                </c:pt>
                <c:pt idx="114">
                  <c:v>269077.5</c:v>
                </c:pt>
                <c:pt idx="115">
                  <c:v>251914.40625</c:v>
                </c:pt>
                <c:pt idx="116">
                  <c:v>235862.703125</c:v>
                </c:pt>
                <c:pt idx="117">
                  <c:v>220876.296875</c:v>
                </c:pt>
                <c:pt idx="118">
                  <c:v>206840.5</c:v>
                </c:pt>
                <c:pt idx="119">
                  <c:v>193698</c:v>
                </c:pt>
                <c:pt idx="120">
                  <c:v>181428.59375</c:v>
                </c:pt>
                <c:pt idx="121">
                  <c:v>169954.90625</c:v>
                </c:pt>
                <c:pt idx="122">
                  <c:v>159249.296875</c:v>
                </c:pt>
                <c:pt idx="123">
                  <c:v>149113.59375</c:v>
                </c:pt>
                <c:pt idx="124">
                  <c:v>139772.796875</c:v>
                </c:pt>
                <c:pt idx="125">
                  <c:v>131465.296875</c:v>
                </c:pt>
                <c:pt idx="126">
                  <c:v>123379.5</c:v>
                </c:pt>
                <c:pt idx="127">
                  <c:v>115630.3984375</c:v>
                </c:pt>
                <c:pt idx="128">
                  <c:v>108675.296875</c:v>
                </c:pt>
                <c:pt idx="129">
                  <c:v>101721.8984375</c:v>
                </c:pt>
                <c:pt idx="130">
                  <c:v>95424.8515625</c:v>
                </c:pt>
                <c:pt idx="131">
                  <c:v>89550.6328125</c:v>
                </c:pt>
                <c:pt idx="132">
                  <c:v>84079.3984375</c:v>
                </c:pt>
                <c:pt idx="133">
                  <c:v>79043.25</c:v>
                </c:pt>
                <c:pt idx="134">
                  <c:v>74460.171875</c:v>
                </c:pt>
                <c:pt idx="135">
                  <c:v>70055.078125</c:v>
                </c:pt>
                <c:pt idx="136">
                  <c:v>65980.46875</c:v>
                </c:pt>
                <c:pt idx="137">
                  <c:v>62187.5390625</c:v>
                </c:pt>
                <c:pt idx="138">
                  <c:v>58687.1015625</c:v>
                </c:pt>
                <c:pt idx="139">
                  <c:v>55453.2109375</c:v>
                </c:pt>
                <c:pt idx="140">
                  <c:v>52423.80078125</c:v>
                </c:pt>
                <c:pt idx="141">
                  <c:v>49651.1015625</c:v>
                </c:pt>
                <c:pt idx="142">
                  <c:v>47070.640625</c:v>
                </c:pt>
                <c:pt idx="143">
                  <c:v>44683.2890625</c:v>
                </c:pt>
                <c:pt idx="144">
                  <c:v>42462.87890625</c:v>
                </c:pt>
                <c:pt idx="145">
                  <c:v>40421.6796875</c:v>
                </c:pt>
                <c:pt idx="146">
                  <c:v>38527.890625</c:v>
                </c:pt>
                <c:pt idx="147">
                  <c:v>36775.26953125</c:v>
                </c:pt>
                <c:pt idx="148">
                  <c:v>35173.640625</c:v>
                </c:pt>
                <c:pt idx="149">
                  <c:v>33691.7109375</c:v>
                </c:pt>
                <c:pt idx="150">
                  <c:v>32323.01953125</c:v>
                </c:pt>
                <c:pt idx="151">
                  <c:v>31042.119140625</c:v>
                </c:pt>
                <c:pt idx="152">
                  <c:v>29867.2890625</c:v>
                </c:pt>
                <c:pt idx="153">
                  <c:v>28768.44921875</c:v>
                </c:pt>
                <c:pt idx="154">
                  <c:v>27740.25</c:v>
                </c:pt>
                <c:pt idx="155">
                  <c:v>26773.330078125</c:v>
                </c:pt>
                <c:pt idx="156">
                  <c:v>25858.8203125</c:v>
                </c:pt>
                <c:pt idx="157">
                  <c:v>24990.58984375</c:v>
                </c:pt>
                <c:pt idx="158">
                  <c:v>24163.439453125</c:v>
                </c:pt>
                <c:pt idx="159">
                  <c:v>23361.560546875</c:v>
                </c:pt>
                <c:pt idx="160">
                  <c:v>22586.0703125</c:v>
                </c:pt>
                <c:pt idx="161">
                  <c:v>21830.80078125</c:v>
                </c:pt>
                <c:pt idx="162">
                  <c:v>21089.66015625</c:v>
                </c:pt>
                <c:pt idx="163">
                  <c:v>20359.6796875</c:v>
                </c:pt>
                <c:pt idx="164">
                  <c:v>19641</c:v>
                </c:pt>
                <c:pt idx="165">
                  <c:v>18932.109375</c:v>
                </c:pt>
                <c:pt idx="166">
                  <c:v>18231.51953125</c:v>
                </c:pt>
                <c:pt idx="167">
                  <c:v>17540.640625</c:v>
                </c:pt>
                <c:pt idx="168">
                  <c:v>16860.720703125</c:v>
                </c:pt>
                <c:pt idx="169">
                  <c:v>16192.08984375</c:v>
                </c:pt>
                <c:pt idx="170">
                  <c:v>15540.8603515625</c:v>
                </c:pt>
                <c:pt idx="171">
                  <c:v>14907.2197265625</c:v>
                </c:pt>
                <c:pt idx="172">
                  <c:v>14293.1201171875</c:v>
                </c:pt>
                <c:pt idx="173">
                  <c:v>13700.7998046875</c:v>
                </c:pt>
                <c:pt idx="174">
                  <c:v>13136.4296875</c:v>
                </c:pt>
                <c:pt idx="175">
                  <c:v>12600.7099609375</c:v>
                </c:pt>
                <c:pt idx="176">
                  <c:v>12096.6904296875</c:v>
                </c:pt>
                <c:pt idx="177">
                  <c:v>11628.1396484375</c:v>
                </c:pt>
                <c:pt idx="178">
                  <c:v>11197.1298828125</c:v>
                </c:pt>
                <c:pt idx="179">
                  <c:v>10807.7197265625</c:v>
                </c:pt>
                <c:pt idx="180">
                  <c:v>10462.919921875</c:v>
                </c:pt>
                <c:pt idx="181">
                  <c:v>10164.509765625</c:v>
                </c:pt>
                <c:pt idx="182">
                  <c:v>9912.4150390625</c:v>
                </c:pt>
                <c:pt idx="183">
                  <c:v>9709.7041015625</c:v>
                </c:pt>
                <c:pt idx="184">
                  <c:v>9555.0869140625</c:v>
                </c:pt>
                <c:pt idx="185">
                  <c:v>9456.75390625</c:v>
                </c:pt>
                <c:pt idx="186">
                  <c:v>9433.9052734375</c:v>
                </c:pt>
                <c:pt idx="187">
                  <c:v>9538.46484375</c:v>
                </c:pt>
                <c:pt idx="188">
                  <c:v>9863.1826171875</c:v>
                </c:pt>
                <c:pt idx="189">
                  <c:v>10512.0302734375</c:v>
                </c:pt>
                <c:pt idx="190">
                  <c:v>11701.419921875</c:v>
                </c:pt>
                <c:pt idx="191">
                  <c:v>13749.7900390625</c:v>
                </c:pt>
                <c:pt idx="192">
                  <c:v>16848.75</c:v>
                </c:pt>
                <c:pt idx="193">
                  <c:v>2508.72412109375</c:v>
                </c:pt>
                <c:pt idx="194">
                  <c:v>2249.327880859375</c:v>
                </c:pt>
                <c:pt idx="195">
                  <c:v>2007.0350341796875</c:v>
                </c:pt>
                <c:pt idx="196">
                  <c:v>1773.23095703125</c:v>
                </c:pt>
                <c:pt idx="197">
                  <c:v>1549.012939453125</c:v>
                </c:pt>
                <c:pt idx="198">
                  <c:v>1335.60302734375</c:v>
                </c:pt>
                <c:pt idx="199">
                  <c:v>1140.5159912109375</c:v>
                </c:pt>
                <c:pt idx="200">
                  <c:v>956.73577880859375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95-4FB8-8E2B-EB31ED38F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528623"/>
        <c:axId val="1"/>
      </c:scatterChart>
      <c:scatterChart>
        <c:scatterStyle val="lineMarker"/>
        <c:varyColors val="0"/>
        <c:ser>
          <c:idx val="1"/>
          <c:order val="1"/>
          <c:tx>
            <c:strRef>
              <c:f>'RC1_100M_RC2_2pt_1'!$F$10</c:f>
              <c:strCache>
                <c:ptCount val="1"/>
                <c:pt idx="0">
                  <c:v>Data Trace B Real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chemeClr val="bg1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'RC1_100M_RC2_2pt_1'!$N$11:$N$211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'RC1_100M_RC2_2pt_1'!$F$11:$F$211</c:f>
              <c:numCache>
                <c:formatCode>0.0000E+00</c:formatCode>
                <c:ptCount val="201"/>
                <c:pt idx="0">
                  <c:v>-13.098329544067383</c:v>
                </c:pt>
                <c:pt idx="1">
                  <c:v>-14.296159744262695</c:v>
                </c:pt>
                <c:pt idx="2">
                  <c:v>-14.272470474243164</c:v>
                </c:pt>
                <c:pt idx="3">
                  <c:v>-15.139920234680176</c:v>
                </c:pt>
                <c:pt idx="4">
                  <c:v>-15.478969573974609</c:v>
                </c:pt>
                <c:pt idx="5">
                  <c:v>-18.583400726318359</c:v>
                </c:pt>
                <c:pt idx="6">
                  <c:v>-19.55879020690918</c:v>
                </c:pt>
                <c:pt idx="7">
                  <c:v>-19.970809936523438</c:v>
                </c:pt>
                <c:pt idx="8">
                  <c:v>-21.082429885864258</c:v>
                </c:pt>
                <c:pt idx="9">
                  <c:v>-22.008710861206055</c:v>
                </c:pt>
                <c:pt idx="10">
                  <c:v>-23.74485969543457</c:v>
                </c:pt>
                <c:pt idx="11">
                  <c:v>-25.552810668945313</c:v>
                </c:pt>
                <c:pt idx="12">
                  <c:v>-26.671529769897461</c:v>
                </c:pt>
                <c:pt idx="13">
                  <c:v>-28.805120468139648</c:v>
                </c:pt>
                <c:pt idx="14">
                  <c:v>-29.737739562988281</c:v>
                </c:pt>
                <c:pt idx="15">
                  <c:v>-32.753501892089844</c:v>
                </c:pt>
                <c:pt idx="16">
                  <c:v>-32.861831665039063</c:v>
                </c:pt>
                <c:pt idx="17">
                  <c:v>-34.7894287109375</c:v>
                </c:pt>
                <c:pt idx="18">
                  <c:v>-37.323158264160156</c:v>
                </c:pt>
                <c:pt idx="19">
                  <c:v>-39.054649353027344</c:v>
                </c:pt>
                <c:pt idx="20">
                  <c:v>-40.325649261474609</c:v>
                </c:pt>
                <c:pt idx="21">
                  <c:v>-42.268608093261719</c:v>
                </c:pt>
                <c:pt idx="22">
                  <c:v>-44.227611541748047</c:v>
                </c:pt>
                <c:pt idx="23">
                  <c:v>-45.928340911865234</c:v>
                </c:pt>
                <c:pt idx="24">
                  <c:v>-47.283599853515625</c:v>
                </c:pt>
                <c:pt idx="25">
                  <c:v>-49.841670989990234</c:v>
                </c:pt>
                <c:pt idx="26">
                  <c:v>-51.258060455322266</c:v>
                </c:pt>
                <c:pt idx="27">
                  <c:v>-52.931179046630859</c:v>
                </c:pt>
                <c:pt idx="28">
                  <c:v>-54.792179107666016</c:v>
                </c:pt>
                <c:pt idx="29">
                  <c:v>-56.71630859375</c:v>
                </c:pt>
                <c:pt idx="30">
                  <c:v>-57.370769500732422</c:v>
                </c:pt>
                <c:pt idx="31">
                  <c:v>-59.465709686279297</c:v>
                </c:pt>
                <c:pt idx="32">
                  <c:v>-60.878761291503906</c:v>
                </c:pt>
                <c:pt idx="33">
                  <c:v>-62.484611511230469</c:v>
                </c:pt>
                <c:pt idx="34">
                  <c:v>-63.567569732666016</c:v>
                </c:pt>
                <c:pt idx="35">
                  <c:v>-64.991203308105469</c:v>
                </c:pt>
                <c:pt idx="36">
                  <c:v>-65.871063232421875</c:v>
                </c:pt>
                <c:pt idx="37">
                  <c:v>-67.160026550292969</c:v>
                </c:pt>
                <c:pt idx="38">
                  <c:v>-68.085372924804688</c:v>
                </c:pt>
                <c:pt idx="39">
                  <c:v>-69.124610900878906</c:v>
                </c:pt>
                <c:pt idx="40">
                  <c:v>-70.40911865234375</c:v>
                </c:pt>
                <c:pt idx="41">
                  <c:v>-71.135581970214844</c:v>
                </c:pt>
                <c:pt idx="42">
                  <c:v>-71.891227722167969</c:v>
                </c:pt>
                <c:pt idx="43">
                  <c:v>-72.757896423339844</c:v>
                </c:pt>
                <c:pt idx="44">
                  <c:v>-73.355781555175781</c:v>
                </c:pt>
                <c:pt idx="45">
                  <c:v>-74.13421630859375</c:v>
                </c:pt>
                <c:pt idx="46">
                  <c:v>-74.641273498535156</c:v>
                </c:pt>
                <c:pt idx="47">
                  <c:v>-75.285072326660156</c:v>
                </c:pt>
                <c:pt idx="48">
                  <c:v>-75.819747924804688</c:v>
                </c:pt>
                <c:pt idx="49">
                  <c:v>-76.371383666992188</c:v>
                </c:pt>
                <c:pt idx="50">
                  <c:v>-76.908187866210938</c:v>
                </c:pt>
                <c:pt idx="51">
                  <c:v>-77.412208557128906</c:v>
                </c:pt>
                <c:pt idx="52">
                  <c:v>-77.909660339355469</c:v>
                </c:pt>
                <c:pt idx="53">
                  <c:v>-78.263137817382813</c:v>
                </c:pt>
                <c:pt idx="54">
                  <c:v>-78.677436828613281</c:v>
                </c:pt>
                <c:pt idx="55">
                  <c:v>-79.055549621582031</c:v>
                </c:pt>
                <c:pt idx="56">
                  <c:v>-79.44732666015625</c:v>
                </c:pt>
                <c:pt idx="57">
                  <c:v>-79.861976623535156</c:v>
                </c:pt>
                <c:pt idx="58">
                  <c:v>-80.239486694335938</c:v>
                </c:pt>
                <c:pt idx="59">
                  <c:v>-80.601097106933594</c:v>
                </c:pt>
                <c:pt idx="60">
                  <c:v>-80.94036865234375</c:v>
                </c:pt>
                <c:pt idx="61">
                  <c:v>-81.256439208984375</c:v>
                </c:pt>
                <c:pt idx="62">
                  <c:v>-81.627876281738281</c:v>
                </c:pt>
                <c:pt idx="63">
                  <c:v>-81.89544677734375</c:v>
                </c:pt>
                <c:pt idx="64">
                  <c:v>-82.210273742675781</c:v>
                </c:pt>
                <c:pt idx="65">
                  <c:v>-82.541831970214844</c:v>
                </c:pt>
                <c:pt idx="66">
                  <c:v>-82.830337524414063</c:v>
                </c:pt>
                <c:pt idx="67">
                  <c:v>-83.117721557617188</c:v>
                </c:pt>
                <c:pt idx="68">
                  <c:v>-83.380729675292969</c:v>
                </c:pt>
                <c:pt idx="69">
                  <c:v>-83.65997314453125</c:v>
                </c:pt>
                <c:pt idx="70">
                  <c:v>-83.90643310546875</c:v>
                </c:pt>
                <c:pt idx="71">
                  <c:v>-84.167228698730469</c:v>
                </c:pt>
                <c:pt idx="72">
                  <c:v>-84.425613403320313</c:v>
                </c:pt>
                <c:pt idx="73">
                  <c:v>-84.648529052734375</c:v>
                </c:pt>
                <c:pt idx="74">
                  <c:v>-84.894302368164063</c:v>
                </c:pt>
                <c:pt idx="75">
                  <c:v>-85.091217041015625</c:v>
                </c:pt>
                <c:pt idx="76">
                  <c:v>-85.302482604980469</c:v>
                </c:pt>
                <c:pt idx="77">
                  <c:v>-85.483802795410156</c:v>
                </c:pt>
                <c:pt idx="78">
                  <c:v>-85.677238464355469</c:v>
                </c:pt>
                <c:pt idx="79">
                  <c:v>-85.849250793457031</c:v>
                </c:pt>
                <c:pt idx="80">
                  <c:v>-86.011802673339844</c:v>
                </c:pt>
                <c:pt idx="81">
                  <c:v>-86.179862976074219</c:v>
                </c:pt>
                <c:pt idx="82">
                  <c:v>-86.333457946777344</c:v>
                </c:pt>
                <c:pt idx="83">
                  <c:v>-86.452842712402344</c:v>
                </c:pt>
                <c:pt idx="84">
                  <c:v>-86.586982727050781</c:v>
                </c:pt>
                <c:pt idx="85">
                  <c:v>-86.705192565917969</c:v>
                </c:pt>
                <c:pt idx="86">
                  <c:v>-86.807212829589844</c:v>
                </c:pt>
                <c:pt idx="87">
                  <c:v>-86.92138671875</c:v>
                </c:pt>
                <c:pt idx="88">
                  <c:v>-87.008209228515625</c:v>
                </c:pt>
                <c:pt idx="89">
                  <c:v>-87.090652465820313</c:v>
                </c:pt>
                <c:pt idx="90">
                  <c:v>-87.160026550292969</c:v>
                </c:pt>
                <c:pt idx="91">
                  <c:v>-87.226638793945313</c:v>
                </c:pt>
                <c:pt idx="92">
                  <c:v>-87.271827697753906</c:v>
                </c:pt>
                <c:pt idx="93">
                  <c:v>-87.32598876953125</c:v>
                </c:pt>
                <c:pt idx="94">
                  <c:v>-87.360542297363281</c:v>
                </c:pt>
                <c:pt idx="95">
                  <c:v>-87.386329650878906</c:v>
                </c:pt>
                <c:pt idx="96">
                  <c:v>-87.399566650390625</c:v>
                </c:pt>
                <c:pt idx="97">
                  <c:v>-87.408416748046875</c:v>
                </c:pt>
                <c:pt idx="98">
                  <c:v>-87.410209655761719</c:v>
                </c:pt>
                <c:pt idx="99">
                  <c:v>-87.4066162109375</c:v>
                </c:pt>
                <c:pt idx="100">
                  <c:v>-87.384857177734375</c:v>
                </c:pt>
                <c:pt idx="101">
                  <c:v>-87.355232238769531</c:v>
                </c:pt>
                <c:pt idx="102">
                  <c:v>-87.317817687988281</c:v>
                </c:pt>
                <c:pt idx="103">
                  <c:v>-87.26812744140625</c:v>
                </c:pt>
                <c:pt idx="104">
                  <c:v>-87.208259582519531</c:v>
                </c:pt>
                <c:pt idx="105">
                  <c:v>-87.139602661132813</c:v>
                </c:pt>
                <c:pt idx="106">
                  <c:v>-87.065689086914063</c:v>
                </c:pt>
                <c:pt idx="107">
                  <c:v>-86.969467163085938</c:v>
                </c:pt>
                <c:pt idx="108">
                  <c:v>-86.864303588867188</c:v>
                </c:pt>
                <c:pt idx="109">
                  <c:v>-86.757102966308594</c:v>
                </c:pt>
                <c:pt idx="110">
                  <c:v>-86.632080078125</c:v>
                </c:pt>
                <c:pt idx="111">
                  <c:v>-86.487960815429688</c:v>
                </c:pt>
                <c:pt idx="112">
                  <c:v>-86.340660095214844</c:v>
                </c:pt>
                <c:pt idx="113">
                  <c:v>-86.176246643066406</c:v>
                </c:pt>
                <c:pt idx="114">
                  <c:v>-85.992843627929688</c:v>
                </c:pt>
                <c:pt idx="115">
                  <c:v>-85.786209106445313</c:v>
                </c:pt>
                <c:pt idx="116">
                  <c:v>-85.579139709472656</c:v>
                </c:pt>
                <c:pt idx="117">
                  <c:v>-85.3353271484375</c:v>
                </c:pt>
                <c:pt idx="118">
                  <c:v>-85.089759826660156</c:v>
                </c:pt>
                <c:pt idx="119">
                  <c:v>-84.827667236328125</c:v>
                </c:pt>
                <c:pt idx="120">
                  <c:v>-84.538909912109375</c:v>
                </c:pt>
                <c:pt idx="121">
                  <c:v>-84.245231628417969</c:v>
                </c:pt>
                <c:pt idx="122">
                  <c:v>-83.920677185058594</c:v>
                </c:pt>
                <c:pt idx="123">
                  <c:v>-83.565727233886719</c:v>
                </c:pt>
                <c:pt idx="124">
                  <c:v>-83.195121765136719</c:v>
                </c:pt>
                <c:pt idx="125">
                  <c:v>-82.784942626953125</c:v>
                </c:pt>
                <c:pt idx="126">
                  <c:v>-82.355087280273438</c:v>
                </c:pt>
                <c:pt idx="127">
                  <c:v>-81.905937194824219</c:v>
                </c:pt>
                <c:pt idx="128">
                  <c:v>-81.409927368164063</c:v>
                </c:pt>
                <c:pt idx="129">
                  <c:v>-80.915771484375</c:v>
                </c:pt>
                <c:pt idx="130">
                  <c:v>-80.382720947265625</c:v>
                </c:pt>
                <c:pt idx="131">
                  <c:v>-79.818122863769531</c:v>
                </c:pt>
                <c:pt idx="132">
                  <c:v>-79.223731994628906</c:v>
                </c:pt>
                <c:pt idx="133">
                  <c:v>-78.580810546875</c:v>
                </c:pt>
                <c:pt idx="134">
                  <c:v>-77.913017272949219</c:v>
                </c:pt>
                <c:pt idx="135">
                  <c:v>-77.216827392578125</c:v>
                </c:pt>
                <c:pt idx="136">
                  <c:v>-76.489669799804688</c:v>
                </c:pt>
                <c:pt idx="137">
                  <c:v>-75.733230590820313</c:v>
                </c:pt>
                <c:pt idx="138">
                  <c:v>-74.943489074707031</c:v>
                </c:pt>
                <c:pt idx="139">
                  <c:v>-74.124008178710938</c:v>
                </c:pt>
                <c:pt idx="140">
                  <c:v>-73.285316467285156</c:v>
                </c:pt>
                <c:pt idx="141">
                  <c:v>-72.425559997558594</c:v>
                </c:pt>
                <c:pt idx="142">
                  <c:v>-71.547737121582031</c:v>
                </c:pt>
                <c:pt idx="143">
                  <c:v>-70.65875244140625</c:v>
                </c:pt>
                <c:pt idx="144">
                  <c:v>-69.769523620605469</c:v>
                </c:pt>
                <c:pt idx="145">
                  <c:v>-68.881576538085938</c:v>
                </c:pt>
                <c:pt idx="146">
                  <c:v>-68.005859375</c:v>
                </c:pt>
                <c:pt idx="147">
                  <c:v>-67.155296325683594</c:v>
                </c:pt>
                <c:pt idx="148">
                  <c:v>-66.324043273925781</c:v>
                </c:pt>
                <c:pt idx="149">
                  <c:v>-65.532752990722656</c:v>
                </c:pt>
                <c:pt idx="150">
                  <c:v>-64.794021606445313</c:v>
                </c:pt>
                <c:pt idx="151">
                  <c:v>-64.109107971191406</c:v>
                </c:pt>
                <c:pt idx="152">
                  <c:v>-63.498661041259766</c:v>
                </c:pt>
                <c:pt idx="153">
                  <c:v>-62.973789215087891</c:v>
                </c:pt>
                <c:pt idx="154">
                  <c:v>-62.520648956298828</c:v>
                </c:pt>
                <c:pt idx="155">
                  <c:v>-62.176651000976563</c:v>
                </c:pt>
                <c:pt idx="156">
                  <c:v>-61.940971374511719</c:v>
                </c:pt>
                <c:pt idx="157">
                  <c:v>-61.805000305175781</c:v>
                </c:pt>
                <c:pt idx="158">
                  <c:v>-61.789039611816406</c:v>
                </c:pt>
                <c:pt idx="159">
                  <c:v>-61.875839233398438</c:v>
                </c:pt>
                <c:pt idx="160">
                  <c:v>-62.071929931640625</c:v>
                </c:pt>
                <c:pt idx="161">
                  <c:v>-62.379039764404297</c:v>
                </c:pt>
                <c:pt idx="162">
                  <c:v>-62.785209655761719</c:v>
                </c:pt>
                <c:pt idx="163">
                  <c:v>-63.288928985595703</c:v>
                </c:pt>
                <c:pt idx="164">
                  <c:v>-63.874259948730469</c:v>
                </c:pt>
                <c:pt idx="165">
                  <c:v>-64.539299011230469</c:v>
                </c:pt>
                <c:pt idx="166">
                  <c:v>-65.271270751953125</c:v>
                </c:pt>
                <c:pt idx="167">
                  <c:v>-66.060173034667969</c:v>
                </c:pt>
                <c:pt idx="168">
                  <c:v>-66.900703430175781</c:v>
                </c:pt>
                <c:pt idx="169">
                  <c:v>-67.78692626953125</c:v>
                </c:pt>
                <c:pt idx="170">
                  <c:v>-68.699783325195313</c:v>
                </c:pt>
                <c:pt idx="171">
                  <c:v>-69.633392333984375</c:v>
                </c:pt>
                <c:pt idx="172">
                  <c:v>-70.588508605957031</c:v>
                </c:pt>
                <c:pt idx="173">
                  <c:v>-71.550582885742188</c:v>
                </c:pt>
                <c:pt idx="174">
                  <c:v>-72.523368835449219</c:v>
                </c:pt>
                <c:pt idx="175">
                  <c:v>-73.506072998046875</c:v>
                </c:pt>
                <c:pt idx="176">
                  <c:v>-74.505126953125</c:v>
                </c:pt>
                <c:pt idx="177">
                  <c:v>-75.523811340332031</c:v>
                </c:pt>
                <c:pt idx="178">
                  <c:v>-76.564750671386719</c:v>
                </c:pt>
                <c:pt idx="179">
                  <c:v>-77.657867431640625</c:v>
                </c:pt>
                <c:pt idx="180">
                  <c:v>-78.82720947265625</c:v>
                </c:pt>
                <c:pt idx="181">
                  <c:v>-80.105003356933594</c:v>
                </c:pt>
                <c:pt idx="182">
                  <c:v>-81.546302795410156</c:v>
                </c:pt>
                <c:pt idx="183">
                  <c:v>-83.178886413574219</c:v>
                </c:pt>
                <c:pt idx="184">
                  <c:v>-85.036262512207031</c:v>
                </c:pt>
                <c:pt idx="185">
                  <c:v>-87.109947204589844</c:v>
                </c:pt>
                <c:pt idx="186">
                  <c:v>-89.380416870117188</c:v>
                </c:pt>
                <c:pt idx="187">
                  <c:v>-91.838951110839844</c:v>
                </c:pt>
                <c:pt idx="188">
                  <c:v>-94.836532592773438</c:v>
                </c:pt>
                <c:pt idx="189">
                  <c:v>-98.917236328125</c:v>
                </c:pt>
                <c:pt idx="190">
                  <c:v>-105.1239013671875</c:v>
                </c:pt>
                <c:pt idx="191">
                  <c:v>-116.05169677734375</c:v>
                </c:pt>
                <c:pt idx="192">
                  <c:v>-137.01860046386719</c:v>
                </c:pt>
                <c:pt idx="193">
                  <c:v>-136.69200134277344</c:v>
                </c:pt>
                <c:pt idx="194">
                  <c:v>-140.25419616699219</c:v>
                </c:pt>
                <c:pt idx="195">
                  <c:v>-144.08970642089844</c:v>
                </c:pt>
                <c:pt idx="196">
                  <c:v>-148.15849304199219</c:v>
                </c:pt>
                <c:pt idx="197">
                  <c:v>-152.45899963378906</c:v>
                </c:pt>
                <c:pt idx="198">
                  <c:v>-156.78129577636719</c:v>
                </c:pt>
                <c:pt idx="199">
                  <c:v>-161.23129272460938</c:v>
                </c:pt>
                <c:pt idx="200">
                  <c:v>-165.86430358886719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95-4FB8-8E2B-EB31ED38F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859528623"/>
        <c:scaling>
          <c:logBase val="10"/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-1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59528623"/>
        <c:crosses val="autoZero"/>
        <c:crossBetween val="midCat"/>
      </c:valAx>
      <c:valAx>
        <c:axId val="3"/>
        <c:scaling>
          <c:logBase val="10"/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"/>
        <c:crosses val="max"/>
        <c:crossBetween val="midCat"/>
      </c:valAx>
      <c:valAx>
        <c:axId val="4"/>
        <c:scaling>
          <c:orientation val="minMax"/>
        </c:scaling>
        <c:delete val="0"/>
        <c:axPos val="r"/>
        <c:numFmt formatCode="0.0000E+00" sourceLinked="1"/>
        <c:majorTickMark val="none"/>
        <c:minorTickMark val="none"/>
        <c:tickLblPos val="nextTo"/>
        <c:crossAx val="3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6733238231098431"/>
          <c:y val="0.25683114990235761"/>
          <c:w val="0.108416547788873"/>
          <c:h val="0.4754110942205976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|Z| - theta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203791561636277E-2"/>
          <c:y val="0.15027362500433583"/>
          <c:w val="0.64047977727598704"/>
          <c:h val="0.650274959109671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'RC3_2pt_1'!$D$10</c:f>
              <c:strCache>
                <c:ptCount val="1"/>
                <c:pt idx="0">
                  <c:v>Data Trace A Real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'RC3_2pt_1'!$N$11:$N$211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'RC3_2pt_1'!$D$11:$D$211</c:f>
              <c:numCache>
                <c:formatCode>0.0000E+00</c:formatCode>
                <c:ptCount val="201"/>
                <c:pt idx="0">
                  <c:v>8976577</c:v>
                </c:pt>
                <c:pt idx="1">
                  <c:v>8422161</c:v>
                </c:pt>
                <c:pt idx="2">
                  <c:v>7861109</c:v>
                </c:pt>
                <c:pt idx="3">
                  <c:v>7364721</c:v>
                </c:pt>
                <c:pt idx="4">
                  <c:v>6888073</c:v>
                </c:pt>
                <c:pt idx="5">
                  <c:v>6455438</c:v>
                </c:pt>
                <c:pt idx="6">
                  <c:v>6037835</c:v>
                </c:pt>
                <c:pt idx="7">
                  <c:v>5645111</c:v>
                </c:pt>
                <c:pt idx="8">
                  <c:v>5280999</c:v>
                </c:pt>
                <c:pt idx="9">
                  <c:v>4945058</c:v>
                </c:pt>
                <c:pt idx="10">
                  <c:v>4637367</c:v>
                </c:pt>
                <c:pt idx="11">
                  <c:v>4334493</c:v>
                </c:pt>
                <c:pt idx="12">
                  <c:v>4054524</c:v>
                </c:pt>
                <c:pt idx="13">
                  <c:v>3791736</c:v>
                </c:pt>
                <c:pt idx="14">
                  <c:v>3553425</c:v>
                </c:pt>
                <c:pt idx="15">
                  <c:v>3322587</c:v>
                </c:pt>
                <c:pt idx="16">
                  <c:v>3112395</c:v>
                </c:pt>
                <c:pt idx="17">
                  <c:v>2907057</c:v>
                </c:pt>
                <c:pt idx="18">
                  <c:v>2722302</c:v>
                </c:pt>
                <c:pt idx="19">
                  <c:v>2547068</c:v>
                </c:pt>
                <c:pt idx="20">
                  <c:v>2384513</c:v>
                </c:pt>
                <c:pt idx="21">
                  <c:v>2231589</c:v>
                </c:pt>
                <c:pt idx="22">
                  <c:v>2087534</c:v>
                </c:pt>
                <c:pt idx="23">
                  <c:v>1953089</c:v>
                </c:pt>
                <c:pt idx="24">
                  <c:v>1827873</c:v>
                </c:pt>
                <c:pt idx="25">
                  <c:v>1710194</c:v>
                </c:pt>
                <c:pt idx="26">
                  <c:v>1600108</c:v>
                </c:pt>
                <c:pt idx="27">
                  <c:v>1496347</c:v>
                </c:pt>
                <c:pt idx="28">
                  <c:v>1401303</c:v>
                </c:pt>
                <c:pt idx="29">
                  <c:v>1310514</c:v>
                </c:pt>
                <c:pt idx="30">
                  <c:v>1226388</c:v>
                </c:pt>
                <c:pt idx="31">
                  <c:v>1147920</c:v>
                </c:pt>
                <c:pt idx="32">
                  <c:v>1073997</c:v>
                </c:pt>
                <c:pt idx="33">
                  <c:v>1004790</c:v>
                </c:pt>
                <c:pt idx="34">
                  <c:v>940442.6875</c:v>
                </c:pt>
                <c:pt idx="35">
                  <c:v>879786.5</c:v>
                </c:pt>
                <c:pt idx="36">
                  <c:v>823337.625</c:v>
                </c:pt>
                <c:pt idx="37">
                  <c:v>770717.125</c:v>
                </c:pt>
                <c:pt idx="38">
                  <c:v>720947.6875</c:v>
                </c:pt>
                <c:pt idx="39">
                  <c:v>674576.6875</c:v>
                </c:pt>
                <c:pt idx="40">
                  <c:v>631366.625</c:v>
                </c:pt>
                <c:pt idx="41">
                  <c:v>590779.625</c:v>
                </c:pt>
                <c:pt idx="42">
                  <c:v>552840.125</c:v>
                </c:pt>
                <c:pt idx="43">
                  <c:v>517360.40625</c:v>
                </c:pt>
                <c:pt idx="44">
                  <c:v>484118.1875</c:v>
                </c:pt>
                <c:pt idx="45">
                  <c:v>453031.5</c:v>
                </c:pt>
                <c:pt idx="46">
                  <c:v>423931</c:v>
                </c:pt>
                <c:pt idx="47">
                  <c:v>396686.8125</c:v>
                </c:pt>
                <c:pt idx="48">
                  <c:v>371164.8125</c:v>
                </c:pt>
                <c:pt idx="49">
                  <c:v>347438.8125</c:v>
                </c:pt>
                <c:pt idx="50">
                  <c:v>325081.09375</c:v>
                </c:pt>
                <c:pt idx="51">
                  <c:v>304192.6875</c:v>
                </c:pt>
                <c:pt idx="52">
                  <c:v>284698.3125</c:v>
                </c:pt>
                <c:pt idx="53">
                  <c:v>266432.1875</c:v>
                </c:pt>
                <c:pt idx="54">
                  <c:v>249322</c:v>
                </c:pt>
                <c:pt idx="55">
                  <c:v>233333</c:v>
                </c:pt>
                <c:pt idx="56">
                  <c:v>218346</c:v>
                </c:pt>
                <c:pt idx="57">
                  <c:v>204343.796875</c:v>
                </c:pt>
                <c:pt idx="58">
                  <c:v>191203</c:v>
                </c:pt>
                <c:pt idx="59">
                  <c:v>178949.296875</c:v>
                </c:pt>
                <c:pt idx="60">
                  <c:v>167477.203125</c:v>
                </c:pt>
                <c:pt idx="61">
                  <c:v>156728.09375</c:v>
                </c:pt>
                <c:pt idx="62">
                  <c:v>146672.703125</c:v>
                </c:pt>
                <c:pt idx="63">
                  <c:v>137243.09375</c:v>
                </c:pt>
                <c:pt idx="64">
                  <c:v>128437.6015625</c:v>
                </c:pt>
                <c:pt idx="65">
                  <c:v>120212</c:v>
                </c:pt>
                <c:pt idx="66">
                  <c:v>112496.703125</c:v>
                </c:pt>
                <c:pt idx="67">
                  <c:v>105277.796875</c:v>
                </c:pt>
                <c:pt idx="68">
                  <c:v>98525.65625</c:v>
                </c:pt>
                <c:pt idx="69">
                  <c:v>92208.578125</c:v>
                </c:pt>
                <c:pt idx="70">
                  <c:v>86294.296875</c:v>
                </c:pt>
                <c:pt idx="71">
                  <c:v>80753.59375</c:v>
                </c:pt>
                <c:pt idx="72">
                  <c:v>75569.6875</c:v>
                </c:pt>
                <c:pt idx="73">
                  <c:v>70723.9921875</c:v>
                </c:pt>
                <c:pt idx="74">
                  <c:v>66190.453125</c:v>
                </c:pt>
                <c:pt idx="75">
                  <c:v>61943.6015625</c:v>
                </c:pt>
                <c:pt idx="76">
                  <c:v>57973.671875</c:v>
                </c:pt>
                <c:pt idx="77">
                  <c:v>54253.51953125</c:v>
                </c:pt>
                <c:pt idx="78">
                  <c:v>50771.4296875</c:v>
                </c:pt>
                <c:pt idx="79">
                  <c:v>47516.62109375</c:v>
                </c:pt>
                <c:pt idx="80">
                  <c:v>44470.69921875</c:v>
                </c:pt>
                <c:pt idx="81">
                  <c:v>41622.55078125</c:v>
                </c:pt>
                <c:pt idx="82">
                  <c:v>38961.33984375</c:v>
                </c:pt>
                <c:pt idx="83">
                  <c:v>36457.390625</c:v>
                </c:pt>
                <c:pt idx="84">
                  <c:v>34123.859375</c:v>
                </c:pt>
                <c:pt idx="85">
                  <c:v>31933.369140625</c:v>
                </c:pt>
                <c:pt idx="86">
                  <c:v>29885.66015625</c:v>
                </c:pt>
                <c:pt idx="87">
                  <c:v>27968.08984375</c:v>
                </c:pt>
                <c:pt idx="88">
                  <c:v>26176.609375</c:v>
                </c:pt>
                <c:pt idx="89">
                  <c:v>24499.919921875</c:v>
                </c:pt>
                <c:pt idx="90">
                  <c:v>22929.080078125</c:v>
                </c:pt>
                <c:pt idx="91">
                  <c:v>21458.810546875</c:v>
                </c:pt>
                <c:pt idx="92">
                  <c:v>20085.169921875</c:v>
                </c:pt>
                <c:pt idx="93">
                  <c:v>18799.7890625</c:v>
                </c:pt>
                <c:pt idx="94">
                  <c:v>17594.419921875</c:v>
                </c:pt>
                <c:pt idx="95">
                  <c:v>16467.259765625</c:v>
                </c:pt>
                <c:pt idx="96">
                  <c:v>15413.0302734375</c:v>
                </c:pt>
                <c:pt idx="97">
                  <c:v>14425.7802734375</c:v>
                </c:pt>
                <c:pt idx="98">
                  <c:v>13501.2802734375</c:v>
                </c:pt>
                <c:pt idx="99">
                  <c:v>12636.330078125</c:v>
                </c:pt>
                <c:pt idx="100">
                  <c:v>11828.1298828125</c:v>
                </c:pt>
                <c:pt idx="101">
                  <c:v>11071.0498046875</c:v>
                </c:pt>
                <c:pt idx="102">
                  <c:v>10361.9404296875</c:v>
                </c:pt>
                <c:pt idx="103">
                  <c:v>9697.77734375</c:v>
                </c:pt>
                <c:pt idx="104">
                  <c:v>9077.283203125</c:v>
                </c:pt>
                <c:pt idx="105">
                  <c:v>8495.9013671875</c:v>
                </c:pt>
                <c:pt idx="106">
                  <c:v>7952.2490234375</c:v>
                </c:pt>
                <c:pt idx="107">
                  <c:v>7443.0341796875</c:v>
                </c:pt>
                <c:pt idx="108">
                  <c:v>6966.69677734375</c:v>
                </c:pt>
                <c:pt idx="109">
                  <c:v>6521.19091796875</c:v>
                </c:pt>
                <c:pt idx="110">
                  <c:v>6103.7578125</c:v>
                </c:pt>
                <c:pt idx="111">
                  <c:v>5713.4541015625</c:v>
                </c:pt>
                <c:pt idx="112">
                  <c:v>5347.92919921875</c:v>
                </c:pt>
                <c:pt idx="113">
                  <c:v>5005.88916015625</c:v>
                </c:pt>
                <c:pt idx="114">
                  <c:v>4685.66796875</c:v>
                </c:pt>
                <c:pt idx="115">
                  <c:v>4385.9599609375</c:v>
                </c:pt>
                <c:pt idx="116">
                  <c:v>4105.42822265625</c:v>
                </c:pt>
                <c:pt idx="117">
                  <c:v>3841.781005859375</c:v>
                </c:pt>
                <c:pt idx="118">
                  <c:v>3595.946044921875</c:v>
                </c:pt>
                <c:pt idx="119">
                  <c:v>3365.467041015625</c:v>
                </c:pt>
                <c:pt idx="120">
                  <c:v>3150.48388671875</c:v>
                </c:pt>
                <c:pt idx="121">
                  <c:v>2948.74609375</c:v>
                </c:pt>
                <c:pt idx="122">
                  <c:v>2760.135009765625</c:v>
                </c:pt>
                <c:pt idx="123">
                  <c:v>2583.5419921875</c:v>
                </c:pt>
                <c:pt idx="124">
                  <c:v>2418.281005859375</c:v>
                </c:pt>
                <c:pt idx="125">
                  <c:v>2263.616943359375</c:v>
                </c:pt>
                <c:pt idx="126">
                  <c:v>2118.840087890625</c:v>
                </c:pt>
                <c:pt idx="127">
                  <c:v>1983.333984375</c:v>
                </c:pt>
                <c:pt idx="128">
                  <c:v>1856.529052734375</c:v>
                </c:pt>
                <c:pt idx="129">
                  <c:v>1737.64501953125</c:v>
                </c:pt>
                <c:pt idx="130">
                  <c:v>1626.552978515625</c:v>
                </c:pt>
                <c:pt idx="131">
                  <c:v>1522.5040283203125</c:v>
                </c:pt>
                <c:pt idx="132">
                  <c:v>1425.135009765625</c:v>
                </c:pt>
                <c:pt idx="133">
                  <c:v>1333.926025390625</c:v>
                </c:pt>
                <c:pt idx="134">
                  <c:v>1248.5799560546875</c:v>
                </c:pt>
                <c:pt idx="135">
                  <c:v>1168.6650390625</c:v>
                </c:pt>
                <c:pt idx="136">
                  <c:v>1093.85205078125</c:v>
                </c:pt>
                <c:pt idx="137">
                  <c:v>1023.8419799804688</c:v>
                </c:pt>
                <c:pt idx="138">
                  <c:v>958.201416015625</c:v>
                </c:pt>
                <c:pt idx="139">
                  <c:v>896.79608154296875</c:v>
                </c:pt>
                <c:pt idx="140">
                  <c:v>839.28387451171875</c:v>
                </c:pt>
                <c:pt idx="141">
                  <c:v>785.4501953125</c:v>
                </c:pt>
                <c:pt idx="142">
                  <c:v>735.0535888671875</c:v>
                </c:pt>
                <c:pt idx="143">
                  <c:v>687.86419677734375</c:v>
                </c:pt>
                <c:pt idx="144">
                  <c:v>643.58721923828125</c:v>
                </c:pt>
                <c:pt idx="145">
                  <c:v>602.063720703125</c:v>
                </c:pt>
                <c:pt idx="146">
                  <c:v>564.10101318359375</c:v>
                </c:pt>
                <c:pt idx="147">
                  <c:v>527.41888427734375</c:v>
                </c:pt>
                <c:pt idx="148">
                  <c:v>493.30319213867188</c:v>
                </c:pt>
                <c:pt idx="149">
                  <c:v>461.50250244140625</c:v>
                </c:pt>
                <c:pt idx="150">
                  <c:v>431.50790405273438</c:v>
                </c:pt>
                <c:pt idx="151">
                  <c:v>403.533203125</c:v>
                </c:pt>
                <c:pt idx="152">
                  <c:v>377.28570556640625</c:v>
                </c:pt>
                <c:pt idx="153">
                  <c:v>352.51519775390625</c:v>
                </c:pt>
                <c:pt idx="154">
                  <c:v>329.597412109375</c:v>
                </c:pt>
                <c:pt idx="155">
                  <c:v>307.85861206054688</c:v>
                </c:pt>
                <c:pt idx="156">
                  <c:v>287.51370239257813</c:v>
                </c:pt>
                <c:pt idx="157">
                  <c:v>268.41290283203125</c:v>
                </c:pt>
                <c:pt idx="158">
                  <c:v>250.64909362792969</c:v>
                </c:pt>
                <c:pt idx="159">
                  <c:v>233.86540222167969</c:v>
                </c:pt>
                <c:pt idx="160">
                  <c:v>218.02900695800781</c:v>
                </c:pt>
                <c:pt idx="161">
                  <c:v>203.28500366210938</c:v>
                </c:pt>
                <c:pt idx="162">
                  <c:v>189.26530456542969</c:v>
                </c:pt>
                <c:pt idx="163">
                  <c:v>176.18449401855469</c:v>
                </c:pt>
                <c:pt idx="164">
                  <c:v>163.82229614257813</c:v>
                </c:pt>
                <c:pt idx="165">
                  <c:v>152.13270568847656</c:v>
                </c:pt>
                <c:pt idx="166">
                  <c:v>141.11160278320313</c:v>
                </c:pt>
                <c:pt idx="167">
                  <c:v>130.70719909667969</c:v>
                </c:pt>
                <c:pt idx="168">
                  <c:v>120.87830352783203</c:v>
                </c:pt>
                <c:pt idx="169">
                  <c:v>111.60410308837891</c:v>
                </c:pt>
                <c:pt idx="170">
                  <c:v>102.85569763183594</c:v>
                </c:pt>
                <c:pt idx="171">
                  <c:v>94.590896606445313</c:v>
                </c:pt>
                <c:pt idx="172">
                  <c:v>86.822250366210938</c:v>
                </c:pt>
                <c:pt idx="173">
                  <c:v>79.314216613769531</c:v>
                </c:pt>
                <c:pt idx="174">
                  <c:v>72.029693603515625</c:v>
                </c:pt>
                <c:pt idx="175">
                  <c:v>65.085136413574219</c:v>
                </c:pt>
                <c:pt idx="176">
                  <c:v>58.414268493652344</c:v>
                </c:pt>
                <c:pt idx="177">
                  <c:v>51.806549072265625</c:v>
                </c:pt>
                <c:pt idx="178">
                  <c:v>45.200088500976563</c:v>
                </c:pt>
                <c:pt idx="179">
                  <c:v>38.583518981933594</c:v>
                </c:pt>
                <c:pt idx="180">
                  <c:v>31.856779098510742</c:v>
                </c:pt>
                <c:pt idx="181">
                  <c:v>24.914630889892578</c:v>
                </c:pt>
                <c:pt idx="182">
                  <c:v>17.611860275268555</c:v>
                </c:pt>
                <c:pt idx="183">
                  <c:v>9.9415082931518555</c:v>
                </c:pt>
                <c:pt idx="184">
                  <c:v>3.9680509567260742</c:v>
                </c:pt>
                <c:pt idx="185">
                  <c:v>10.710000038146973</c:v>
                </c:pt>
                <c:pt idx="186">
                  <c:v>22.206809997558594</c:v>
                </c:pt>
                <c:pt idx="187">
                  <c:v>36.641128540039063</c:v>
                </c:pt>
                <c:pt idx="188">
                  <c:v>55.326240539550781</c:v>
                </c:pt>
                <c:pt idx="189">
                  <c:v>81.685943603515625</c:v>
                </c:pt>
                <c:pt idx="190">
                  <c:v>123.28800201416016</c:v>
                </c:pt>
                <c:pt idx="191">
                  <c:v>196.58509826660156</c:v>
                </c:pt>
                <c:pt idx="192">
                  <c:v>307.17279052734375</c:v>
                </c:pt>
                <c:pt idx="193">
                  <c:v>43.423370361328125</c:v>
                </c:pt>
                <c:pt idx="194">
                  <c:v>47.284919738769531</c:v>
                </c:pt>
                <c:pt idx="195">
                  <c:v>50.845119476318359</c:v>
                </c:pt>
                <c:pt idx="196">
                  <c:v>53.981800079345703</c:v>
                </c:pt>
                <c:pt idx="197">
                  <c:v>56.656959533691406</c:v>
                </c:pt>
                <c:pt idx="198">
                  <c:v>58.784210205078125</c:v>
                </c:pt>
                <c:pt idx="199">
                  <c:v>60.354049682617188</c:v>
                </c:pt>
                <c:pt idx="200">
                  <c:v>61.224048614501953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7-4B30-B5C0-40A31DDF5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528623"/>
        <c:axId val="1"/>
      </c:scatterChart>
      <c:scatterChart>
        <c:scatterStyle val="lineMarker"/>
        <c:varyColors val="0"/>
        <c:ser>
          <c:idx val="1"/>
          <c:order val="1"/>
          <c:tx>
            <c:strRef>
              <c:f>'RC3_2pt_1'!$F$10</c:f>
              <c:strCache>
                <c:ptCount val="1"/>
                <c:pt idx="0">
                  <c:v>Data Trace B Real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chemeClr val="bg1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'RC3_2pt_1'!$N$11:$N$211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'RC3_2pt_1'!$F$11:$F$211</c:f>
              <c:numCache>
                <c:formatCode>0.0000E+00</c:formatCode>
                <c:ptCount val="201"/>
                <c:pt idx="0">
                  <c:v>-84.53912353515625</c:v>
                </c:pt>
                <c:pt idx="1">
                  <c:v>-85.010643005371094</c:v>
                </c:pt>
                <c:pt idx="2">
                  <c:v>-85.250152587890625</c:v>
                </c:pt>
                <c:pt idx="3">
                  <c:v>-85.543052673339844</c:v>
                </c:pt>
                <c:pt idx="4">
                  <c:v>-85.681938171386719</c:v>
                </c:pt>
                <c:pt idx="5">
                  <c:v>-85.958839416503906</c:v>
                </c:pt>
                <c:pt idx="6">
                  <c:v>-86.223587036132813</c:v>
                </c:pt>
                <c:pt idx="7">
                  <c:v>-86.47442626953125</c:v>
                </c:pt>
                <c:pt idx="8">
                  <c:v>-86.64642333984375</c:v>
                </c:pt>
                <c:pt idx="9">
                  <c:v>-86.864730834960938</c:v>
                </c:pt>
                <c:pt idx="10">
                  <c:v>-87.023948669433594</c:v>
                </c:pt>
                <c:pt idx="11">
                  <c:v>-87.144271850585938</c:v>
                </c:pt>
                <c:pt idx="12">
                  <c:v>-87.387351989746094</c:v>
                </c:pt>
                <c:pt idx="13">
                  <c:v>-87.559967041015625</c:v>
                </c:pt>
                <c:pt idx="14">
                  <c:v>-87.655097961425781</c:v>
                </c:pt>
                <c:pt idx="15">
                  <c:v>-87.756301879882813</c:v>
                </c:pt>
                <c:pt idx="16">
                  <c:v>-87.845382690429688</c:v>
                </c:pt>
                <c:pt idx="17">
                  <c:v>-87.951812744140625</c:v>
                </c:pt>
                <c:pt idx="18">
                  <c:v>-88.0972900390625</c:v>
                </c:pt>
                <c:pt idx="19">
                  <c:v>-88.166656494140625</c:v>
                </c:pt>
                <c:pt idx="20">
                  <c:v>-88.246810913085938</c:v>
                </c:pt>
                <c:pt idx="21">
                  <c:v>-88.387603759765625</c:v>
                </c:pt>
                <c:pt idx="22">
                  <c:v>-88.429069519042969</c:v>
                </c:pt>
                <c:pt idx="23">
                  <c:v>-88.521202087402344</c:v>
                </c:pt>
                <c:pt idx="24">
                  <c:v>-88.583488464355469</c:v>
                </c:pt>
                <c:pt idx="25">
                  <c:v>-88.612617492675781</c:v>
                </c:pt>
                <c:pt idx="26">
                  <c:v>-88.700813293457031</c:v>
                </c:pt>
                <c:pt idx="27">
                  <c:v>-88.7471923828125</c:v>
                </c:pt>
                <c:pt idx="28">
                  <c:v>-88.781356811523438</c:v>
                </c:pt>
                <c:pt idx="29">
                  <c:v>-88.837196350097656</c:v>
                </c:pt>
                <c:pt idx="30">
                  <c:v>-88.89501953125</c:v>
                </c:pt>
                <c:pt idx="31">
                  <c:v>-88.944801330566406</c:v>
                </c:pt>
                <c:pt idx="32">
                  <c:v>-88.963836669921875</c:v>
                </c:pt>
                <c:pt idx="33">
                  <c:v>-88.974891662597656</c:v>
                </c:pt>
                <c:pt idx="34">
                  <c:v>-89.038986206054688</c:v>
                </c:pt>
                <c:pt idx="35">
                  <c:v>-89.069122314453125</c:v>
                </c:pt>
                <c:pt idx="36">
                  <c:v>-89.089576721191406</c:v>
                </c:pt>
                <c:pt idx="37">
                  <c:v>-89.099571228027344</c:v>
                </c:pt>
                <c:pt idx="38">
                  <c:v>-89.141242980957031</c:v>
                </c:pt>
                <c:pt idx="39">
                  <c:v>-89.162178039550781</c:v>
                </c:pt>
                <c:pt idx="40">
                  <c:v>-89.184921264648438</c:v>
                </c:pt>
                <c:pt idx="41">
                  <c:v>-89.202606201171875</c:v>
                </c:pt>
                <c:pt idx="42">
                  <c:v>-89.21148681640625</c:v>
                </c:pt>
                <c:pt idx="43">
                  <c:v>-89.229400634765625</c:v>
                </c:pt>
                <c:pt idx="44">
                  <c:v>-89.239242553710938</c:v>
                </c:pt>
                <c:pt idx="45">
                  <c:v>-89.257476806640625</c:v>
                </c:pt>
                <c:pt idx="46">
                  <c:v>-89.270027160644531</c:v>
                </c:pt>
                <c:pt idx="47">
                  <c:v>-89.268356323242188</c:v>
                </c:pt>
                <c:pt idx="48">
                  <c:v>-89.27490234375</c:v>
                </c:pt>
                <c:pt idx="49">
                  <c:v>-89.285926818847656</c:v>
                </c:pt>
                <c:pt idx="50">
                  <c:v>-89.290420532226563</c:v>
                </c:pt>
                <c:pt idx="51">
                  <c:v>-89.295806884765625</c:v>
                </c:pt>
                <c:pt idx="52">
                  <c:v>-89.303886413574219</c:v>
                </c:pt>
                <c:pt idx="53">
                  <c:v>-89.31353759765625</c:v>
                </c:pt>
                <c:pt idx="54">
                  <c:v>-89.287986755371094</c:v>
                </c:pt>
                <c:pt idx="55">
                  <c:v>-89.294181823730469</c:v>
                </c:pt>
                <c:pt idx="56">
                  <c:v>-89.303962707519531</c:v>
                </c:pt>
                <c:pt idx="57">
                  <c:v>-89.3099365234375</c:v>
                </c:pt>
                <c:pt idx="58">
                  <c:v>-89.320083618164063</c:v>
                </c:pt>
                <c:pt idx="59">
                  <c:v>-89.323257446289063</c:v>
                </c:pt>
                <c:pt idx="60">
                  <c:v>-89.318359375</c:v>
                </c:pt>
                <c:pt idx="61">
                  <c:v>-89.327926635742188</c:v>
                </c:pt>
                <c:pt idx="62">
                  <c:v>-89.317123413085938</c:v>
                </c:pt>
                <c:pt idx="63">
                  <c:v>-89.335411071777344</c:v>
                </c:pt>
                <c:pt idx="64">
                  <c:v>-89.331413269042969</c:v>
                </c:pt>
                <c:pt idx="65">
                  <c:v>-89.331413269042969</c:v>
                </c:pt>
                <c:pt idx="66">
                  <c:v>-89.341293334960938</c:v>
                </c:pt>
                <c:pt idx="67">
                  <c:v>-89.339042663574219</c:v>
                </c:pt>
                <c:pt idx="68">
                  <c:v>-89.342033386230469</c:v>
                </c:pt>
                <c:pt idx="69">
                  <c:v>-89.343742370605469</c:v>
                </c:pt>
                <c:pt idx="70">
                  <c:v>-89.340339660644531</c:v>
                </c:pt>
                <c:pt idx="71">
                  <c:v>-89.340133666992188</c:v>
                </c:pt>
                <c:pt idx="72">
                  <c:v>-89.336616516113281</c:v>
                </c:pt>
                <c:pt idx="73">
                  <c:v>-89.34295654296875</c:v>
                </c:pt>
                <c:pt idx="74">
                  <c:v>-89.341453552246094</c:v>
                </c:pt>
                <c:pt idx="75">
                  <c:v>-89.340599060058594</c:v>
                </c:pt>
                <c:pt idx="76">
                  <c:v>-89.336990356445313</c:v>
                </c:pt>
                <c:pt idx="77">
                  <c:v>-89.329063415527344</c:v>
                </c:pt>
                <c:pt idx="78">
                  <c:v>-89.32977294921875</c:v>
                </c:pt>
                <c:pt idx="79">
                  <c:v>-89.323829650878906</c:v>
                </c:pt>
                <c:pt idx="80">
                  <c:v>-89.322433471679688</c:v>
                </c:pt>
                <c:pt idx="81">
                  <c:v>-89.327796936035156</c:v>
                </c:pt>
                <c:pt idx="82">
                  <c:v>-89.329269409179688</c:v>
                </c:pt>
                <c:pt idx="83">
                  <c:v>-89.322906494140625</c:v>
                </c:pt>
                <c:pt idx="84">
                  <c:v>-89.323593139648438</c:v>
                </c:pt>
                <c:pt idx="85">
                  <c:v>-89.297767639160156</c:v>
                </c:pt>
                <c:pt idx="86">
                  <c:v>-89.296707153320313</c:v>
                </c:pt>
                <c:pt idx="87">
                  <c:v>-89.287101745605469</c:v>
                </c:pt>
                <c:pt idx="88">
                  <c:v>-89.285301208496094</c:v>
                </c:pt>
                <c:pt idx="89">
                  <c:v>-89.284622192382813</c:v>
                </c:pt>
                <c:pt idx="90">
                  <c:v>-89.278396606445313</c:v>
                </c:pt>
                <c:pt idx="91">
                  <c:v>-89.268203735351563</c:v>
                </c:pt>
                <c:pt idx="92">
                  <c:v>-89.267227172851563</c:v>
                </c:pt>
                <c:pt idx="93">
                  <c:v>-89.262077331542969</c:v>
                </c:pt>
                <c:pt idx="94">
                  <c:v>-89.257736206054688</c:v>
                </c:pt>
                <c:pt idx="95">
                  <c:v>-89.253860473632813</c:v>
                </c:pt>
                <c:pt idx="96">
                  <c:v>-89.247566223144531</c:v>
                </c:pt>
                <c:pt idx="97">
                  <c:v>-89.241348266601563</c:v>
                </c:pt>
                <c:pt idx="98">
                  <c:v>-89.230560302734375</c:v>
                </c:pt>
                <c:pt idx="99">
                  <c:v>-89.233512878417969</c:v>
                </c:pt>
                <c:pt idx="100">
                  <c:v>-89.231208801269531</c:v>
                </c:pt>
                <c:pt idx="101">
                  <c:v>-89.224449157714844</c:v>
                </c:pt>
                <c:pt idx="102">
                  <c:v>-89.210060119628906</c:v>
                </c:pt>
                <c:pt idx="103">
                  <c:v>-89.210922241210938</c:v>
                </c:pt>
                <c:pt idx="104">
                  <c:v>-89.201896667480469</c:v>
                </c:pt>
                <c:pt idx="105">
                  <c:v>-89.19586181640625</c:v>
                </c:pt>
                <c:pt idx="106">
                  <c:v>-89.187362670898438</c:v>
                </c:pt>
                <c:pt idx="107">
                  <c:v>-89.180442810058594</c:v>
                </c:pt>
                <c:pt idx="108">
                  <c:v>-89.169242858886719</c:v>
                </c:pt>
                <c:pt idx="109">
                  <c:v>-89.166496276855469</c:v>
                </c:pt>
                <c:pt idx="110">
                  <c:v>-89.157203674316406</c:v>
                </c:pt>
                <c:pt idx="111">
                  <c:v>-89.152397155761719</c:v>
                </c:pt>
                <c:pt idx="112">
                  <c:v>-89.150093078613281</c:v>
                </c:pt>
                <c:pt idx="113">
                  <c:v>-89.144447326660156</c:v>
                </c:pt>
                <c:pt idx="114">
                  <c:v>-89.136070251464844</c:v>
                </c:pt>
                <c:pt idx="115">
                  <c:v>-89.129859924316406</c:v>
                </c:pt>
                <c:pt idx="116">
                  <c:v>-89.118362426757813</c:v>
                </c:pt>
                <c:pt idx="117">
                  <c:v>-89.090423583984375</c:v>
                </c:pt>
                <c:pt idx="118">
                  <c:v>-89.085899353027344</c:v>
                </c:pt>
                <c:pt idx="119">
                  <c:v>-89.071243286132813</c:v>
                </c:pt>
                <c:pt idx="120">
                  <c:v>-89.070846557617188</c:v>
                </c:pt>
                <c:pt idx="121">
                  <c:v>-89.060676574707031</c:v>
                </c:pt>
                <c:pt idx="122">
                  <c:v>-89.057098388671875</c:v>
                </c:pt>
                <c:pt idx="123">
                  <c:v>-89.041786193847656</c:v>
                </c:pt>
                <c:pt idx="124">
                  <c:v>-89.040451049804688</c:v>
                </c:pt>
                <c:pt idx="125">
                  <c:v>-89.033668518066406</c:v>
                </c:pt>
                <c:pt idx="126">
                  <c:v>-89.024238586425781</c:v>
                </c:pt>
                <c:pt idx="127">
                  <c:v>-89.0155029296875</c:v>
                </c:pt>
                <c:pt idx="128">
                  <c:v>-89.009101867675781</c:v>
                </c:pt>
                <c:pt idx="129">
                  <c:v>-88.997230529785156</c:v>
                </c:pt>
                <c:pt idx="130">
                  <c:v>-88.983421325683594</c:v>
                </c:pt>
                <c:pt idx="131">
                  <c:v>-88.977622985839844</c:v>
                </c:pt>
                <c:pt idx="132">
                  <c:v>-88.968498229980469</c:v>
                </c:pt>
                <c:pt idx="133">
                  <c:v>-88.949790954589844</c:v>
                </c:pt>
                <c:pt idx="134">
                  <c:v>-88.9390869140625</c:v>
                </c:pt>
                <c:pt idx="135">
                  <c:v>-88.926727294921875</c:v>
                </c:pt>
                <c:pt idx="136">
                  <c:v>-88.914833068847656</c:v>
                </c:pt>
                <c:pt idx="137">
                  <c:v>-88.902717590332031</c:v>
                </c:pt>
                <c:pt idx="138">
                  <c:v>-88.892776489257813</c:v>
                </c:pt>
                <c:pt idx="139">
                  <c:v>-88.880119323730469</c:v>
                </c:pt>
                <c:pt idx="140">
                  <c:v>-88.86358642578125</c:v>
                </c:pt>
                <c:pt idx="141">
                  <c:v>-88.84564208984375</c:v>
                </c:pt>
                <c:pt idx="142">
                  <c:v>-88.836029052734375</c:v>
                </c:pt>
                <c:pt idx="143">
                  <c:v>-88.81732177734375</c:v>
                </c:pt>
                <c:pt idx="144">
                  <c:v>-88.80267333984375</c:v>
                </c:pt>
                <c:pt idx="145">
                  <c:v>-88.777442932128906</c:v>
                </c:pt>
                <c:pt idx="146">
                  <c:v>-88.73504638671875</c:v>
                </c:pt>
                <c:pt idx="147">
                  <c:v>-88.749588012695313</c:v>
                </c:pt>
                <c:pt idx="148">
                  <c:v>-88.715713500976563</c:v>
                </c:pt>
                <c:pt idx="149">
                  <c:v>-88.690879821777344</c:v>
                </c:pt>
                <c:pt idx="150">
                  <c:v>-88.671463012695313</c:v>
                </c:pt>
                <c:pt idx="151">
                  <c:v>-88.652450561523438</c:v>
                </c:pt>
                <c:pt idx="152">
                  <c:v>-88.634407043457031</c:v>
                </c:pt>
                <c:pt idx="153">
                  <c:v>-88.599853515625</c:v>
                </c:pt>
                <c:pt idx="154">
                  <c:v>-88.581787109375</c:v>
                </c:pt>
                <c:pt idx="155">
                  <c:v>-88.555038452148438</c:v>
                </c:pt>
                <c:pt idx="156">
                  <c:v>-88.527816772460938</c:v>
                </c:pt>
                <c:pt idx="157">
                  <c:v>-88.495452880859375</c:v>
                </c:pt>
                <c:pt idx="158">
                  <c:v>-88.43878173828125</c:v>
                </c:pt>
                <c:pt idx="159">
                  <c:v>-88.398612976074219</c:v>
                </c:pt>
                <c:pt idx="160">
                  <c:v>-88.369209289550781</c:v>
                </c:pt>
                <c:pt idx="161">
                  <c:v>-88.314422607421875</c:v>
                </c:pt>
                <c:pt idx="162">
                  <c:v>-88.248580932617188</c:v>
                </c:pt>
                <c:pt idx="163">
                  <c:v>-88.186332702636719</c:v>
                </c:pt>
                <c:pt idx="164">
                  <c:v>-88.075286865234375</c:v>
                </c:pt>
                <c:pt idx="165">
                  <c:v>-88.009361267089844</c:v>
                </c:pt>
                <c:pt idx="166">
                  <c:v>-87.909156799316406</c:v>
                </c:pt>
                <c:pt idx="167">
                  <c:v>-87.768951416015625</c:v>
                </c:pt>
                <c:pt idx="168">
                  <c:v>-87.601699829101563</c:v>
                </c:pt>
                <c:pt idx="169">
                  <c:v>-87.398391723632813</c:v>
                </c:pt>
                <c:pt idx="170">
                  <c:v>-87.165901184082031</c:v>
                </c:pt>
                <c:pt idx="171">
                  <c:v>-86.912933349609375</c:v>
                </c:pt>
                <c:pt idx="172">
                  <c:v>-86.645332336425781</c:v>
                </c:pt>
                <c:pt idx="173">
                  <c:v>-86.44049072265625</c:v>
                </c:pt>
                <c:pt idx="174">
                  <c:v>-86.159141540527344</c:v>
                </c:pt>
                <c:pt idx="175">
                  <c:v>-85.804916381835938</c:v>
                </c:pt>
                <c:pt idx="176">
                  <c:v>-85.477058410644531</c:v>
                </c:pt>
                <c:pt idx="177">
                  <c:v>-85.174156188964844</c:v>
                </c:pt>
                <c:pt idx="178">
                  <c:v>-84.790733337402344</c:v>
                </c:pt>
                <c:pt idx="179">
                  <c:v>-84.289039611816406</c:v>
                </c:pt>
                <c:pt idx="180">
                  <c:v>-83.487159729003906</c:v>
                </c:pt>
                <c:pt idx="181">
                  <c:v>-82.061233520507813</c:v>
                </c:pt>
                <c:pt idx="182">
                  <c:v>-79.018882751464844</c:v>
                </c:pt>
                <c:pt idx="183">
                  <c:v>-69.586967468261719</c:v>
                </c:pt>
                <c:pt idx="184">
                  <c:v>-7.2940130233764648</c:v>
                </c:pt>
                <c:pt idx="185">
                  <c:v>62.201541900634766</c:v>
                </c:pt>
                <c:pt idx="186">
                  <c:v>71.6546630859375</c:v>
                </c:pt>
                <c:pt idx="187">
                  <c:v>73.163887023925781</c:v>
                </c:pt>
                <c:pt idx="188">
                  <c:v>72.034736633300781</c:v>
                </c:pt>
                <c:pt idx="189">
                  <c:v>68.922866821289063</c:v>
                </c:pt>
                <c:pt idx="190">
                  <c:v>62.611930847167969</c:v>
                </c:pt>
                <c:pt idx="191">
                  <c:v>49.037460327148438</c:v>
                </c:pt>
                <c:pt idx="192">
                  <c:v>17.389549255371094</c:v>
                </c:pt>
                <c:pt idx="193">
                  <c:v>30.926450729370117</c:v>
                </c:pt>
                <c:pt idx="194">
                  <c:v>27.688459396362305</c:v>
                </c:pt>
                <c:pt idx="195">
                  <c:v>24.137210845947266</c:v>
                </c:pt>
                <c:pt idx="196">
                  <c:v>20.369380950927734</c:v>
                </c:pt>
                <c:pt idx="197">
                  <c:v>16.381479263305664</c:v>
                </c:pt>
                <c:pt idx="198">
                  <c:v>12.193449974060059</c:v>
                </c:pt>
                <c:pt idx="199">
                  <c:v>7.786890983581543</c:v>
                </c:pt>
                <c:pt idx="200">
                  <c:v>3.1424679756164551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B7-4B30-B5C0-40A31DDF5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859528623"/>
        <c:scaling>
          <c:logBase val="10"/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-1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59528623"/>
        <c:crosses val="autoZero"/>
        <c:crossBetween val="midCat"/>
      </c:valAx>
      <c:valAx>
        <c:axId val="3"/>
        <c:scaling>
          <c:logBase val="10"/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"/>
        <c:crosses val="max"/>
        <c:crossBetween val="midCat"/>
      </c:valAx>
      <c:valAx>
        <c:axId val="4"/>
        <c:scaling>
          <c:orientation val="minMax"/>
        </c:scaling>
        <c:delete val="0"/>
        <c:axPos val="r"/>
        <c:numFmt formatCode="0.0000E+00" sourceLinked="1"/>
        <c:majorTickMark val="none"/>
        <c:minorTickMark val="none"/>
        <c:tickLblPos val="nextTo"/>
        <c:crossAx val="3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6733238231098431"/>
          <c:y val="0.25683114990235761"/>
          <c:w val="0.108416547788873"/>
          <c:h val="0.4754110942205976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|Z| - theta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203791561636277E-2"/>
          <c:y val="0.15027362500433583"/>
          <c:w val="0.64047977727598704"/>
          <c:h val="0.650274959109671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'RC1_RC3_RC2_2pt_1'!$D$10</c:f>
              <c:strCache>
                <c:ptCount val="1"/>
                <c:pt idx="0">
                  <c:v>Data Trace A Real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'RC1_RC3_RC2_2pt_1'!$N$11:$N$211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'RC1_RC3_RC2_2pt_1'!$D$11:$D$211</c:f>
              <c:numCache>
                <c:formatCode>0.0000E+00</c:formatCode>
                <c:ptCount val="201"/>
                <c:pt idx="0">
                  <c:v>8847941</c:v>
                </c:pt>
                <c:pt idx="1">
                  <c:v>8293728</c:v>
                </c:pt>
                <c:pt idx="2">
                  <c:v>7758724</c:v>
                </c:pt>
                <c:pt idx="3">
                  <c:v>7258204</c:v>
                </c:pt>
                <c:pt idx="4">
                  <c:v>6794058</c:v>
                </c:pt>
                <c:pt idx="5">
                  <c:v>6361402</c:v>
                </c:pt>
                <c:pt idx="6">
                  <c:v>5954890</c:v>
                </c:pt>
                <c:pt idx="7">
                  <c:v>5573406</c:v>
                </c:pt>
                <c:pt idx="8">
                  <c:v>5215677</c:v>
                </c:pt>
                <c:pt idx="9">
                  <c:v>4881663</c:v>
                </c:pt>
                <c:pt idx="10">
                  <c:v>4568793</c:v>
                </c:pt>
                <c:pt idx="11">
                  <c:v>4273927</c:v>
                </c:pt>
                <c:pt idx="12">
                  <c:v>3998208</c:v>
                </c:pt>
                <c:pt idx="13">
                  <c:v>3746012</c:v>
                </c:pt>
                <c:pt idx="14">
                  <c:v>3504306</c:v>
                </c:pt>
                <c:pt idx="15">
                  <c:v>3278098</c:v>
                </c:pt>
                <c:pt idx="16">
                  <c:v>3067551</c:v>
                </c:pt>
                <c:pt idx="17">
                  <c:v>2868749</c:v>
                </c:pt>
                <c:pt idx="18">
                  <c:v>2684496</c:v>
                </c:pt>
                <c:pt idx="19">
                  <c:v>2512727</c:v>
                </c:pt>
                <c:pt idx="20">
                  <c:v>2350402</c:v>
                </c:pt>
                <c:pt idx="21">
                  <c:v>2200338</c:v>
                </c:pt>
                <c:pt idx="22">
                  <c:v>2058694</c:v>
                </c:pt>
                <c:pt idx="23">
                  <c:v>1927400</c:v>
                </c:pt>
                <c:pt idx="24">
                  <c:v>1802613</c:v>
                </c:pt>
                <c:pt idx="25">
                  <c:v>1688181</c:v>
                </c:pt>
                <c:pt idx="26">
                  <c:v>1579031</c:v>
                </c:pt>
                <c:pt idx="27">
                  <c:v>1476924</c:v>
                </c:pt>
                <c:pt idx="28">
                  <c:v>1382202</c:v>
                </c:pt>
                <c:pt idx="29">
                  <c:v>1293357</c:v>
                </c:pt>
                <c:pt idx="30">
                  <c:v>1210425</c:v>
                </c:pt>
                <c:pt idx="31">
                  <c:v>1132399</c:v>
                </c:pt>
                <c:pt idx="32">
                  <c:v>1059643</c:v>
                </c:pt>
                <c:pt idx="33">
                  <c:v>991313.6875</c:v>
                </c:pt>
                <c:pt idx="34">
                  <c:v>927681.375</c:v>
                </c:pt>
                <c:pt idx="35">
                  <c:v>868149.875</c:v>
                </c:pt>
                <c:pt idx="36">
                  <c:v>812461.625</c:v>
                </c:pt>
                <c:pt idx="37">
                  <c:v>760272.125</c:v>
                </c:pt>
                <c:pt idx="38">
                  <c:v>711474.875</c:v>
                </c:pt>
                <c:pt idx="39">
                  <c:v>665835.375</c:v>
                </c:pt>
                <c:pt idx="40">
                  <c:v>623163.3125</c:v>
                </c:pt>
                <c:pt idx="41">
                  <c:v>583227.8125</c:v>
                </c:pt>
                <c:pt idx="42">
                  <c:v>545873.8125</c:v>
                </c:pt>
                <c:pt idx="43">
                  <c:v>510886.6875</c:v>
                </c:pt>
                <c:pt idx="44">
                  <c:v>478143.8125</c:v>
                </c:pt>
                <c:pt idx="45">
                  <c:v>447523.3125</c:v>
                </c:pt>
                <c:pt idx="46">
                  <c:v>418844.90625</c:v>
                </c:pt>
                <c:pt idx="47">
                  <c:v>392055.3125</c:v>
                </c:pt>
                <c:pt idx="48">
                  <c:v>366943.1875</c:v>
                </c:pt>
                <c:pt idx="49">
                  <c:v>343512.8125</c:v>
                </c:pt>
                <c:pt idx="50">
                  <c:v>321542.3125</c:v>
                </c:pt>
                <c:pt idx="51">
                  <c:v>301031.40625</c:v>
                </c:pt>
                <c:pt idx="52">
                  <c:v>281837.5</c:v>
                </c:pt>
                <c:pt idx="53">
                  <c:v>263861.1875</c:v>
                </c:pt>
                <c:pt idx="54">
                  <c:v>247013.5</c:v>
                </c:pt>
                <c:pt idx="55">
                  <c:v>231274.296875</c:v>
                </c:pt>
                <c:pt idx="56">
                  <c:v>216559</c:v>
                </c:pt>
                <c:pt idx="57">
                  <c:v>202814.796875</c:v>
                </c:pt>
                <c:pt idx="58">
                  <c:v>189934.90625</c:v>
                </c:pt>
                <c:pt idx="59">
                  <c:v>177895.5</c:v>
                </c:pt>
                <c:pt idx="60">
                  <c:v>166654.90625</c:v>
                </c:pt>
                <c:pt idx="61">
                  <c:v>156140.796875</c:v>
                </c:pt>
                <c:pt idx="62">
                  <c:v>146307</c:v>
                </c:pt>
                <c:pt idx="63">
                  <c:v>137106.5</c:v>
                </c:pt>
                <c:pt idx="64">
                  <c:v>128526.296875</c:v>
                </c:pt>
                <c:pt idx="65">
                  <c:v>120513.5</c:v>
                </c:pt>
                <c:pt idx="66">
                  <c:v>113010.203125</c:v>
                </c:pt>
                <c:pt idx="67">
                  <c:v>106013.5</c:v>
                </c:pt>
                <c:pt idx="68">
                  <c:v>99486.3125</c:v>
                </c:pt>
                <c:pt idx="69">
                  <c:v>93388.3515625</c:v>
                </c:pt>
                <c:pt idx="70">
                  <c:v>87690.0234375</c:v>
                </c:pt>
                <c:pt idx="71">
                  <c:v>82384.703125</c:v>
                </c:pt>
                <c:pt idx="72">
                  <c:v>77432.6875</c:v>
                </c:pt>
                <c:pt idx="73">
                  <c:v>72825.828125</c:v>
                </c:pt>
                <c:pt idx="74">
                  <c:v>68533.6875</c:v>
                </c:pt>
                <c:pt idx="75">
                  <c:v>64539.48046875</c:v>
                </c:pt>
                <c:pt idx="76">
                  <c:v>60822.25</c:v>
                </c:pt>
                <c:pt idx="77">
                  <c:v>57365.55078125</c:v>
                </c:pt>
                <c:pt idx="78">
                  <c:v>54164.12890625</c:v>
                </c:pt>
                <c:pt idx="79">
                  <c:v>51188.19140625</c:v>
                </c:pt>
                <c:pt idx="80">
                  <c:v>48435.578125</c:v>
                </c:pt>
                <c:pt idx="81">
                  <c:v>45893.83984375</c:v>
                </c:pt>
                <c:pt idx="82">
                  <c:v>43544.5390625</c:v>
                </c:pt>
                <c:pt idx="83">
                  <c:v>41366.421875</c:v>
                </c:pt>
                <c:pt idx="84">
                  <c:v>39370.109375</c:v>
                </c:pt>
                <c:pt idx="85">
                  <c:v>37526.19921875</c:v>
                </c:pt>
                <c:pt idx="86">
                  <c:v>35832.2109375</c:v>
                </c:pt>
                <c:pt idx="87">
                  <c:v>34282.4609375</c:v>
                </c:pt>
                <c:pt idx="88">
                  <c:v>32863.26171875</c:v>
                </c:pt>
                <c:pt idx="89">
                  <c:v>31563.060546875</c:v>
                </c:pt>
                <c:pt idx="90">
                  <c:v>30375.69921875</c:v>
                </c:pt>
                <c:pt idx="91">
                  <c:v>29305.939453125</c:v>
                </c:pt>
                <c:pt idx="92">
                  <c:v>28328.640625</c:v>
                </c:pt>
                <c:pt idx="93">
                  <c:v>27445.4609375</c:v>
                </c:pt>
                <c:pt idx="94">
                  <c:v>26648.279296875</c:v>
                </c:pt>
                <c:pt idx="95">
                  <c:v>25927.759765625</c:v>
                </c:pt>
                <c:pt idx="96">
                  <c:v>25280.859375</c:v>
                </c:pt>
                <c:pt idx="97">
                  <c:v>24697.830078125</c:v>
                </c:pt>
                <c:pt idx="98">
                  <c:v>24175.150390625</c:v>
                </c:pt>
                <c:pt idx="99">
                  <c:v>23708.98046875</c:v>
                </c:pt>
                <c:pt idx="100">
                  <c:v>23290.970703125</c:v>
                </c:pt>
                <c:pt idx="101">
                  <c:v>22919.720703125</c:v>
                </c:pt>
                <c:pt idx="102">
                  <c:v>22588.640625</c:v>
                </c:pt>
                <c:pt idx="103">
                  <c:v>22291.349609375</c:v>
                </c:pt>
                <c:pt idx="104">
                  <c:v>22029.4609375</c:v>
                </c:pt>
                <c:pt idx="105">
                  <c:v>21794.19921875</c:v>
                </c:pt>
                <c:pt idx="106">
                  <c:v>21587.689453125</c:v>
                </c:pt>
                <c:pt idx="107">
                  <c:v>21409.76953125</c:v>
                </c:pt>
                <c:pt idx="108">
                  <c:v>21248.490234375</c:v>
                </c:pt>
                <c:pt idx="109">
                  <c:v>21105.880859375</c:v>
                </c:pt>
                <c:pt idx="110">
                  <c:v>20980.6796875</c:v>
                </c:pt>
                <c:pt idx="111">
                  <c:v>20868.5703125</c:v>
                </c:pt>
                <c:pt idx="112">
                  <c:v>20770.400390625</c:v>
                </c:pt>
                <c:pt idx="113">
                  <c:v>20684</c:v>
                </c:pt>
                <c:pt idx="114">
                  <c:v>20609.890625</c:v>
                </c:pt>
                <c:pt idx="115">
                  <c:v>20544.060546875</c:v>
                </c:pt>
                <c:pt idx="116">
                  <c:v>20483.25</c:v>
                </c:pt>
                <c:pt idx="117">
                  <c:v>20431.390625</c:v>
                </c:pt>
                <c:pt idx="118">
                  <c:v>20387.7890625</c:v>
                </c:pt>
                <c:pt idx="119">
                  <c:v>20347.439453125</c:v>
                </c:pt>
                <c:pt idx="120">
                  <c:v>20313.9609375</c:v>
                </c:pt>
                <c:pt idx="121">
                  <c:v>20285.23046875</c:v>
                </c:pt>
                <c:pt idx="122">
                  <c:v>20260.869140625</c:v>
                </c:pt>
                <c:pt idx="123">
                  <c:v>20238.580078125</c:v>
                </c:pt>
                <c:pt idx="124">
                  <c:v>20222.51953125</c:v>
                </c:pt>
                <c:pt idx="125">
                  <c:v>20209.6796875</c:v>
                </c:pt>
                <c:pt idx="126">
                  <c:v>20199.619140625</c:v>
                </c:pt>
                <c:pt idx="127">
                  <c:v>20192.720703125</c:v>
                </c:pt>
                <c:pt idx="128">
                  <c:v>20187.5703125</c:v>
                </c:pt>
                <c:pt idx="129">
                  <c:v>20184.94921875</c:v>
                </c:pt>
                <c:pt idx="130">
                  <c:v>20185.970703125</c:v>
                </c:pt>
                <c:pt idx="131">
                  <c:v>20190.259765625</c:v>
                </c:pt>
                <c:pt idx="132">
                  <c:v>20197.16015625</c:v>
                </c:pt>
                <c:pt idx="133">
                  <c:v>20201.6796875</c:v>
                </c:pt>
                <c:pt idx="134">
                  <c:v>20214.51953125</c:v>
                </c:pt>
                <c:pt idx="135">
                  <c:v>20231.369140625</c:v>
                </c:pt>
                <c:pt idx="136">
                  <c:v>20250.75</c:v>
                </c:pt>
                <c:pt idx="137">
                  <c:v>20273.279296875</c:v>
                </c:pt>
                <c:pt idx="138">
                  <c:v>20298.91015625</c:v>
                </c:pt>
                <c:pt idx="139">
                  <c:v>20327.869140625</c:v>
                </c:pt>
                <c:pt idx="140">
                  <c:v>20358.94921875</c:v>
                </c:pt>
                <c:pt idx="141">
                  <c:v>20398.759765625</c:v>
                </c:pt>
                <c:pt idx="142">
                  <c:v>20439.830078125</c:v>
                </c:pt>
                <c:pt idx="143">
                  <c:v>20484.5390625</c:v>
                </c:pt>
                <c:pt idx="144">
                  <c:v>20533.130859375</c:v>
                </c:pt>
                <c:pt idx="145">
                  <c:v>20585.5390625</c:v>
                </c:pt>
                <c:pt idx="146">
                  <c:v>20638.080078125</c:v>
                </c:pt>
                <c:pt idx="147">
                  <c:v>20691.990234375</c:v>
                </c:pt>
                <c:pt idx="148">
                  <c:v>20745.849609375</c:v>
                </c:pt>
                <c:pt idx="149">
                  <c:v>20798.51953125</c:v>
                </c:pt>
                <c:pt idx="150">
                  <c:v>20843.25</c:v>
                </c:pt>
                <c:pt idx="151">
                  <c:v>20880.900390625</c:v>
                </c:pt>
                <c:pt idx="152">
                  <c:v>20908.5703125</c:v>
                </c:pt>
                <c:pt idx="153">
                  <c:v>20916.23046875</c:v>
                </c:pt>
                <c:pt idx="154">
                  <c:v>20901.83984375</c:v>
                </c:pt>
                <c:pt idx="155">
                  <c:v>20861.759765625</c:v>
                </c:pt>
                <c:pt idx="156">
                  <c:v>20783.859375</c:v>
                </c:pt>
                <c:pt idx="157">
                  <c:v>20668.76953125</c:v>
                </c:pt>
                <c:pt idx="158">
                  <c:v>20510.0390625</c:v>
                </c:pt>
                <c:pt idx="159">
                  <c:v>20299.619140625</c:v>
                </c:pt>
                <c:pt idx="160">
                  <c:v>20031.80078125</c:v>
                </c:pt>
                <c:pt idx="161">
                  <c:v>19710.33984375</c:v>
                </c:pt>
                <c:pt idx="162">
                  <c:v>19329.76953125</c:v>
                </c:pt>
                <c:pt idx="163">
                  <c:v>18895.0390625</c:v>
                </c:pt>
                <c:pt idx="164">
                  <c:v>18410.58984375</c:v>
                </c:pt>
                <c:pt idx="165">
                  <c:v>17881.630859375</c:v>
                </c:pt>
                <c:pt idx="166">
                  <c:v>17314</c:v>
                </c:pt>
                <c:pt idx="167">
                  <c:v>16721.060546875</c:v>
                </c:pt>
                <c:pt idx="168">
                  <c:v>16107.6904296875</c:v>
                </c:pt>
                <c:pt idx="169">
                  <c:v>15480.73046875</c:v>
                </c:pt>
                <c:pt idx="170">
                  <c:v>14854.7802734375</c:v>
                </c:pt>
                <c:pt idx="171">
                  <c:v>14232.26953125</c:v>
                </c:pt>
                <c:pt idx="172">
                  <c:v>13622.8701171875</c:v>
                </c:pt>
                <c:pt idx="173">
                  <c:v>13031.0595703125</c:v>
                </c:pt>
                <c:pt idx="174">
                  <c:v>12463.3798828125</c:v>
                </c:pt>
                <c:pt idx="175">
                  <c:v>11925.1904296875</c:v>
                </c:pt>
                <c:pt idx="176">
                  <c:v>11418.41015625</c:v>
                </c:pt>
                <c:pt idx="177">
                  <c:v>10947.8095703125</c:v>
                </c:pt>
                <c:pt idx="178">
                  <c:v>10517.8603515625</c:v>
                </c:pt>
                <c:pt idx="179">
                  <c:v>10129.919921875</c:v>
                </c:pt>
                <c:pt idx="180">
                  <c:v>9788.1640625</c:v>
                </c:pt>
                <c:pt idx="181">
                  <c:v>9492.5927734375</c:v>
                </c:pt>
                <c:pt idx="182">
                  <c:v>9245.3251953125</c:v>
                </c:pt>
                <c:pt idx="183">
                  <c:v>9047.80859375</c:v>
                </c:pt>
                <c:pt idx="184">
                  <c:v>8899.6650390625</c:v>
                </c:pt>
                <c:pt idx="185">
                  <c:v>8810.0888671875</c:v>
                </c:pt>
                <c:pt idx="186">
                  <c:v>8797.501953125</c:v>
                </c:pt>
                <c:pt idx="187">
                  <c:v>8909.0380859375</c:v>
                </c:pt>
                <c:pt idx="188">
                  <c:v>9237.75</c:v>
                </c:pt>
                <c:pt idx="189">
                  <c:v>9893.66015625</c:v>
                </c:pt>
                <c:pt idx="190">
                  <c:v>11104.740234375</c:v>
                </c:pt>
                <c:pt idx="191">
                  <c:v>13234.8203125</c:v>
                </c:pt>
                <c:pt idx="192">
                  <c:v>16313.08984375</c:v>
                </c:pt>
                <c:pt idx="193">
                  <c:v>2284.568115234375</c:v>
                </c:pt>
                <c:pt idx="194">
                  <c:v>2046.8480224609375</c:v>
                </c:pt>
                <c:pt idx="195">
                  <c:v>1820.7220458984375</c:v>
                </c:pt>
                <c:pt idx="196">
                  <c:v>1605.1309814453125</c:v>
                </c:pt>
                <c:pt idx="197">
                  <c:v>1400.2230224609375</c:v>
                </c:pt>
                <c:pt idx="198">
                  <c:v>1206.6710205078125</c:v>
                </c:pt>
                <c:pt idx="199">
                  <c:v>1026.637939453125</c:v>
                </c:pt>
                <c:pt idx="200">
                  <c:v>858.494384765625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5D-4326-A537-C0E2C2C9A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528623"/>
        <c:axId val="1"/>
      </c:scatterChart>
      <c:scatterChart>
        <c:scatterStyle val="lineMarker"/>
        <c:varyColors val="0"/>
        <c:ser>
          <c:idx val="1"/>
          <c:order val="1"/>
          <c:tx>
            <c:strRef>
              <c:f>'RC1_RC3_RC2_2pt_1'!$F$10</c:f>
              <c:strCache>
                <c:ptCount val="1"/>
                <c:pt idx="0">
                  <c:v>Data Trace B Real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chemeClr val="bg1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'RC1_RC3_RC2_2pt_1'!$N$11:$N$211</c:f>
              <c:numCache>
                <c:formatCode>General</c:formatCode>
                <c:ptCount val="201"/>
                <c:pt idx="0">
                  <c:v>40</c:v>
                </c:pt>
                <c:pt idx="1">
                  <c:v>42.759998321533203</c:v>
                </c:pt>
                <c:pt idx="2">
                  <c:v>45.71099853515625</c:v>
                </c:pt>
                <c:pt idx="3">
                  <c:v>48.865001678466797</c:v>
                </c:pt>
                <c:pt idx="4">
                  <c:v>52.23699951171875</c:v>
                </c:pt>
                <c:pt idx="5">
                  <c:v>55.840999603271484</c:v>
                </c:pt>
                <c:pt idx="6">
                  <c:v>59.694999694824219</c:v>
                </c:pt>
                <c:pt idx="7">
                  <c:v>63.813999176025391</c:v>
                </c:pt>
                <c:pt idx="8">
                  <c:v>68.217002868652344</c:v>
                </c:pt>
                <c:pt idx="9">
                  <c:v>72.925003051757813</c:v>
                </c:pt>
                <c:pt idx="10">
                  <c:v>77.957000732421875</c:v>
                </c:pt>
                <c:pt idx="11">
                  <c:v>83.33599853515625</c:v>
                </c:pt>
                <c:pt idx="12">
                  <c:v>89.086997985839844</c:v>
                </c:pt>
                <c:pt idx="13">
                  <c:v>95.234001159667969</c:v>
                </c:pt>
                <c:pt idx="14">
                  <c:v>101.80599975585938</c:v>
                </c:pt>
                <c:pt idx="15">
                  <c:v>108.83100128173828</c:v>
                </c:pt>
                <c:pt idx="16">
                  <c:v>116.33999633789063</c:v>
                </c:pt>
                <c:pt idx="17">
                  <c:v>124.36799621582031</c:v>
                </c:pt>
                <c:pt idx="18">
                  <c:v>132.94999694824219</c:v>
                </c:pt>
                <c:pt idx="19">
                  <c:v>142.12399291992188</c:v>
                </c:pt>
                <c:pt idx="20">
                  <c:v>151.9320068359375</c:v>
                </c:pt>
                <c:pt idx="21">
                  <c:v>162.41499328613281</c:v>
                </c:pt>
                <c:pt idx="22">
                  <c:v>173.62300109863281</c:v>
                </c:pt>
                <c:pt idx="23">
                  <c:v>185.60400390625</c:v>
                </c:pt>
                <c:pt idx="24">
                  <c:v>198.41099548339844</c:v>
                </c:pt>
                <c:pt idx="25">
                  <c:v>212.10200500488281</c:v>
                </c:pt>
                <c:pt idx="26">
                  <c:v>226.73800659179688</c:v>
                </c:pt>
                <c:pt idx="27">
                  <c:v>242.38400268554688</c:v>
                </c:pt>
                <c:pt idx="28">
                  <c:v>259.1090087890625</c:v>
                </c:pt>
                <c:pt idx="29">
                  <c:v>276.989013671875</c:v>
                </c:pt>
                <c:pt idx="30">
                  <c:v>296.10198974609375</c:v>
                </c:pt>
                <c:pt idx="31">
                  <c:v>316.53500366210938</c:v>
                </c:pt>
                <c:pt idx="32">
                  <c:v>338.37701416015625</c:v>
                </c:pt>
                <c:pt idx="33">
                  <c:v>361.72601318359375</c:v>
                </c:pt>
                <c:pt idx="34">
                  <c:v>386.68701171875</c:v>
                </c:pt>
                <c:pt idx="35">
                  <c:v>413.3699951171875</c:v>
                </c:pt>
                <c:pt idx="36">
                  <c:v>441.89401245117188</c:v>
                </c:pt>
                <c:pt idx="37">
                  <c:v>472.38699340820313</c:v>
                </c:pt>
                <c:pt idx="38">
                  <c:v>504.9840087890625</c:v>
                </c:pt>
                <c:pt idx="39">
                  <c:v>539.8289794921875</c:v>
                </c:pt>
                <c:pt idx="40">
                  <c:v>577.08001708984375</c:v>
                </c:pt>
                <c:pt idx="41">
                  <c:v>616.9010009765625</c:v>
                </c:pt>
                <c:pt idx="42">
                  <c:v>659.469970703125</c:v>
                </c:pt>
                <c:pt idx="43">
                  <c:v>704.97601318359375</c:v>
                </c:pt>
                <c:pt idx="44">
                  <c:v>753.62200927734375</c:v>
                </c:pt>
                <c:pt idx="45">
                  <c:v>805.625</c:v>
                </c:pt>
                <c:pt idx="46">
                  <c:v>861.21697998046875</c:v>
                </c:pt>
                <c:pt idx="47">
                  <c:v>920.64398193359375</c:v>
                </c:pt>
                <c:pt idx="48">
                  <c:v>984.1719970703125</c:v>
                </c:pt>
                <c:pt idx="49">
                  <c:v>1052.083984375</c:v>
                </c:pt>
                <c:pt idx="50">
                  <c:v>1124.6829833984375</c:v>
                </c:pt>
                <c:pt idx="51">
                  <c:v>1202.2900390625</c:v>
                </c:pt>
                <c:pt idx="52">
                  <c:v>1285.2540283203125</c:v>
                </c:pt>
                <c:pt idx="53">
                  <c:v>1373.9410400390625</c:v>
                </c:pt>
                <c:pt idx="54">
                  <c:v>1468.7490234375</c:v>
                </c:pt>
                <c:pt idx="55">
                  <c:v>1570.0989990234375</c:v>
                </c:pt>
                <c:pt idx="56">
                  <c:v>1678.4420166015625</c:v>
                </c:pt>
                <c:pt idx="57">
                  <c:v>1794.261962890625</c:v>
                </c:pt>
                <c:pt idx="58">
                  <c:v>1918.072998046875</c:v>
                </c:pt>
                <c:pt idx="59">
                  <c:v>2050.427978515625</c:v>
                </c:pt>
                <c:pt idx="60">
                  <c:v>2191.916015625</c:v>
                </c:pt>
                <c:pt idx="61">
                  <c:v>2343.16796875</c:v>
                </c:pt>
                <c:pt idx="62">
                  <c:v>2504.85595703125</c:v>
                </c:pt>
                <c:pt idx="63">
                  <c:v>2677.701904296875</c:v>
                </c:pt>
                <c:pt idx="64">
                  <c:v>2862.47412109375</c:v>
                </c:pt>
                <c:pt idx="65">
                  <c:v>3059.9970703125</c:v>
                </c:pt>
                <c:pt idx="66">
                  <c:v>3271.14990234375</c:v>
                </c:pt>
                <c:pt idx="67">
                  <c:v>3496.8720703125</c:v>
                </c:pt>
                <c:pt idx="68">
                  <c:v>3738.1708984375</c:v>
                </c:pt>
                <c:pt idx="69">
                  <c:v>3996.12109375</c:v>
                </c:pt>
                <c:pt idx="70">
                  <c:v>4271.8701171875</c:v>
                </c:pt>
                <c:pt idx="71">
                  <c:v>4566.64697265625</c:v>
                </c:pt>
                <c:pt idx="72">
                  <c:v>4881.76416015625</c:v>
                </c:pt>
                <c:pt idx="73">
                  <c:v>5218.6259765625</c:v>
                </c:pt>
                <c:pt idx="74">
                  <c:v>5578.73291015625</c:v>
                </c:pt>
                <c:pt idx="75">
                  <c:v>5963.68896484375</c:v>
                </c:pt>
                <c:pt idx="76">
                  <c:v>6375.208984375</c:v>
                </c:pt>
                <c:pt idx="77">
                  <c:v>6815.125</c:v>
                </c:pt>
                <c:pt idx="78">
                  <c:v>7285.39697265625</c:v>
                </c:pt>
                <c:pt idx="79">
                  <c:v>7788.119140625</c:v>
                </c:pt>
                <c:pt idx="80">
                  <c:v>8325.5322265625</c:v>
                </c:pt>
                <c:pt idx="81">
                  <c:v>8900.029296875</c:v>
                </c:pt>
                <c:pt idx="82">
                  <c:v>9514.16796875</c:v>
                </c:pt>
                <c:pt idx="83">
                  <c:v>10170.6845703125</c:v>
                </c:pt>
                <c:pt idx="84">
                  <c:v>10872.5048828125</c:v>
                </c:pt>
                <c:pt idx="85">
                  <c:v>11622.7529296875</c:v>
                </c:pt>
                <c:pt idx="86">
                  <c:v>12424.771484375</c:v>
                </c:pt>
                <c:pt idx="87">
                  <c:v>13282.1318359375</c:v>
                </c:pt>
                <c:pt idx="88">
                  <c:v>14198.6552734375</c:v>
                </c:pt>
                <c:pt idx="89">
                  <c:v>15178.4208984375</c:v>
                </c:pt>
                <c:pt idx="90">
                  <c:v>16225.7958984375</c:v>
                </c:pt>
                <c:pt idx="91">
                  <c:v>17345.443359375</c:v>
                </c:pt>
                <c:pt idx="92">
                  <c:v>18542.3515625</c:v>
                </c:pt>
                <c:pt idx="93">
                  <c:v>19821.8515625</c:v>
                </c:pt>
                <c:pt idx="94">
                  <c:v>21189.640625</c:v>
                </c:pt>
                <c:pt idx="95">
                  <c:v>22651.814453125</c:v>
                </c:pt>
                <c:pt idx="96">
                  <c:v>24214.884765625</c:v>
                </c:pt>
                <c:pt idx="97">
                  <c:v>25885.8125</c:v>
                </c:pt>
                <c:pt idx="98">
                  <c:v>27672.041015625</c:v>
                </c:pt>
                <c:pt idx="99">
                  <c:v>29581.52734375</c:v>
                </c:pt>
                <c:pt idx="100">
                  <c:v>31622.77734375</c:v>
                </c:pt>
                <c:pt idx="101">
                  <c:v>33804.87890625</c:v>
                </c:pt>
                <c:pt idx="102">
                  <c:v>36137.55859375</c:v>
                </c:pt>
                <c:pt idx="103">
                  <c:v>38631.19921875</c:v>
                </c:pt>
                <c:pt idx="104">
                  <c:v>41296.9140625</c:v>
                </c:pt>
                <c:pt idx="105">
                  <c:v>44146.57421875</c:v>
                </c:pt>
                <c:pt idx="106">
                  <c:v>47192.87109375</c:v>
                </c:pt>
                <c:pt idx="107">
                  <c:v>50449.375</c:v>
                </c:pt>
                <c:pt idx="108">
                  <c:v>53930.59375</c:v>
                </c:pt>
                <c:pt idx="109">
                  <c:v>57652.03125</c:v>
                </c:pt>
                <c:pt idx="110">
                  <c:v>61630.26171875</c:v>
                </c:pt>
                <c:pt idx="111">
                  <c:v>65883.0078125</c:v>
                </c:pt>
                <c:pt idx="112">
                  <c:v>70429.203125</c:v>
                </c:pt>
                <c:pt idx="113">
                  <c:v>75289.1171875</c:v>
                </c:pt>
                <c:pt idx="114">
                  <c:v>80484.3828125</c:v>
                </c:pt>
                <c:pt idx="115">
                  <c:v>86038.140625</c:v>
                </c:pt>
                <c:pt idx="116">
                  <c:v>91975.125</c:v>
                </c:pt>
                <c:pt idx="117">
                  <c:v>98321.796875</c:v>
                </c:pt>
                <c:pt idx="118">
                  <c:v>105106.40625</c:v>
                </c:pt>
                <c:pt idx="119">
                  <c:v>112359.1875</c:v>
                </c:pt>
                <c:pt idx="120">
                  <c:v>120112.4453125</c:v>
                </c:pt>
                <c:pt idx="121">
                  <c:v>128400.703125</c:v>
                </c:pt>
                <c:pt idx="122">
                  <c:v>137260.890625</c:v>
                </c:pt>
                <c:pt idx="123">
                  <c:v>146732.46875</c:v>
                </c:pt>
                <c:pt idx="124">
                  <c:v>156857.609375</c:v>
                </c:pt>
                <c:pt idx="125">
                  <c:v>167681.4375</c:v>
                </c:pt>
                <c:pt idx="126">
                  <c:v>179252.15625</c:v>
                </c:pt>
                <c:pt idx="127">
                  <c:v>191621.3125</c:v>
                </c:pt>
                <c:pt idx="128">
                  <c:v>204843.984375</c:v>
                </c:pt>
                <c:pt idx="129">
                  <c:v>218979.0625</c:v>
                </c:pt>
                <c:pt idx="130">
                  <c:v>234089.53125</c:v>
                </c:pt>
                <c:pt idx="131">
                  <c:v>250242.6875</c:v>
                </c:pt>
                <c:pt idx="132">
                  <c:v>267510.46875</c:v>
                </c:pt>
                <c:pt idx="133">
                  <c:v>285969.8125</c:v>
                </c:pt>
                <c:pt idx="134">
                  <c:v>305702.9375</c:v>
                </c:pt>
                <c:pt idx="135">
                  <c:v>326797.71875</c:v>
                </c:pt>
                <c:pt idx="136">
                  <c:v>349348.125</c:v>
                </c:pt>
                <c:pt idx="137">
                  <c:v>373454.59375</c:v>
                </c:pt>
                <c:pt idx="138">
                  <c:v>399224.53125</c:v>
                </c:pt>
                <c:pt idx="139">
                  <c:v>426772.6875</c:v>
                </c:pt>
                <c:pt idx="140">
                  <c:v>456221.78125</c:v>
                </c:pt>
                <c:pt idx="141">
                  <c:v>487702.96875</c:v>
                </c:pt>
                <c:pt idx="142">
                  <c:v>521356.5</c:v>
                </c:pt>
                <c:pt idx="143">
                  <c:v>557332.3125</c:v>
                </c:pt>
                <c:pt idx="144">
                  <c:v>595790.5625</c:v>
                </c:pt>
                <c:pt idx="145">
                  <c:v>636902.5625</c:v>
                </c:pt>
                <c:pt idx="146">
                  <c:v>680851.5</c:v>
                </c:pt>
                <c:pt idx="147">
                  <c:v>727833.125</c:v>
                </c:pt>
                <c:pt idx="148">
                  <c:v>778056.625</c:v>
                </c:pt>
                <c:pt idx="149">
                  <c:v>831745.75</c:v>
                </c:pt>
                <c:pt idx="150">
                  <c:v>889139.6875</c:v>
                </c:pt>
                <c:pt idx="151">
                  <c:v>950494.0625</c:v>
                </c:pt>
                <c:pt idx="152">
                  <c:v>1016082.125</c:v>
                </c:pt>
                <c:pt idx="153">
                  <c:v>1086196</c:v>
                </c:pt>
                <c:pt idx="154">
                  <c:v>1161148.125</c:v>
                </c:pt>
                <c:pt idx="155">
                  <c:v>1241272.125</c:v>
                </c:pt>
                <c:pt idx="156">
                  <c:v>1326925.125</c:v>
                </c:pt>
                <c:pt idx="157">
                  <c:v>1418488.5</c:v>
                </c:pt>
                <c:pt idx="158">
                  <c:v>1516370.125</c:v>
                </c:pt>
                <c:pt idx="159">
                  <c:v>1621005.875</c:v>
                </c:pt>
                <c:pt idx="160">
                  <c:v>1732862.125</c:v>
                </c:pt>
                <c:pt idx="161">
                  <c:v>1852436.875</c:v>
                </c:pt>
                <c:pt idx="162">
                  <c:v>1980262.75</c:v>
                </c:pt>
                <c:pt idx="163">
                  <c:v>2116909</c:v>
                </c:pt>
                <c:pt idx="164">
                  <c:v>2262984.75</c:v>
                </c:pt>
                <c:pt idx="165">
                  <c:v>2419140</c:v>
                </c:pt>
                <c:pt idx="166">
                  <c:v>2586070.75</c:v>
                </c:pt>
                <c:pt idx="167">
                  <c:v>2764520.5</c:v>
                </c:pt>
                <c:pt idx="168">
                  <c:v>2955284</c:v>
                </c:pt>
                <c:pt idx="169">
                  <c:v>3159210.75</c:v>
                </c:pt>
                <c:pt idx="170">
                  <c:v>3377209.5</c:v>
                </c:pt>
                <c:pt idx="171">
                  <c:v>3610251</c:v>
                </c:pt>
                <c:pt idx="172">
                  <c:v>3859373.5</c:v>
                </c:pt>
                <c:pt idx="173">
                  <c:v>4125686.25</c:v>
                </c:pt>
                <c:pt idx="174">
                  <c:v>4410376</c:v>
                </c:pt>
                <c:pt idx="175">
                  <c:v>4714710</c:v>
                </c:pt>
                <c:pt idx="176">
                  <c:v>5040045</c:v>
                </c:pt>
                <c:pt idx="177">
                  <c:v>5387829</c:v>
                </c:pt>
                <c:pt idx="178">
                  <c:v>5759611.5</c:v>
                </c:pt>
                <c:pt idx="179">
                  <c:v>6157049</c:v>
                </c:pt>
                <c:pt idx="180">
                  <c:v>6581911</c:v>
                </c:pt>
                <c:pt idx="181">
                  <c:v>7036090.5</c:v>
                </c:pt>
                <c:pt idx="182">
                  <c:v>7521610</c:v>
                </c:pt>
                <c:pt idx="183">
                  <c:v>8040632.5</c:v>
                </c:pt>
                <c:pt idx="184">
                  <c:v>8595470</c:v>
                </c:pt>
                <c:pt idx="185">
                  <c:v>9188593</c:v>
                </c:pt>
                <c:pt idx="186">
                  <c:v>9822644</c:v>
                </c:pt>
                <c:pt idx="187">
                  <c:v>10500447</c:v>
                </c:pt>
                <c:pt idx="188">
                  <c:v>11225022</c:v>
                </c:pt>
                <c:pt idx="189">
                  <c:v>11999596</c:v>
                </c:pt>
                <c:pt idx="190">
                  <c:v>12827618</c:v>
                </c:pt>
                <c:pt idx="191">
                  <c:v>13712777</c:v>
                </c:pt>
                <c:pt idx="192">
                  <c:v>14659016</c:v>
                </c:pt>
                <c:pt idx="193">
                  <c:v>15670549</c:v>
                </c:pt>
                <c:pt idx="194">
                  <c:v>16751882</c:v>
                </c:pt>
                <c:pt idx="195">
                  <c:v>17907832</c:v>
                </c:pt>
                <c:pt idx="196">
                  <c:v>19143546</c:v>
                </c:pt>
                <c:pt idx="197">
                  <c:v>20464532</c:v>
                </c:pt>
                <c:pt idx="198">
                  <c:v>21876670</c:v>
                </c:pt>
                <c:pt idx="199">
                  <c:v>23386252</c:v>
                </c:pt>
                <c:pt idx="200">
                  <c:v>25000000</c:v>
                </c:pt>
              </c:numCache>
            </c:numRef>
          </c:xVal>
          <c:yVal>
            <c:numRef>
              <c:f>'RC1_RC3_RC2_2pt_1'!$F$11:$F$211</c:f>
              <c:numCache>
                <c:formatCode>0.0000E+00</c:formatCode>
                <c:ptCount val="201"/>
                <c:pt idx="0">
                  <c:v>-84.491569519042969</c:v>
                </c:pt>
                <c:pt idx="1">
                  <c:v>-84.834251403808594</c:v>
                </c:pt>
                <c:pt idx="2">
                  <c:v>-85.067832946777344</c:v>
                </c:pt>
                <c:pt idx="3">
                  <c:v>-85.435676574707031</c:v>
                </c:pt>
                <c:pt idx="4">
                  <c:v>-85.58782958984375</c:v>
                </c:pt>
                <c:pt idx="5">
                  <c:v>-85.827606201171875</c:v>
                </c:pt>
                <c:pt idx="6">
                  <c:v>-86.098587036132813</c:v>
                </c:pt>
                <c:pt idx="7">
                  <c:v>-86.314788818359375</c:v>
                </c:pt>
                <c:pt idx="8">
                  <c:v>-86.462013244628906</c:v>
                </c:pt>
                <c:pt idx="9">
                  <c:v>-86.636573791503906</c:v>
                </c:pt>
                <c:pt idx="10">
                  <c:v>-86.792579650878906</c:v>
                </c:pt>
                <c:pt idx="11">
                  <c:v>-86.935806274414063</c:v>
                </c:pt>
                <c:pt idx="12">
                  <c:v>-87.089668273925781</c:v>
                </c:pt>
                <c:pt idx="13">
                  <c:v>-87.245780944824219</c:v>
                </c:pt>
                <c:pt idx="14">
                  <c:v>-87.359542846679688</c:v>
                </c:pt>
                <c:pt idx="15">
                  <c:v>-87.448982238769531</c:v>
                </c:pt>
                <c:pt idx="16">
                  <c:v>-87.5546875</c:v>
                </c:pt>
                <c:pt idx="17">
                  <c:v>-87.61517333984375</c:v>
                </c:pt>
                <c:pt idx="18">
                  <c:v>-87.68585205078125</c:v>
                </c:pt>
                <c:pt idx="19">
                  <c:v>-87.728736877441406</c:v>
                </c:pt>
                <c:pt idx="20">
                  <c:v>-87.800422668457031</c:v>
                </c:pt>
                <c:pt idx="21">
                  <c:v>-87.843887329101563</c:v>
                </c:pt>
                <c:pt idx="22">
                  <c:v>-87.89837646484375</c:v>
                </c:pt>
                <c:pt idx="23">
                  <c:v>-87.917373657226563</c:v>
                </c:pt>
                <c:pt idx="24">
                  <c:v>-87.948799133300781</c:v>
                </c:pt>
                <c:pt idx="25">
                  <c:v>-87.959808349609375</c:v>
                </c:pt>
                <c:pt idx="26">
                  <c:v>-87.977287292480469</c:v>
                </c:pt>
                <c:pt idx="27">
                  <c:v>-87.978141784667969</c:v>
                </c:pt>
                <c:pt idx="28">
                  <c:v>-87.974151611328125</c:v>
                </c:pt>
                <c:pt idx="29">
                  <c:v>-87.971046447753906</c:v>
                </c:pt>
                <c:pt idx="30">
                  <c:v>-87.951507568359375</c:v>
                </c:pt>
                <c:pt idx="31">
                  <c:v>-87.920646667480469</c:v>
                </c:pt>
                <c:pt idx="32">
                  <c:v>-87.881393432617188</c:v>
                </c:pt>
                <c:pt idx="33">
                  <c:v>-87.841888427734375</c:v>
                </c:pt>
                <c:pt idx="34">
                  <c:v>-87.800628662109375</c:v>
                </c:pt>
                <c:pt idx="35">
                  <c:v>-87.740707397460938</c:v>
                </c:pt>
                <c:pt idx="36">
                  <c:v>-87.682266235351563</c:v>
                </c:pt>
                <c:pt idx="37">
                  <c:v>-87.605209350585938</c:v>
                </c:pt>
                <c:pt idx="38">
                  <c:v>-87.525886535644531</c:v>
                </c:pt>
                <c:pt idx="39">
                  <c:v>-87.426483154296875</c:v>
                </c:pt>
                <c:pt idx="40">
                  <c:v>-87.330642700195313</c:v>
                </c:pt>
                <c:pt idx="41">
                  <c:v>-87.229827880859375</c:v>
                </c:pt>
                <c:pt idx="42">
                  <c:v>-87.10858154296875</c:v>
                </c:pt>
                <c:pt idx="43">
                  <c:v>-86.977706909179688</c:v>
                </c:pt>
                <c:pt idx="44">
                  <c:v>-86.839866638183594</c:v>
                </c:pt>
                <c:pt idx="45">
                  <c:v>-86.69403076171875</c:v>
                </c:pt>
                <c:pt idx="46">
                  <c:v>-86.527519226074219</c:v>
                </c:pt>
                <c:pt idx="47">
                  <c:v>-86.328346252441406</c:v>
                </c:pt>
                <c:pt idx="48">
                  <c:v>-86.145057678222656</c:v>
                </c:pt>
                <c:pt idx="49">
                  <c:v>-85.942573547363281</c:v>
                </c:pt>
                <c:pt idx="50">
                  <c:v>-85.723289489746094</c:v>
                </c:pt>
                <c:pt idx="51">
                  <c:v>-85.490249633789063</c:v>
                </c:pt>
                <c:pt idx="52">
                  <c:v>-85.225822448730469</c:v>
                </c:pt>
                <c:pt idx="53">
                  <c:v>-84.962509155273438</c:v>
                </c:pt>
                <c:pt idx="54">
                  <c:v>-84.651840209960938</c:v>
                </c:pt>
                <c:pt idx="55">
                  <c:v>-84.341552734375</c:v>
                </c:pt>
                <c:pt idx="56">
                  <c:v>-84.013702392578125</c:v>
                </c:pt>
                <c:pt idx="57">
                  <c:v>-83.662986755371094</c:v>
                </c:pt>
                <c:pt idx="58">
                  <c:v>-83.277572631835938</c:v>
                </c:pt>
                <c:pt idx="59">
                  <c:v>-82.883209228515625</c:v>
                </c:pt>
                <c:pt idx="60">
                  <c:v>-82.450042724609375</c:v>
                </c:pt>
                <c:pt idx="61">
                  <c:v>-81.98046875</c:v>
                </c:pt>
                <c:pt idx="62">
                  <c:v>-81.491081237792969</c:v>
                </c:pt>
                <c:pt idx="63">
                  <c:v>-80.967849731445313</c:v>
                </c:pt>
                <c:pt idx="64">
                  <c:v>-80.409149169921875</c:v>
                </c:pt>
                <c:pt idx="65">
                  <c:v>-79.8194580078125</c:v>
                </c:pt>
                <c:pt idx="66">
                  <c:v>-79.182243347167969</c:v>
                </c:pt>
                <c:pt idx="67">
                  <c:v>-78.506370544433594</c:v>
                </c:pt>
                <c:pt idx="68">
                  <c:v>-77.785469055175781</c:v>
                </c:pt>
                <c:pt idx="69">
                  <c:v>-77.019012451171875</c:v>
                </c:pt>
                <c:pt idx="70">
                  <c:v>-76.203086853027344</c:v>
                </c:pt>
                <c:pt idx="71">
                  <c:v>-75.342536926269531</c:v>
                </c:pt>
                <c:pt idx="72">
                  <c:v>-74.428520202636719</c:v>
                </c:pt>
                <c:pt idx="73">
                  <c:v>-73.464218139648438</c:v>
                </c:pt>
                <c:pt idx="74">
                  <c:v>-72.442863464355469</c:v>
                </c:pt>
                <c:pt idx="75">
                  <c:v>-71.359573364257813</c:v>
                </c:pt>
                <c:pt idx="76">
                  <c:v>-70.220466613769531</c:v>
                </c:pt>
                <c:pt idx="77">
                  <c:v>-69.016036987304688</c:v>
                </c:pt>
                <c:pt idx="78">
                  <c:v>-67.751983642578125</c:v>
                </c:pt>
                <c:pt idx="79">
                  <c:v>-66.426567077636719</c:v>
                </c:pt>
                <c:pt idx="80">
                  <c:v>-65.0438232421875</c:v>
                </c:pt>
                <c:pt idx="81">
                  <c:v>-63.601669311523438</c:v>
                </c:pt>
                <c:pt idx="82">
                  <c:v>-62.1090087890625</c:v>
                </c:pt>
                <c:pt idx="83">
                  <c:v>-60.544570922851563</c:v>
                </c:pt>
                <c:pt idx="84">
                  <c:v>-58.923240661621094</c:v>
                </c:pt>
                <c:pt idx="85">
                  <c:v>-57.255680084228516</c:v>
                </c:pt>
                <c:pt idx="86">
                  <c:v>-55.530048370361328</c:v>
                </c:pt>
                <c:pt idx="87">
                  <c:v>-53.781349182128906</c:v>
                </c:pt>
                <c:pt idx="88">
                  <c:v>-51.985439300537109</c:v>
                </c:pt>
                <c:pt idx="89">
                  <c:v>-50.156940460205078</c:v>
                </c:pt>
                <c:pt idx="90">
                  <c:v>-48.305179595947266</c:v>
                </c:pt>
                <c:pt idx="91">
                  <c:v>-46.456100463867188</c:v>
                </c:pt>
                <c:pt idx="92">
                  <c:v>-44.594001770019531</c:v>
                </c:pt>
                <c:pt idx="93">
                  <c:v>-42.740810394287109</c:v>
                </c:pt>
                <c:pt idx="94">
                  <c:v>-40.895759582519531</c:v>
                </c:pt>
                <c:pt idx="95">
                  <c:v>-39.063140869140625</c:v>
                </c:pt>
                <c:pt idx="96">
                  <c:v>-37.259368896484375</c:v>
                </c:pt>
                <c:pt idx="97">
                  <c:v>-35.492511749267578</c:v>
                </c:pt>
                <c:pt idx="98">
                  <c:v>-33.763370513916016</c:v>
                </c:pt>
                <c:pt idx="99">
                  <c:v>-32.088970184326172</c:v>
                </c:pt>
                <c:pt idx="100">
                  <c:v>-30.445169448852539</c:v>
                </c:pt>
                <c:pt idx="101">
                  <c:v>-28.869010925292969</c:v>
                </c:pt>
                <c:pt idx="102">
                  <c:v>-27.342739105224609</c:v>
                </c:pt>
                <c:pt idx="103">
                  <c:v>-25.884210586547852</c:v>
                </c:pt>
                <c:pt idx="104">
                  <c:v>-24.491020202636719</c:v>
                </c:pt>
                <c:pt idx="105">
                  <c:v>-23.154830932617188</c:v>
                </c:pt>
                <c:pt idx="106">
                  <c:v>-21.880010604858398</c:v>
                </c:pt>
                <c:pt idx="107">
                  <c:v>-20.675840377807617</c:v>
                </c:pt>
                <c:pt idx="108">
                  <c:v>-19.528350830078125</c:v>
                </c:pt>
                <c:pt idx="109">
                  <c:v>-18.44944953918457</c:v>
                </c:pt>
                <c:pt idx="110">
                  <c:v>-17.431909561157227</c:v>
                </c:pt>
                <c:pt idx="111">
                  <c:v>-16.475080490112305</c:v>
                </c:pt>
                <c:pt idx="112">
                  <c:v>-15.570799827575684</c:v>
                </c:pt>
                <c:pt idx="113">
                  <c:v>-14.732640266418457</c:v>
                </c:pt>
                <c:pt idx="114">
                  <c:v>-13.944259643554688</c:v>
                </c:pt>
                <c:pt idx="115">
                  <c:v>-13.212189674377441</c:v>
                </c:pt>
                <c:pt idx="116">
                  <c:v>-12.532079696655273</c:v>
                </c:pt>
                <c:pt idx="117">
                  <c:v>-11.88716983795166</c:v>
                </c:pt>
                <c:pt idx="118">
                  <c:v>-11.297360420227051</c:v>
                </c:pt>
                <c:pt idx="119">
                  <c:v>-10.762370109558105</c:v>
                </c:pt>
                <c:pt idx="120">
                  <c:v>-10.268030166625977</c:v>
                </c:pt>
                <c:pt idx="121">
                  <c:v>-9.8161993026733398</c:v>
                </c:pt>
                <c:pt idx="122">
                  <c:v>-9.4022397994995117</c:v>
                </c:pt>
                <c:pt idx="123">
                  <c:v>-9.0263776779174805</c:v>
                </c:pt>
                <c:pt idx="124">
                  <c:v>-8.6952610015869141</c:v>
                </c:pt>
                <c:pt idx="125">
                  <c:v>-8.3986196517944336</c:v>
                </c:pt>
                <c:pt idx="126">
                  <c:v>-8.1384992599487305</c:v>
                </c:pt>
                <c:pt idx="127">
                  <c:v>-7.9139800071716309</c:v>
                </c:pt>
                <c:pt idx="128">
                  <c:v>-7.7277040481567383</c:v>
                </c:pt>
                <c:pt idx="129">
                  <c:v>-7.5734720230102539</c:v>
                </c:pt>
                <c:pt idx="130">
                  <c:v>-7.4556121826171875</c:v>
                </c:pt>
                <c:pt idx="131">
                  <c:v>-7.3615188598632813</c:v>
                </c:pt>
                <c:pt idx="132">
                  <c:v>-7.3131470680236816</c:v>
                </c:pt>
                <c:pt idx="133">
                  <c:v>-7.3003768920898438</c:v>
                </c:pt>
                <c:pt idx="134">
                  <c:v>-7.320134162902832</c:v>
                </c:pt>
                <c:pt idx="135">
                  <c:v>-7.376215934753418</c:v>
                </c:pt>
                <c:pt idx="136">
                  <c:v>-7.4706020355224609</c:v>
                </c:pt>
                <c:pt idx="137">
                  <c:v>-7.6104350090026855</c:v>
                </c:pt>
                <c:pt idx="138">
                  <c:v>-7.7870421409606934</c:v>
                </c:pt>
                <c:pt idx="139">
                  <c:v>-8.0101900100708008</c:v>
                </c:pt>
                <c:pt idx="140">
                  <c:v>-8.2827539443969727</c:v>
                </c:pt>
                <c:pt idx="141">
                  <c:v>-8.6023283004760742</c:v>
                </c:pt>
                <c:pt idx="142">
                  <c:v>-8.9723997116088867</c:v>
                </c:pt>
                <c:pt idx="143">
                  <c:v>-9.4106664657592773</c:v>
                </c:pt>
                <c:pt idx="144">
                  <c:v>-9.9097871780395508</c:v>
                </c:pt>
                <c:pt idx="145">
                  <c:v>-10.481929779052734</c:v>
                </c:pt>
                <c:pt idx="146">
                  <c:v>-11.134140014648438</c:v>
                </c:pt>
                <c:pt idx="147">
                  <c:v>-11.864500045776367</c:v>
                </c:pt>
                <c:pt idx="148">
                  <c:v>-12.691869735717773</c:v>
                </c:pt>
                <c:pt idx="149">
                  <c:v>-13.606380462646484</c:v>
                </c:pt>
                <c:pt idx="150">
                  <c:v>-14.647299766540527</c:v>
                </c:pt>
                <c:pt idx="151">
                  <c:v>-15.796360015869141</c:v>
                </c:pt>
                <c:pt idx="152">
                  <c:v>-17.064090728759766</c:v>
                </c:pt>
                <c:pt idx="153">
                  <c:v>-18.462709426879883</c:v>
                </c:pt>
                <c:pt idx="154">
                  <c:v>-19.973970413208008</c:v>
                </c:pt>
                <c:pt idx="155">
                  <c:v>-21.631509780883789</c:v>
                </c:pt>
                <c:pt idx="156">
                  <c:v>-23.438510894775391</c:v>
                </c:pt>
                <c:pt idx="157">
                  <c:v>-25.359640121459961</c:v>
                </c:pt>
                <c:pt idx="158">
                  <c:v>-27.407119750976563</c:v>
                </c:pt>
                <c:pt idx="159">
                  <c:v>-29.572669982910156</c:v>
                </c:pt>
                <c:pt idx="160">
                  <c:v>-31.830379486083984</c:v>
                </c:pt>
                <c:pt idx="161">
                  <c:v>-34.17333984375</c:v>
                </c:pt>
                <c:pt idx="162">
                  <c:v>-36.578529357910156</c:v>
                </c:pt>
                <c:pt idx="163">
                  <c:v>-39.016689300537109</c:v>
                </c:pt>
                <c:pt idx="164">
                  <c:v>-41.470928192138672</c:v>
                </c:pt>
                <c:pt idx="165">
                  <c:v>-43.92034912109375</c:v>
                </c:pt>
                <c:pt idx="166">
                  <c:v>-46.346809387207031</c:v>
                </c:pt>
                <c:pt idx="167">
                  <c:v>-48.728721618652344</c:v>
                </c:pt>
                <c:pt idx="168">
                  <c:v>-51.047740936279297</c:v>
                </c:pt>
                <c:pt idx="169">
                  <c:v>-53.310600280761719</c:v>
                </c:pt>
                <c:pt idx="170">
                  <c:v>-55.486419677734375</c:v>
                </c:pt>
                <c:pt idx="171">
                  <c:v>-57.583660125732422</c:v>
                </c:pt>
                <c:pt idx="172">
                  <c:v>-59.58892822265625</c:v>
                </c:pt>
                <c:pt idx="173">
                  <c:v>-61.506759643554688</c:v>
                </c:pt>
                <c:pt idx="174">
                  <c:v>-63.346771240234375</c:v>
                </c:pt>
                <c:pt idx="175">
                  <c:v>-65.112846374511719</c:v>
                </c:pt>
                <c:pt idx="176">
                  <c:v>-66.813392639160156</c:v>
                </c:pt>
                <c:pt idx="177">
                  <c:v>-68.463401794433594</c:v>
                </c:pt>
                <c:pt idx="178">
                  <c:v>-70.074821472167969</c:v>
                </c:pt>
                <c:pt idx="179">
                  <c:v>-71.677963256835938</c:v>
                </c:pt>
                <c:pt idx="180">
                  <c:v>-73.308761596679688</c:v>
                </c:pt>
                <c:pt idx="181">
                  <c:v>-75.002281188964844</c:v>
                </c:pt>
                <c:pt idx="182">
                  <c:v>-76.814201354980469</c:v>
                </c:pt>
                <c:pt idx="183">
                  <c:v>-78.782493591308594</c:v>
                </c:pt>
                <c:pt idx="184">
                  <c:v>-80.945426940917969</c:v>
                </c:pt>
                <c:pt idx="185">
                  <c:v>-83.294776916503906</c:v>
                </c:pt>
                <c:pt idx="186">
                  <c:v>-85.835136413574219</c:v>
                </c:pt>
                <c:pt idx="187">
                  <c:v>-88.570098876953125</c:v>
                </c:pt>
                <c:pt idx="188">
                  <c:v>-91.82684326171875</c:v>
                </c:pt>
                <c:pt idx="189">
                  <c:v>-96.202857971191406</c:v>
                </c:pt>
                <c:pt idx="190">
                  <c:v>-102.83650207519531</c:v>
                </c:pt>
                <c:pt idx="191">
                  <c:v>-114.67379760742188</c:v>
                </c:pt>
                <c:pt idx="192">
                  <c:v>-138.06129455566406</c:v>
                </c:pt>
                <c:pt idx="193">
                  <c:v>-135.25680541992188</c:v>
                </c:pt>
                <c:pt idx="194">
                  <c:v>-139.03419494628906</c:v>
                </c:pt>
                <c:pt idx="195">
                  <c:v>-143.03289794921875</c:v>
                </c:pt>
                <c:pt idx="196">
                  <c:v>-147.20390319824219</c:v>
                </c:pt>
                <c:pt idx="197">
                  <c:v>-151.58180236816406</c:v>
                </c:pt>
                <c:pt idx="198">
                  <c:v>-156.08869934082031</c:v>
                </c:pt>
                <c:pt idx="199">
                  <c:v>-160.68229675292969</c:v>
                </c:pt>
                <c:pt idx="200">
                  <c:v>-165.4674072265625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5D-4326-A537-C0E2C2C9A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859528623"/>
        <c:scaling>
          <c:logBase val="10"/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-1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59528623"/>
        <c:crosses val="autoZero"/>
        <c:crossBetween val="midCat"/>
      </c:valAx>
      <c:valAx>
        <c:axId val="3"/>
        <c:scaling>
          <c:logBase val="10"/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"/>
        <c:crosses val="max"/>
        <c:crossBetween val="midCat"/>
      </c:valAx>
      <c:valAx>
        <c:axId val="4"/>
        <c:scaling>
          <c:orientation val="minMax"/>
        </c:scaling>
        <c:delete val="0"/>
        <c:axPos val="r"/>
        <c:numFmt formatCode="0.0000E+00" sourceLinked="1"/>
        <c:majorTickMark val="none"/>
        <c:minorTickMark val="none"/>
        <c:tickLblPos val="nextTo"/>
        <c:crossAx val="3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86733238231098431"/>
          <c:y val="0.25683114990235761"/>
          <c:w val="0.108416547788873"/>
          <c:h val="0.4754110942205976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17</xdr:row>
      <xdr:rowOff>161925</xdr:rowOff>
    </xdr:from>
    <xdr:to>
      <xdr:col>8</xdr:col>
      <xdr:colOff>0</xdr:colOff>
      <xdr:row>18</xdr:row>
      <xdr:rowOff>295275</xdr:rowOff>
    </xdr:to>
    <xdr:sp macro="[0]!Step1" textlink="">
      <xdr:nvSpPr>
        <xdr:cNvPr id="17428" name="AutoShape 20">
          <a:extLst>
            <a:ext uri="{FF2B5EF4-FFF2-40B4-BE49-F238E27FC236}">
              <a16:creationId xmlns:a16="http://schemas.microsoft.com/office/drawing/2014/main" id="{EE70AC51-D1B4-F1F1-3618-7A5939192F98}"/>
            </a:ext>
          </a:extLst>
        </xdr:cNvPr>
        <xdr:cNvSpPr>
          <a:spLocks noChangeArrowheads="1"/>
        </xdr:cNvSpPr>
      </xdr:nvSpPr>
      <xdr:spPr bwMode="auto">
        <a:xfrm>
          <a:off x="1076325" y="3543300"/>
          <a:ext cx="4105275" cy="304800"/>
        </a:xfrm>
        <a:prstGeom prst="bevel">
          <a:avLst>
            <a:gd name="adj" fmla="val 12500"/>
          </a:avLst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0" anchor="t" upright="1"/>
        <a:lstStyle/>
        <a:p>
          <a:pPr algn="ctr" rtl="0">
            <a:defRPr sz="1000"/>
          </a:pPr>
          <a:r>
            <a:rPr lang="en-US" altLang="ja-JP" sz="1200" b="1" i="0" u="none" strike="noStrike" baseline="0">
              <a:solidFill>
                <a:srgbClr val="FFFFFF"/>
              </a:solidFill>
              <a:latin typeface="Arial" pitchFamily="34" charset="0"/>
              <a:ea typeface="ＭＳ Ｐゴシック"/>
              <a:cs typeface="Arial" pitchFamily="34" charset="0"/>
            </a:rPr>
            <a:t>Handshake</a:t>
          </a:r>
          <a:endParaRPr lang="ja-JP" altLang="en-US" sz="1200" b="1" i="0" u="none" strike="noStrike" baseline="0">
            <a:solidFill>
              <a:srgbClr val="FFFFFF"/>
            </a:solidFill>
            <a:latin typeface="Arial" pitchFamily="34" charset="0"/>
            <a:ea typeface="ＭＳ Ｐゴシック"/>
            <a:cs typeface="Arial" pitchFamily="34" charset="0"/>
          </a:endParaRPr>
        </a:p>
      </xdr:txBody>
    </xdr:sp>
    <xdr:clientData/>
  </xdr:twoCellAnchor>
  <xdr:twoCellAnchor>
    <xdr:from>
      <xdr:col>2</xdr:col>
      <xdr:colOff>0</xdr:colOff>
      <xdr:row>30</xdr:row>
      <xdr:rowOff>0</xdr:rowOff>
    </xdr:from>
    <xdr:to>
      <xdr:col>4</xdr:col>
      <xdr:colOff>523875</xdr:colOff>
      <xdr:row>31</xdr:row>
      <xdr:rowOff>0</xdr:rowOff>
    </xdr:to>
    <xdr:sp macro="[0]!Step2_GetData" textlink="">
      <xdr:nvSpPr>
        <xdr:cNvPr id="1027" name="AutoShape 24">
          <a:extLst>
            <a:ext uri="{FF2B5EF4-FFF2-40B4-BE49-F238E27FC236}">
              <a16:creationId xmlns:a16="http://schemas.microsoft.com/office/drawing/2014/main" id="{7AA44572-4010-08FC-06B9-ECD3C27EFFDC}"/>
            </a:ext>
          </a:extLst>
        </xdr:cNvPr>
        <xdr:cNvSpPr>
          <a:spLocks noChangeArrowheads="1"/>
        </xdr:cNvSpPr>
      </xdr:nvSpPr>
      <xdr:spPr bwMode="auto">
        <a:xfrm>
          <a:off x="809625" y="6410325"/>
          <a:ext cx="1990725" cy="304800"/>
        </a:xfrm>
        <a:prstGeom prst="bevel">
          <a:avLst>
            <a:gd name="adj" fmla="val 12500"/>
          </a:avLst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0" anchor="t" upright="1"/>
        <a:lstStyle/>
        <a:p>
          <a:pPr algn="ctr" rtl="1">
            <a:defRPr sz="1000"/>
          </a:pPr>
          <a:r>
            <a:rPr lang="en-US" altLang="ja-JP" sz="1200" b="1" i="0" strike="noStrike">
              <a:solidFill>
                <a:srgbClr val="FFFFFF"/>
              </a:solidFill>
              <a:latin typeface="Arial"/>
              <a:cs typeface="Arial"/>
            </a:rPr>
            <a:t>Get Data</a:t>
          </a:r>
        </a:p>
      </xdr:txBody>
    </xdr:sp>
    <xdr:clientData/>
  </xdr:twoCellAnchor>
  <xdr:twoCellAnchor>
    <xdr:from>
      <xdr:col>5</xdr:col>
      <xdr:colOff>247650</xdr:colOff>
      <xdr:row>29</xdr:row>
      <xdr:rowOff>152400</xdr:rowOff>
    </xdr:from>
    <xdr:to>
      <xdr:col>7</xdr:col>
      <xdr:colOff>771525</xdr:colOff>
      <xdr:row>30</xdr:row>
      <xdr:rowOff>295275</xdr:rowOff>
    </xdr:to>
    <xdr:sp macro="[0]!Step2_GetImage" textlink="">
      <xdr:nvSpPr>
        <xdr:cNvPr id="1028" name="AutoShape 24">
          <a:extLst>
            <a:ext uri="{FF2B5EF4-FFF2-40B4-BE49-F238E27FC236}">
              <a16:creationId xmlns:a16="http://schemas.microsoft.com/office/drawing/2014/main" id="{31D68F68-A0C3-F565-263A-A0F1329FD3D6}"/>
            </a:ext>
          </a:extLst>
        </xdr:cNvPr>
        <xdr:cNvSpPr>
          <a:spLocks noChangeArrowheads="1"/>
        </xdr:cNvSpPr>
      </xdr:nvSpPr>
      <xdr:spPr bwMode="auto">
        <a:xfrm>
          <a:off x="3257550" y="6400800"/>
          <a:ext cx="1990725" cy="304800"/>
        </a:xfrm>
        <a:prstGeom prst="bevel">
          <a:avLst>
            <a:gd name="adj" fmla="val 12500"/>
          </a:avLst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0" anchor="t" upright="1"/>
        <a:lstStyle/>
        <a:p>
          <a:pPr algn="ctr" rtl="1">
            <a:defRPr sz="1000"/>
          </a:pPr>
          <a:r>
            <a:rPr lang="en-US" altLang="ja-JP" sz="1200" b="1" i="0" strike="noStrike">
              <a:solidFill>
                <a:srgbClr val="FFFFFF"/>
              </a:solidFill>
              <a:latin typeface="Arial"/>
              <a:cs typeface="Arial"/>
            </a:rPr>
            <a:t>Get Image</a:t>
          </a:r>
        </a:p>
      </xdr:txBody>
    </xdr:sp>
    <xdr:clientData/>
  </xdr:twoCellAnchor>
  <xdr:twoCellAnchor editAs="oneCell">
    <xdr:from>
      <xdr:col>4</xdr:col>
      <xdr:colOff>0</xdr:colOff>
      <xdr:row>27</xdr:row>
      <xdr:rowOff>0</xdr:rowOff>
    </xdr:from>
    <xdr:to>
      <xdr:col>5</xdr:col>
      <xdr:colOff>19050</xdr:colOff>
      <xdr:row>30</xdr:row>
      <xdr:rowOff>95250</xdr:rowOff>
    </xdr:to>
    <xdr:pic>
      <xdr:nvPicPr>
        <xdr:cNvPr id="1144658" name="Agt4395Control1" hidden="1">
          <a:extLst>
            <a:ext uri="{FF2B5EF4-FFF2-40B4-BE49-F238E27FC236}">
              <a16:creationId xmlns:a16="http://schemas.microsoft.com/office/drawing/2014/main" id="{3A4A35FC-D654-0B9A-DA93-6AAF34D79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5886450"/>
          <a:ext cx="752475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676275</xdr:colOff>
      <xdr:row>6</xdr:row>
      <xdr:rowOff>19050</xdr:rowOff>
    </xdr:from>
    <xdr:to>
      <xdr:col>9</xdr:col>
      <xdr:colOff>0</xdr:colOff>
      <xdr:row>8</xdr:row>
      <xdr:rowOff>180975</xdr:rowOff>
    </xdr:to>
    <xdr:pic>
      <xdr:nvPicPr>
        <xdr:cNvPr id="1144659" name="図 7" descr="4294a.PNG">
          <a:extLst>
            <a:ext uri="{FF2B5EF4-FFF2-40B4-BE49-F238E27FC236}">
              <a16:creationId xmlns:a16="http://schemas.microsoft.com/office/drawing/2014/main" id="{3BE7ACA2-A40F-38A6-9B3B-56D616140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5" y="1181100"/>
          <a:ext cx="8667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17</xdr:row>
      <xdr:rowOff>57150</xdr:rowOff>
    </xdr:from>
    <xdr:to>
      <xdr:col>20</xdr:col>
      <xdr:colOff>161925</xdr:colOff>
      <xdr:row>44</xdr:row>
      <xdr:rowOff>76200</xdr:rowOff>
    </xdr:to>
    <xdr:graphicFrame macro="">
      <xdr:nvGraphicFramePr>
        <xdr:cNvPr id="2430043" name="グラフ 1">
          <a:extLst>
            <a:ext uri="{FF2B5EF4-FFF2-40B4-BE49-F238E27FC236}">
              <a16:creationId xmlns:a16="http://schemas.microsoft.com/office/drawing/2014/main" id="{EA33C839-73A0-642C-A808-0176DFA79B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0</xdr:row>
      <xdr:rowOff>66675</xdr:rowOff>
    </xdr:from>
    <xdr:to>
      <xdr:col>9</xdr:col>
      <xdr:colOff>76200</xdr:colOff>
      <xdr:row>1</xdr:row>
      <xdr:rowOff>104775</xdr:rowOff>
    </xdr:to>
    <xdr:sp macro="" textlink="">
      <xdr:nvSpPr>
        <xdr:cNvPr id="2050" name="線吹き出し 2 (枠付き) 2">
          <a:extLst>
            <a:ext uri="{FF2B5EF4-FFF2-40B4-BE49-F238E27FC236}">
              <a16:creationId xmlns:a16="http://schemas.microsoft.com/office/drawing/2014/main" id="{7A98618C-970E-6F4C-D390-9EDA970D3E31}"/>
            </a:ext>
          </a:extLst>
        </xdr:cNvPr>
        <xdr:cNvSpPr>
          <a:spLocks/>
        </xdr:cNvSpPr>
      </xdr:nvSpPr>
      <xdr:spPr bwMode="auto">
        <a:xfrm>
          <a:off x="2457450" y="66675"/>
          <a:ext cx="3629025" cy="200025"/>
        </a:xfrm>
        <a:prstGeom prst="borderCallout2">
          <a:avLst>
            <a:gd name="adj1" fmla="val 57144"/>
            <a:gd name="adj2" fmla="val 102102"/>
            <a:gd name="adj3" fmla="val 57144"/>
            <a:gd name="adj4" fmla="val 137269"/>
            <a:gd name="adj5" fmla="val 261903"/>
            <a:gd name="adj6" fmla="val 137269"/>
          </a:avLst>
        </a:prstGeom>
        <a:solidFill>
          <a:srgbClr val="EEECE1"/>
        </a:solidFill>
        <a:ln w="9525" algn="ctr">
          <a:solidFill>
            <a:srgbClr val="46AAC5"/>
          </a:solidFill>
          <a:miter lim="800000"/>
          <a:headEnd/>
          <a:tailEnd type="oval" w="med" len="med"/>
        </a:ln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n-US" altLang="ja-JP" sz="800" b="0" i="0" strike="noStrike">
              <a:solidFill>
                <a:srgbClr val="000000"/>
              </a:solidFill>
              <a:latin typeface="Calibri"/>
            </a:rPr>
            <a:t>Select either point# or sweep parameter as x-axis for the graph</a:t>
          </a:r>
        </a:p>
      </xdr:txBody>
    </xdr:sp>
    <xdr:clientData/>
  </xdr:twoCellAnchor>
  <xdr:twoCellAnchor>
    <xdr:from>
      <xdr:col>7</xdr:col>
      <xdr:colOff>133348</xdr:colOff>
      <xdr:row>24</xdr:row>
      <xdr:rowOff>47625</xdr:rowOff>
    </xdr:from>
    <xdr:to>
      <xdr:col>10</xdr:col>
      <xdr:colOff>66674</xdr:colOff>
      <xdr:row>29</xdr:row>
      <xdr:rowOff>114300</xdr:rowOff>
    </xdr:to>
    <xdr:sp macro="" textlink="">
      <xdr:nvSpPr>
        <xdr:cNvPr id="5" name="線吹き出し 2 (枠付き) 4">
          <a:extLst>
            <a:ext uri="{FF2B5EF4-FFF2-40B4-BE49-F238E27FC236}">
              <a16:creationId xmlns:a16="http://schemas.microsoft.com/office/drawing/2014/main" id="{741E874E-9654-4C82-2BB1-58669FA37ED4}"/>
            </a:ext>
          </a:extLst>
        </xdr:cNvPr>
        <xdr:cNvSpPr/>
      </xdr:nvSpPr>
      <xdr:spPr>
        <a:xfrm>
          <a:off x="5391148" y="4086225"/>
          <a:ext cx="1733551" cy="828675"/>
        </a:xfrm>
        <a:prstGeom prst="borderCallout2">
          <a:avLst>
            <a:gd name="adj1" fmla="val 22308"/>
            <a:gd name="adj2" fmla="val -1747"/>
            <a:gd name="adj3" fmla="val 22308"/>
            <a:gd name="adj4" fmla="val -13485"/>
            <a:gd name="adj5" fmla="val 61260"/>
            <a:gd name="adj6" fmla="val -13629"/>
          </a:avLst>
        </a:prstGeom>
        <a:solidFill>
          <a:schemeClr val="bg2"/>
        </a:solidFill>
        <a:ln>
          <a:headEnd type="none" w="med" len="med"/>
          <a:tailEnd type="oval" w="med" len="med"/>
        </a:ln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Data</a:t>
          </a:r>
          <a:r>
            <a:rPr kumimoji="1" lang="en-US" altLang="ja-JP" sz="800" baseline="0">
              <a:solidFill>
                <a:schemeClr val="tx1"/>
              </a:solidFill>
            </a:rPr>
            <a:t> over</a:t>
          </a:r>
          <a:r>
            <a:rPr kumimoji="1" lang="en-US" altLang="ja-JP" sz="800">
              <a:solidFill>
                <a:schemeClr val="tx1"/>
              </a:solidFill>
            </a:rPr>
            <a:t> #21 is under the graph.   To see the</a:t>
          </a:r>
          <a:r>
            <a:rPr kumimoji="1" lang="en-US" altLang="ja-JP" sz="800" baseline="0">
              <a:solidFill>
                <a:schemeClr val="tx1"/>
              </a:solidFill>
            </a:rPr>
            <a:t> whole </a:t>
          </a:r>
          <a:r>
            <a:rPr kumimoji="1" lang="en-US" altLang="ja-JP" sz="800">
              <a:solidFill>
                <a:schemeClr val="tx1"/>
              </a:solidFill>
            </a:rPr>
            <a:t>data, move the graph then optimize the cell height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17</xdr:row>
      <xdr:rowOff>57150</xdr:rowOff>
    </xdr:from>
    <xdr:to>
      <xdr:col>20</xdr:col>
      <xdr:colOff>161925</xdr:colOff>
      <xdr:row>44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3987814-F852-4527-A79D-CFF0A374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0</xdr:row>
      <xdr:rowOff>66675</xdr:rowOff>
    </xdr:from>
    <xdr:to>
      <xdr:col>9</xdr:col>
      <xdr:colOff>76200</xdr:colOff>
      <xdr:row>1</xdr:row>
      <xdr:rowOff>104775</xdr:rowOff>
    </xdr:to>
    <xdr:sp macro="" textlink="">
      <xdr:nvSpPr>
        <xdr:cNvPr id="3" name="線吹き出し 2 (枠付き) 2">
          <a:extLst>
            <a:ext uri="{FF2B5EF4-FFF2-40B4-BE49-F238E27FC236}">
              <a16:creationId xmlns:a16="http://schemas.microsoft.com/office/drawing/2014/main" id="{B19E3800-933B-4ACF-98B5-F40EB0A559C0}"/>
            </a:ext>
          </a:extLst>
        </xdr:cNvPr>
        <xdr:cNvSpPr>
          <a:spLocks/>
        </xdr:cNvSpPr>
      </xdr:nvSpPr>
      <xdr:spPr bwMode="auto">
        <a:xfrm>
          <a:off x="2457450" y="66675"/>
          <a:ext cx="3629025" cy="200025"/>
        </a:xfrm>
        <a:prstGeom prst="borderCallout2">
          <a:avLst>
            <a:gd name="adj1" fmla="val 57144"/>
            <a:gd name="adj2" fmla="val 102102"/>
            <a:gd name="adj3" fmla="val 57144"/>
            <a:gd name="adj4" fmla="val 137269"/>
            <a:gd name="adj5" fmla="val 261903"/>
            <a:gd name="adj6" fmla="val 137269"/>
          </a:avLst>
        </a:prstGeom>
        <a:solidFill>
          <a:srgbClr val="EEECE1"/>
        </a:solidFill>
        <a:ln w="9525" algn="ctr">
          <a:solidFill>
            <a:srgbClr val="46AAC5"/>
          </a:solidFill>
          <a:miter lim="800000"/>
          <a:headEnd/>
          <a:tailEnd type="oval" w="med" len="med"/>
        </a:ln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n-US" altLang="ja-JP" sz="800" b="0" i="0" strike="noStrike">
              <a:solidFill>
                <a:srgbClr val="000000"/>
              </a:solidFill>
              <a:latin typeface="Calibri"/>
            </a:rPr>
            <a:t>Select either point# or sweep parameter as x-axis for the graph</a:t>
          </a:r>
        </a:p>
      </xdr:txBody>
    </xdr:sp>
    <xdr:clientData/>
  </xdr:twoCellAnchor>
  <xdr:twoCellAnchor>
    <xdr:from>
      <xdr:col>7</xdr:col>
      <xdr:colOff>133348</xdr:colOff>
      <xdr:row>24</xdr:row>
      <xdr:rowOff>47625</xdr:rowOff>
    </xdr:from>
    <xdr:to>
      <xdr:col>10</xdr:col>
      <xdr:colOff>66674</xdr:colOff>
      <xdr:row>29</xdr:row>
      <xdr:rowOff>114300</xdr:rowOff>
    </xdr:to>
    <xdr:sp macro="" textlink="">
      <xdr:nvSpPr>
        <xdr:cNvPr id="4" name="線吹き出し 2 (枠付き) 4">
          <a:extLst>
            <a:ext uri="{FF2B5EF4-FFF2-40B4-BE49-F238E27FC236}">
              <a16:creationId xmlns:a16="http://schemas.microsoft.com/office/drawing/2014/main" id="{F5B05EA6-26FF-4A41-A300-1A26C6801BE2}"/>
            </a:ext>
          </a:extLst>
        </xdr:cNvPr>
        <xdr:cNvSpPr/>
      </xdr:nvSpPr>
      <xdr:spPr>
        <a:xfrm>
          <a:off x="4676773" y="4191000"/>
          <a:ext cx="1676401" cy="876300"/>
        </a:xfrm>
        <a:prstGeom prst="borderCallout2">
          <a:avLst>
            <a:gd name="adj1" fmla="val 22308"/>
            <a:gd name="adj2" fmla="val -1747"/>
            <a:gd name="adj3" fmla="val 22308"/>
            <a:gd name="adj4" fmla="val -13485"/>
            <a:gd name="adj5" fmla="val 61260"/>
            <a:gd name="adj6" fmla="val -13629"/>
          </a:avLst>
        </a:prstGeom>
        <a:solidFill>
          <a:schemeClr val="bg2"/>
        </a:solidFill>
        <a:ln>
          <a:headEnd type="none" w="med" len="med"/>
          <a:tailEnd type="oval" w="med" len="med"/>
        </a:ln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Data</a:t>
          </a:r>
          <a:r>
            <a:rPr kumimoji="1" lang="en-US" altLang="ja-JP" sz="800" baseline="0">
              <a:solidFill>
                <a:schemeClr val="tx1"/>
              </a:solidFill>
            </a:rPr>
            <a:t> over</a:t>
          </a:r>
          <a:r>
            <a:rPr kumimoji="1" lang="en-US" altLang="ja-JP" sz="800">
              <a:solidFill>
                <a:schemeClr val="tx1"/>
              </a:solidFill>
            </a:rPr>
            <a:t> #21 is under the graph.   To see the</a:t>
          </a:r>
          <a:r>
            <a:rPr kumimoji="1" lang="en-US" altLang="ja-JP" sz="800" baseline="0">
              <a:solidFill>
                <a:schemeClr val="tx1"/>
              </a:solidFill>
            </a:rPr>
            <a:t> whole </a:t>
          </a:r>
          <a:r>
            <a:rPr kumimoji="1" lang="en-US" altLang="ja-JP" sz="800">
              <a:solidFill>
                <a:schemeClr val="tx1"/>
              </a:solidFill>
            </a:rPr>
            <a:t>data, move the graph then optimize the cell height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17</xdr:row>
      <xdr:rowOff>57150</xdr:rowOff>
    </xdr:from>
    <xdr:to>
      <xdr:col>20</xdr:col>
      <xdr:colOff>161925</xdr:colOff>
      <xdr:row>44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C8921D7-D05C-4840-8D27-B62D55A1E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0</xdr:row>
      <xdr:rowOff>66675</xdr:rowOff>
    </xdr:from>
    <xdr:to>
      <xdr:col>9</xdr:col>
      <xdr:colOff>76200</xdr:colOff>
      <xdr:row>1</xdr:row>
      <xdr:rowOff>104775</xdr:rowOff>
    </xdr:to>
    <xdr:sp macro="" textlink="">
      <xdr:nvSpPr>
        <xdr:cNvPr id="3" name="線吹き出し 2 (枠付き) 2">
          <a:extLst>
            <a:ext uri="{FF2B5EF4-FFF2-40B4-BE49-F238E27FC236}">
              <a16:creationId xmlns:a16="http://schemas.microsoft.com/office/drawing/2014/main" id="{05A24C7D-E48D-49F3-8587-A70CFFD30483}"/>
            </a:ext>
          </a:extLst>
        </xdr:cNvPr>
        <xdr:cNvSpPr>
          <a:spLocks/>
        </xdr:cNvSpPr>
      </xdr:nvSpPr>
      <xdr:spPr bwMode="auto">
        <a:xfrm>
          <a:off x="2457450" y="66675"/>
          <a:ext cx="3629025" cy="200025"/>
        </a:xfrm>
        <a:prstGeom prst="borderCallout2">
          <a:avLst>
            <a:gd name="adj1" fmla="val 57144"/>
            <a:gd name="adj2" fmla="val 102102"/>
            <a:gd name="adj3" fmla="val 57144"/>
            <a:gd name="adj4" fmla="val 137269"/>
            <a:gd name="adj5" fmla="val 261903"/>
            <a:gd name="adj6" fmla="val 137269"/>
          </a:avLst>
        </a:prstGeom>
        <a:solidFill>
          <a:srgbClr val="EEECE1"/>
        </a:solidFill>
        <a:ln w="9525" algn="ctr">
          <a:solidFill>
            <a:srgbClr val="46AAC5"/>
          </a:solidFill>
          <a:miter lim="800000"/>
          <a:headEnd/>
          <a:tailEnd type="oval" w="med" len="med"/>
        </a:ln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n-US" altLang="ja-JP" sz="800" b="0" i="0" strike="noStrike">
              <a:solidFill>
                <a:srgbClr val="000000"/>
              </a:solidFill>
              <a:latin typeface="Calibri"/>
            </a:rPr>
            <a:t>Select either point# or sweep parameter as x-axis for the graph</a:t>
          </a:r>
        </a:p>
      </xdr:txBody>
    </xdr:sp>
    <xdr:clientData/>
  </xdr:twoCellAnchor>
  <xdr:twoCellAnchor>
    <xdr:from>
      <xdr:col>7</xdr:col>
      <xdr:colOff>133348</xdr:colOff>
      <xdr:row>24</xdr:row>
      <xdr:rowOff>47625</xdr:rowOff>
    </xdr:from>
    <xdr:to>
      <xdr:col>10</xdr:col>
      <xdr:colOff>66674</xdr:colOff>
      <xdr:row>29</xdr:row>
      <xdr:rowOff>114300</xdr:rowOff>
    </xdr:to>
    <xdr:sp macro="" textlink="">
      <xdr:nvSpPr>
        <xdr:cNvPr id="4" name="線吹き出し 2 (枠付き) 4">
          <a:extLst>
            <a:ext uri="{FF2B5EF4-FFF2-40B4-BE49-F238E27FC236}">
              <a16:creationId xmlns:a16="http://schemas.microsoft.com/office/drawing/2014/main" id="{04688E5F-D8B0-40B6-9CBB-5FE968A9F906}"/>
            </a:ext>
          </a:extLst>
        </xdr:cNvPr>
        <xdr:cNvSpPr/>
      </xdr:nvSpPr>
      <xdr:spPr>
        <a:xfrm>
          <a:off x="4676773" y="4191000"/>
          <a:ext cx="1676401" cy="876300"/>
        </a:xfrm>
        <a:prstGeom prst="borderCallout2">
          <a:avLst>
            <a:gd name="adj1" fmla="val 22308"/>
            <a:gd name="adj2" fmla="val -1747"/>
            <a:gd name="adj3" fmla="val 22308"/>
            <a:gd name="adj4" fmla="val -13485"/>
            <a:gd name="adj5" fmla="val 61260"/>
            <a:gd name="adj6" fmla="val -13629"/>
          </a:avLst>
        </a:prstGeom>
        <a:solidFill>
          <a:schemeClr val="bg2"/>
        </a:solidFill>
        <a:ln>
          <a:headEnd type="none" w="med" len="med"/>
          <a:tailEnd type="oval" w="med" len="med"/>
        </a:ln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Data</a:t>
          </a:r>
          <a:r>
            <a:rPr kumimoji="1" lang="en-US" altLang="ja-JP" sz="800" baseline="0">
              <a:solidFill>
                <a:schemeClr val="tx1"/>
              </a:solidFill>
            </a:rPr>
            <a:t> over</a:t>
          </a:r>
          <a:r>
            <a:rPr kumimoji="1" lang="en-US" altLang="ja-JP" sz="800">
              <a:solidFill>
                <a:schemeClr val="tx1"/>
              </a:solidFill>
            </a:rPr>
            <a:t> #21 is under the graph.   To see the</a:t>
          </a:r>
          <a:r>
            <a:rPr kumimoji="1" lang="en-US" altLang="ja-JP" sz="800" baseline="0">
              <a:solidFill>
                <a:schemeClr val="tx1"/>
              </a:solidFill>
            </a:rPr>
            <a:t> whole </a:t>
          </a:r>
          <a:r>
            <a:rPr kumimoji="1" lang="en-US" altLang="ja-JP" sz="800">
              <a:solidFill>
                <a:schemeClr val="tx1"/>
              </a:solidFill>
            </a:rPr>
            <a:t>data, move the graph then optimize the cell height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17</xdr:row>
      <xdr:rowOff>57150</xdr:rowOff>
    </xdr:from>
    <xdr:to>
      <xdr:col>20</xdr:col>
      <xdr:colOff>161925</xdr:colOff>
      <xdr:row>44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E492978-CF75-49E4-B02F-FF7868E14C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0</xdr:row>
      <xdr:rowOff>66675</xdr:rowOff>
    </xdr:from>
    <xdr:to>
      <xdr:col>9</xdr:col>
      <xdr:colOff>76200</xdr:colOff>
      <xdr:row>1</xdr:row>
      <xdr:rowOff>104775</xdr:rowOff>
    </xdr:to>
    <xdr:sp macro="" textlink="">
      <xdr:nvSpPr>
        <xdr:cNvPr id="3" name="線吹き出し 2 (枠付き) 2">
          <a:extLst>
            <a:ext uri="{FF2B5EF4-FFF2-40B4-BE49-F238E27FC236}">
              <a16:creationId xmlns:a16="http://schemas.microsoft.com/office/drawing/2014/main" id="{4EA5B131-C775-4F43-85D5-FC8C73C635AE}"/>
            </a:ext>
          </a:extLst>
        </xdr:cNvPr>
        <xdr:cNvSpPr>
          <a:spLocks/>
        </xdr:cNvSpPr>
      </xdr:nvSpPr>
      <xdr:spPr bwMode="auto">
        <a:xfrm>
          <a:off x="2457450" y="66675"/>
          <a:ext cx="3629025" cy="200025"/>
        </a:xfrm>
        <a:prstGeom prst="borderCallout2">
          <a:avLst>
            <a:gd name="adj1" fmla="val 57144"/>
            <a:gd name="adj2" fmla="val 102102"/>
            <a:gd name="adj3" fmla="val 57144"/>
            <a:gd name="adj4" fmla="val 137269"/>
            <a:gd name="adj5" fmla="val 261903"/>
            <a:gd name="adj6" fmla="val 137269"/>
          </a:avLst>
        </a:prstGeom>
        <a:solidFill>
          <a:srgbClr val="EEECE1"/>
        </a:solidFill>
        <a:ln w="9525" algn="ctr">
          <a:solidFill>
            <a:srgbClr val="46AAC5"/>
          </a:solidFill>
          <a:miter lim="800000"/>
          <a:headEnd/>
          <a:tailEnd type="oval" w="med" len="med"/>
        </a:ln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n-US" altLang="ja-JP" sz="800" b="0" i="0" strike="noStrike">
              <a:solidFill>
                <a:srgbClr val="000000"/>
              </a:solidFill>
              <a:latin typeface="Calibri"/>
            </a:rPr>
            <a:t>Select either point# or sweep parameter as x-axis for the graph</a:t>
          </a:r>
        </a:p>
      </xdr:txBody>
    </xdr:sp>
    <xdr:clientData/>
  </xdr:twoCellAnchor>
  <xdr:twoCellAnchor>
    <xdr:from>
      <xdr:col>7</xdr:col>
      <xdr:colOff>133348</xdr:colOff>
      <xdr:row>24</xdr:row>
      <xdr:rowOff>47625</xdr:rowOff>
    </xdr:from>
    <xdr:to>
      <xdr:col>10</xdr:col>
      <xdr:colOff>66674</xdr:colOff>
      <xdr:row>29</xdr:row>
      <xdr:rowOff>114300</xdr:rowOff>
    </xdr:to>
    <xdr:sp macro="" textlink="">
      <xdr:nvSpPr>
        <xdr:cNvPr id="4" name="線吹き出し 2 (枠付き) 4">
          <a:extLst>
            <a:ext uri="{FF2B5EF4-FFF2-40B4-BE49-F238E27FC236}">
              <a16:creationId xmlns:a16="http://schemas.microsoft.com/office/drawing/2014/main" id="{07D824D2-DAB4-402E-955A-9883A75F3DB6}"/>
            </a:ext>
          </a:extLst>
        </xdr:cNvPr>
        <xdr:cNvSpPr/>
      </xdr:nvSpPr>
      <xdr:spPr>
        <a:xfrm>
          <a:off x="4676773" y="4191000"/>
          <a:ext cx="1676401" cy="876300"/>
        </a:xfrm>
        <a:prstGeom prst="borderCallout2">
          <a:avLst>
            <a:gd name="adj1" fmla="val 22308"/>
            <a:gd name="adj2" fmla="val -1747"/>
            <a:gd name="adj3" fmla="val 22308"/>
            <a:gd name="adj4" fmla="val -13485"/>
            <a:gd name="adj5" fmla="val 61260"/>
            <a:gd name="adj6" fmla="val -13629"/>
          </a:avLst>
        </a:prstGeom>
        <a:solidFill>
          <a:schemeClr val="bg2"/>
        </a:solidFill>
        <a:ln>
          <a:headEnd type="none" w="med" len="med"/>
          <a:tailEnd type="oval" w="med" len="med"/>
        </a:ln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Data</a:t>
          </a:r>
          <a:r>
            <a:rPr kumimoji="1" lang="en-US" altLang="ja-JP" sz="800" baseline="0">
              <a:solidFill>
                <a:schemeClr val="tx1"/>
              </a:solidFill>
            </a:rPr>
            <a:t> over</a:t>
          </a:r>
          <a:r>
            <a:rPr kumimoji="1" lang="en-US" altLang="ja-JP" sz="800">
              <a:solidFill>
                <a:schemeClr val="tx1"/>
              </a:solidFill>
            </a:rPr>
            <a:t> #21 is under the graph.   To see the</a:t>
          </a:r>
          <a:r>
            <a:rPr kumimoji="1" lang="en-US" altLang="ja-JP" sz="800" baseline="0">
              <a:solidFill>
                <a:schemeClr val="tx1"/>
              </a:solidFill>
            </a:rPr>
            <a:t> whole </a:t>
          </a:r>
          <a:r>
            <a:rPr kumimoji="1" lang="en-US" altLang="ja-JP" sz="800">
              <a:solidFill>
                <a:schemeClr val="tx1"/>
              </a:solidFill>
            </a:rPr>
            <a:t>data, move the graph then optimize the cell height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17</xdr:row>
      <xdr:rowOff>57150</xdr:rowOff>
    </xdr:from>
    <xdr:to>
      <xdr:col>20</xdr:col>
      <xdr:colOff>161925</xdr:colOff>
      <xdr:row>44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AEDB0E6-1644-4633-95E5-845BFAC874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0</xdr:row>
      <xdr:rowOff>66675</xdr:rowOff>
    </xdr:from>
    <xdr:to>
      <xdr:col>9</xdr:col>
      <xdr:colOff>76200</xdr:colOff>
      <xdr:row>1</xdr:row>
      <xdr:rowOff>104775</xdr:rowOff>
    </xdr:to>
    <xdr:sp macro="" textlink="">
      <xdr:nvSpPr>
        <xdr:cNvPr id="3" name="線吹き出し 2 (枠付き) 2">
          <a:extLst>
            <a:ext uri="{FF2B5EF4-FFF2-40B4-BE49-F238E27FC236}">
              <a16:creationId xmlns:a16="http://schemas.microsoft.com/office/drawing/2014/main" id="{BBF31163-43F8-4B92-8158-7246D31E2B85}"/>
            </a:ext>
          </a:extLst>
        </xdr:cNvPr>
        <xdr:cNvSpPr>
          <a:spLocks/>
        </xdr:cNvSpPr>
      </xdr:nvSpPr>
      <xdr:spPr bwMode="auto">
        <a:xfrm>
          <a:off x="2457450" y="66675"/>
          <a:ext cx="3629025" cy="200025"/>
        </a:xfrm>
        <a:prstGeom prst="borderCallout2">
          <a:avLst>
            <a:gd name="adj1" fmla="val 57144"/>
            <a:gd name="adj2" fmla="val 102102"/>
            <a:gd name="adj3" fmla="val 57144"/>
            <a:gd name="adj4" fmla="val 137269"/>
            <a:gd name="adj5" fmla="val 261903"/>
            <a:gd name="adj6" fmla="val 137269"/>
          </a:avLst>
        </a:prstGeom>
        <a:solidFill>
          <a:srgbClr val="EEECE1"/>
        </a:solidFill>
        <a:ln w="9525" algn="ctr">
          <a:solidFill>
            <a:srgbClr val="46AAC5"/>
          </a:solidFill>
          <a:miter lim="800000"/>
          <a:headEnd/>
          <a:tailEnd type="oval" w="med" len="med"/>
        </a:ln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n-US" altLang="ja-JP" sz="800" b="0" i="0" strike="noStrike">
              <a:solidFill>
                <a:srgbClr val="000000"/>
              </a:solidFill>
              <a:latin typeface="Calibri"/>
            </a:rPr>
            <a:t>Select either point# or sweep parameter as x-axis for the graph</a:t>
          </a:r>
        </a:p>
      </xdr:txBody>
    </xdr:sp>
    <xdr:clientData/>
  </xdr:twoCellAnchor>
  <xdr:twoCellAnchor>
    <xdr:from>
      <xdr:col>7</xdr:col>
      <xdr:colOff>133348</xdr:colOff>
      <xdr:row>24</xdr:row>
      <xdr:rowOff>47625</xdr:rowOff>
    </xdr:from>
    <xdr:to>
      <xdr:col>10</xdr:col>
      <xdr:colOff>66674</xdr:colOff>
      <xdr:row>29</xdr:row>
      <xdr:rowOff>114300</xdr:rowOff>
    </xdr:to>
    <xdr:sp macro="" textlink="">
      <xdr:nvSpPr>
        <xdr:cNvPr id="4" name="線吹き出し 2 (枠付き) 4">
          <a:extLst>
            <a:ext uri="{FF2B5EF4-FFF2-40B4-BE49-F238E27FC236}">
              <a16:creationId xmlns:a16="http://schemas.microsoft.com/office/drawing/2014/main" id="{9A6C2BF7-0FD8-4B25-99E1-DC1715AF5116}"/>
            </a:ext>
          </a:extLst>
        </xdr:cNvPr>
        <xdr:cNvSpPr/>
      </xdr:nvSpPr>
      <xdr:spPr>
        <a:xfrm>
          <a:off x="4676773" y="4191000"/>
          <a:ext cx="1676401" cy="876300"/>
        </a:xfrm>
        <a:prstGeom prst="borderCallout2">
          <a:avLst>
            <a:gd name="adj1" fmla="val 22308"/>
            <a:gd name="adj2" fmla="val -1747"/>
            <a:gd name="adj3" fmla="val 22308"/>
            <a:gd name="adj4" fmla="val -13485"/>
            <a:gd name="adj5" fmla="val 61260"/>
            <a:gd name="adj6" fmla="val -13629"/>
          </a:avLst>
        </a:prstGeom>
        <a:solidFill>
          <a:schemeClr val="bg2"/>
        </a:solidFill>
        <a:ln>
          <a:headEnd type="none" w="med" len="med"/>
          <a:tailEnd type="oval" w="med" len="med"/>
        </a:ln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Data</a:t>
          </a:r>
          <a:r>
            <a:rPr kumimoji="1" lang="en-US" altLang="ja-JP" sz="800" baseline="0">
              <a:solidFill>
                <a:schemeClr val="tx1"/>
              </a:solidFill>
            </a:rPr>
            <a:t> over</a:t>
          </a:r>
          <a:r>
            <a:rPr kumimoji="1" lang="en-US" altLang="ja-JP" sz="800">
              <a:solidFill>
                <a:schemeClr val="tx1"/>
              </a:solidFill>
            </a:rPr>
            <a:t> #21 is under the graph.   To see the</a:t>
          </a:r>
          <a:r>
            <a:rPr kumimoji="1" lang="en-US" altLang="ja-JP" sz="800" baseline="0">
              <a:solidFill>
                <a:schemeClr val="tx1"/>
              </a:solidFill>
            </a:rPr>
            <a:t> whole </a:t>
          </a:r>
          <a:r>
            <a:rPr kumimoji="1" lang="en-US" altLang="ja-JP" sz="800">
              <a:solidFill>
                <a:schemeClr val="tx1"/>
              </a:solidFill>
            </a:rPr>
            <a:t>data, move the graph then optimize the cell height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17</xdr:row>
      <xdr:rowOff>57150</xdr:rowOff>
    </xdr:from>
    <xdr:to>
      <xdr:col>20</xdr:col>
      <xdr:colOff>161925</xdr:colOff>
      <xdr:row>44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C65AC63-ABB4-4350-816B-23835BC94A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0</xdr:row>
      <xdr:rowOff>66675</xdr:rowOff>
    </xdr:from>
    <xdr:to>
      <xdr:col>9</xdr:col>
      <xdr:colOff>76200</xdr:colOff>
      <xdr:row>1</xdr:row>
      <xdr:rowOff>104775</xdr:rowOff>
    </xdr:to>
    <xdr:sp macro="" textlink="">
      <xdr:nvSpPr>
        <xdr:cNvPr id="3" name="線吹き出し 2 (枠付き) 2">
          <a:extLst>
            <a:ext uri="{FF2B5EF4-FFF2-40B4-BE49-F238E27FC236}">
              <a16:creationId xmlns:a16="http://schemas.microsoft.com/office/drawing/2014/main" id="{073A3EF6-8E33-40DC-83F2-80494D9340DB}"/>
            </a:ext>
          </a:extLst>
        </xdr:cNvPr>
        <xdr:cNvSpPr>
          <a:spLocks/>
        </xdr:cNvSpPr>
      </xdr:nvSpPr>
      <xdr:spPr bwMode="auto">
        <a:xfrm>
          <a:off x="2457450" y="66675"/>
          <a:ext cx="3629025" cy="200025"/>
        </a:xfrm>
        <a:prstGeom prst="borderCallout2">
          <a:avLst>
            <a:gd name="adj1" fmla="val 57144"/>
            <a:gd name="adj2" fmla="val 102102"/>
            <a:gd name="adj3" fmla="val 57144"/>
            <a:gd name="adj4" fmla="val 137269"/>
            <a:gd name="adj5" fmla="val 261903"/>
            <a:gd name="adj6" fmla="val 137269"/>
          </a:avLst>
        </a:prstGeom>
        <a:solidFill>
          <a:srgbClr val="EEECE1"/>
        </a:solidFill>
        <a:ln w="9525" algn="ctr">
          <a:solidFill>
            <a:srgbClr val="46AAC5"/>
          </a:solidFill>
          <a:miter lim="800000"/>
          <a:headEnd/>
          <a:tailEnd type="oval" w="med" len="med"/>
        </a:ln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n-US" altLang="ja-JP" sz="800" b="0" i="0" strike="noStrike">
              <a:solidFill>
                <a:srgbClr val="000000"/>
              </a:solidFill>
              <a:latin typeface="Calibri"/>
            </a:rPr>
            <a:t>Select either point# or sweep parameter as x-axis for the graph</a:t>
          </a:r>
        </a:p>
      </xdr:txBody>
    </xdr:sp>
    <xdr:clientData/>
  </xdr:twoCellAnchor>
  <xdr:twoCellAnchor>
    <xdr:from>
      <xdr:col>3</xdr:col>
      <xdr:colOff>3808</xdr:colOff>
      <xdr:row>21</xdr:row>
      <xdr:rowOff>85725</xdr:rowOff>
    </xdr:from>
    <xdr:to>
      <xdr:col>5</xdr:col>
      <xdr:colOff>188594</xdr:colOff>
      <xdr:row>26</xdr:row>
      <xdr:rowOff>152400</xdr:rowOff>
    </xdr:to>
    <xdr:sp macro="" textlink="">
      <xdr:nvSpPr>
        <xdr:cNvPr id="4" name="線吹き出し 2 (枠付き) 4">
          <a:extLst>
            <a:ext uri="{FF2B5EF4-FFF2-40B4-BE49-F238E27FC236}">
              <a16:creationId xmlns:a16="http://schemas.microsoft.com/office/drawing/2014/main" id="{87F14FAC-6569-4DB5-871C-F1DD327C7AC7}"/>
            </a:ext>
          </a:extLst>
        </xdr:cNvPr>
        <xdr:cNvSpPr/>
      </xdr:nvSpPr>
      <xdr:spPr>
        <a:xfrm>
          <a:off x="1459228" y="3918585"/>
          <a:ext cx="1510666" cy="942975"/>
        </a:xfrm>
        <a:prstGeom prst="borderCallout2">
          <a:avLst>
            <a:gd name="adj1" fmla="val 22308"/>
            <a:gd name="adj2" fmla="val -1747"/>
            <a:gd name="adj3" fmla="val 22308"/>
            <a:gd name="adj4" fmla="val -13485"/>
            <a:gd name="adj5" fmla="val 61260"/>
            <a:gd name="adj6" fmla="val -13629"/>
          </a:avLst>
        </a:prstGeom>
        <a:solidFill>
          <a:schemeClr val="bg2"/>
        </a:solidFill>
        <a:ln>
          <a:headEnd type="none" w="med" len="med"/>
          <a:tailEnd type="oval" w="med" len="med"/>
        </a:ln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Data</a:t>
          </a:r>
          <a:r>
            <a:rPr kumimoji="1" lang="en-US" altLang="ja-JP" sz="800" baseline="0">
              <a:solidFill>
                <a:schemeClr val="tx1"/>
              </a:solidFill>
            </a:rPr>
            <a:t> over</a:t>
          </a:r>
          <a:r>
            <a:rPr kumimoji="1" lang="en-US" altLang="ja-JP" sz="800">
              <a:solidFill>
                <a:schemeClr val="tx1"/>
              </a:solidFill>
            </a:rPr>
            <a:t> #21 is under the graph.   To see the</a:t>
          </a:r>
          <a:r>
            <a:rPr kumimoji="1" lang="en-US" altLang="ja-JP" sz="800" baseline="0">
              <a:solidFill>
                <a:schemeClr val="tx1"/>
              </a:solidFill>
            </a:rPr>
            <a:t> whole </a:t>
          </a:r>
          <a:r>
            <a:rPr kumimoji="1" lang="en-US" altLang="ja-JP" sz="800">
              <a:solidFill>
                <a:schemeClr val="tx1"/>
              </a:solidFill>
            </a:rPr>
            <a:t>data, move the graph then optimize the cell height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516255</xdr:colOff>
      <xdr:row>17</xdr:row>
      <xdr:rowOff>95250</xdr:rowOff>
    </xdr:from>
    <xdr:to>
      <xdr:col>21</xdr:col>
      <xdr:colOff>542925</xdr:colOff>
      <xdr:row>44</xdr:row>
      <xdr:rowOff>114300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B9E18A4-793E-4F63-B3DE-960D5F307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0</xdr:row>
      <xdr:rowOff>66675</xdr:rowOff>
    </xdr:from>
    <xdr:to>
      <xdr:col>9</xdr:col>
      <xdr:colOff>76200</xdr:colOff>
      <xdr:row>1</xdr:row>
      <xdr:rowOff>104775</xdr:rowOff>
    </xdr:to>
    <xdr:sp macro="" textlink="">
      <xdr:nvSpPr>
        <xdr:cNvPr id="3" name="線吹き出し 2 (枠付き) 2">
          <a:extLst>
            <a:ext uri="{FF2B5EF4-FFF2-40B4-BE49-F238E27FC236}">
              <a16:creationId xmlns:a16="http://schemas.microsoft.com/office/drawing/2014/main" id="{EB482BF7-9E58-4D70-9D6E-A3110A541B08}"/>
            </a:ext>
          </a:extLst>
        </xdr:cNvPr>
        <xdr:cNvSpPr>
          <a:spLocks/>
        </xdr:cNvSpPr>
      </xdr:nvSpPr>
      <xdr:spPr bwMode="auto">
        <a:xfrm>
          <a:off x="2457450" y="66675"/>
          <a:ext cx="3629025" cy="200025"/>
        </a:xfrm>
        <a:prstGeom prst="borderCallout2">
          <a:avLst>
            <a:gd name="adj1" fmla="val 57144"/>
            <a:gd name="adj2" fmla="val 102102"/>
            <a:gd name="adj3" fmla="val 57144"/>
            <a:gd name="adj4" fmla="val 137269"/>
            <a:gd name="adj5" fmla="val 261903"/>
            <a:gd name="adj6" fmla="val 137269"/>
          </a:avLst>
        </a:prstGeom>
        <a:solidFill>
          <a:srgbClr val="EEECE1"/>
        </a:solidFill>
        <a:ln w="9525" algn="ctr">
          <a:solidFill>
            <a:srgbClr val="46AAC5"/>
          </a:solidFill>
          <a:miter lim="800000"/>
          <a:headEnd/>
          <a:tailEnd type="oval" w="med" len="med"/>
        </a:ln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n-US" altLang="ja-JP" sz="800" b="0" i="0" strike="noStrike">
              <a:solidFill>
                <a:srgbClr val="000000"/>
              </a:solidFill>
              <a:latin typeface="Calibri"/>
            </a:rPr>
            <a:t>Select either point# or sweep parameter as x-axis for the graph</a:t>
          </a:r>
        </a:p>
      </xdr:txBody>
    </xdr:sp>
    <xdr:clientData/>
  </xdr:twoCellAnchor>
  <xdr:twoCellAnchor>
    <xdr:from>
      <xdr:col>4</xdr:col>
      <xdr:colOff>499108</xdr:colOff>
      <xdr:row>22</xdr:row>
      <xdr:rowOff>32385</xdr:rowOff>
    </xdr:from>
    <xdr:to>
      <xdr:col>7</xdr:col>
      <xdr:colOff>20954</xdr:colOff>
      <xdr:row>27</xdr:row>
      <xdr:rowOff>99060</xdr:rowOff>
    </xdr:to>
    <xdr:sp macro="" textlink="">
      <xdr:nvSpPr>
        <xdr:cNvPr id="4" name="線吹き出し 2 (枠付き) 4">
          <a:extLst>
            <a:ext uri="{FF2B5EF4-FFF2-40B4-BE49-F238E27FC236}">
              <a16:creationId xmlns:a16="http://schemas.microsoft.com/office/drawing/2014/main" id="{BD87FB4B-ABD9-42E6-942B-3E0DE5EFEACD}"/>
            </a:ext>
          </a:extLst>
        </xdr:cNvPr>
        <xdr:cNvSpPr/>
      </xdr:nvSpPr>
      <xdr:spPr>
        <a:xfrm>
          <a:off x="2617468" y="4040505"/>
          <a:ext cx="1510666" cy="942975"/>
        </a:xfrm>
        <a:prstGeom prst="borderCallout2">
          <a:avLst>
            <a:gd name="adj1" fmla="val 22308"/>
            <a:gd name="adj2" fmla="val -1747"/>
            <a:gd name="adj3" fmla="val 22308"/>
            <a:gd name="adj4" fmla="val -13485"/>
            <a:gd name="adj5" fmla="val 61260"/>
            <a:gd name="adj6" fmla="val -13629"/>
          </a:avLst>
        </a:prstGeom>
        <a:solidFill>
          <a:schemeClr val="bg2"/>
        </a:solidFill>
        <a:ln>
          <a:headEnd type="none" w="med" len="med"/>
          <a:tailEnd type="oval" w="med" len="med"/>
        </a:ln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Data</a:t>
          </a:r>
          <a:r>
            <a:rPr kumimoji="1" lang="en-US" altLang="ja-JP" sz="800" baseline="0">
              <a:solidFill>
                <a:schemeClr val="tx1"/>
              </a:solidFill>
            </a:rPr>
            <a:t> over</a:t>
          </a:r>
          <a:r>
            <a:rPr kumimoji="1" lang="en-US" altLang="ja-JP" sz="800">
              <a:solidFill>
                <a:schemeClr val="tx1"/>
              </a:solidFill>
            </a:rPr>
            <a:t> #21 is under the graph.   To see the</a:t>
          </a:r>
          <a:r>
            <a:rPr kumimoji="1" lang="en-US" altLang="ja-JP" sz="800" baseline="0">
              <a:solidFill>
                <a:schemeClr val="tx1"/>
              </a:solidFill>
            </a:rPr>
            <a:t> whole </a:t>
          </a:r>
          <a:r>
            <a:rPr kumimoji="1" lang="en-US" altLang="ja-JP" sz="800">
              <a:solidFill>
                <a:schemeClr val="tx1"/>
              </a:solidFill>
            </a:rPr>
            <a:t>data, move the graph then optimize the cell height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17</xdr:row>
      <xdr:rowOff>57150</xdr:rowOff>
    </xdr:from>
    <xdr:to>
      <xdr:col>20</xdr:col>
      <xdr:colOff>161925</xdr:colOff>
      <xdr:row>44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900E8B4-796F-46B8-8FF8-8DF0B16BD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0</xdr:row>
      <xdr:rowOff>66675</xdr:rowOff>
    </xdr:from>
    <xdr:to>
      <xdr:col>9</xdr:col>
      <xdr:colOff>76200</xdr:colOff>
      <xdr:row>1</xdr:row>
      <xdr:rowOff>104775</xdr:rowOff>
    </xdr:to>
    <xdr:sp macro="" textlink="">
      <xdr:nvSpPr>
        <xdr:cNvPr id="3" name="線吹き出し 2 (枠付き) 2">
          <a:extLst>
            <a:ext uri="{FF2B5EF4-FFF2-40B4-BE49-F238E27FC236}">
              <a16:creationId xmlns:a16="http://schemas.microsoft.com/office/drawing/2014/main" id="{300EDD43-632D-44B8-A46C-B0B332D7D2C0}"/>
            </a:ext>
          </a:extLst>
        </xdr:cNvPr>
        <xdr:cNvSpPr>
          <a:spLocks/>
        </xdr:cNvSpPr>
      </xdr:nvSpPr>
      <xdr:spPr bwMode="auto">
        <a:xfrm>
          <a:off x="2457450" y="66675"/>
          <a:ext cx="3629025" cy="200025"/>
        </a:xfrm>
        <a:prstGeom prst="borderCallout2">
          <a:avLst>
            <a:gd name="adj1" fmla="val 57144"/>
            <a:gd name="adj2" fmla="val 102102"/>
            <a:gd name="adj3" fmla="val 57144"/>
            <a:gd name="adj4" fmla="val 137269"/>
            <a:gd name="adj5" fmla="val 261903"/>
            <a:gd name="adj6" fmla="val 137269"/>
          </a:avLst>
        </a:prstGeom>
        <a:solidFill>
          <a:srgbClr val="EEECE1"/>
        </a:solidFill>
        <a:ln w="9525" algn="ctr">
          <a:solidFill>
            <a:srgbClr val="46AAC5"/>
          </a:solidFill>
          <a:miter lim="800000"/>
          <a:headEnd/>
          <a:tailEnd type="oval" w="med" len="med"/>
        </a:ln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n-US" altLang="ja-JP" sz="800" b="0" i="0" strike="noStrike">
              <a:solidFill>
                <a:srgbClr val="000000"/>
              </a:solidFill>
              <a:latin typeface="Calibri"/>
            </a:rPr>
            <a:t>Select either point# or sweep parameter as x-axis for the graph</a:t>
          </a:r>
        </a:p>
      </xdr:txBody>
    </xdr:sp>
    <xdr:clientData/>
  </xdr:twoCellAnchor>
  <xdr:twoCellAnchor>
    <xdr:from>
      <xdr:col>7</xdr:col>
      <xdr:colOff>133348</xdr:colOff>
      <xdr:row>24</xdr:row>
      <xdr:rowOff>47625</xdr:rowOff>
    </xdr:from>
    <xdr:to>
      <xdr:col>10</xdr:col>
      <xdr:colOff>66674</xdr:colOff>
      <xdr:row>29</xdr:row>
      <xdr:rowOff>114300</xdr:rowOff>
    </xdr:to>
    <xdr:sp macro="" textlink="">
      <xdr:nvSpPr>
        <xdr:cNvPr id="4" name="線吹き出し 2 (枠付き) 4">
          <a:extLst>
            <a:ext uri="{FF2B5EF4-FFF2-40B4-BE49-F238E27FC236}">
              <a16:creationId xmlns:a16="http://schemas.microsoft.com/office/drawing/2014/main" id="{8EE9F03D-F4EC-4A86-8E3D-A85DFB9E6703}"/>
            </a:ext>
          </a:extLst>
        </xdr:cNvPr>
        <xdr:cNvSpPr/>
      </xdr:nvSpPr>
      <xdr:spPr>
        <a:xfrm>
          <a:off x="4676773" y="4191000"/>
          <a:ext cx="1676401" cy="876300"/>
        </a:xfrm>
        <a:prstGeom prst="borderCallout2">
          <a:avLst>
            <a:gd name="adj1" fmla="val 22308"/>
            <a:gd name="adj2" fmla="val -1747"/>
            <a:gd name="adj3" fmla="val 22308"/>
            <a:gd name="adj4" fmla="val -13485"/>
            <a:gd name="adj5" fmla="val 61260"/>
            <a:gd name="adj6" fmla="val -13629"/>
          </a:avLst>
        </a:prstGeom>
        <a:solidFill>
          <a:schemeClr val="bg2"/>
        </a:solidFill>
        <a:ln>
          <a:headEnd type="none" w="med" len="med"/>
          <a:tailEnd type="oval" w="med" len="med"/>
        </a:ln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Data</a:t>
          </a:r>
          <a:r>
            <a:rPr kumimoji="1" lang="en-US" altLang="ja-JP" sz="800" baseline="0">
              <a:solidFill>
                <a:schemeClr val="tx1"/>
              </a:solidFill>
            </a:rPr>
            <a:t> over</a:t>
          </a:r>
          <a:r>
            <a:rPr kumimoji="1" lang="en-US" altLang="ja-JP" sz="800">
              <a:solidFill>
                <a:schemeClr val="tx1"/>
              </a:solidFill>
            </a:rPr>
            <a:t> #21 is under the graph.   To see the</a:t>
          </a:r>
          <a:r>
            <a:rPr kumimoji="1" lang="en-US" altLang="ja-JP" sz="800" baseline="0">
              <a:solidFill>
                <a:schemeClr val="tx1"/>
              </a:solidFill>
            </a:rPr>
            <a:t> whole </a:t>
          </a:r>
          <a:r>
            <a:rPr kumimoji="1" lang="en-US" altLang="ja-JP" sz="800">
              <a:solidFill>
                <a:schemeClr val="tx1"/>
              </a:solidFill>
            </a:rPr>
            <a:t>data, move the graph then optimize the cell height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17</xdr:row>
      <xdr:rowOff>57150</xdr:rowOff>
    </xdr:from>
    <xdr:to>
      <xdr:col>20</xdr:col>
      <xdr:colOff>161925</xdr:colOff>
      <xdr:row>44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D40C412-3F5A-45E7-9C0D-A5FA8A0421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0</xdr:row>
      <xdr:rowOff>66675</xdr:rowOff>
    </xdr:from>
    <xdr:to>
      <xdr:col>9</xdr:col>
      <xdr:colOff>76200</xdr:colOff>
      <xdr:row>1</xdr:row>
      <xdr:rowOff>104775</xdr:rowOff>
    </xdr:to>
    <xdr:sp macro="" textlink="">
      <xdr:nvSpPr>
        <xdr:cNvPr id="3" name="線吹き出し 2 (枠付き) 2">
          <a:extLst>
            <a:ext uri="{FF2B5EF4-FFF2-40B4-BE49-F238E27FC236}">
              <a16:creationId xmlns:a16="http://schemas.microsoft.com/office/drawing/2014/main" id="{C3F6FE72-D7DD-4F9C-8B07-AA7ED2941E89}"/>
            </a:ext>
          </a:extLst>
        </xdr:cNvPr>
        <xdr:cNvSpPr>
          <a:spLocks/>
        </xdr:cNvSpPr>
      </xdr:nvSpPr>
      <xdr:spPr bwMode="auto">
        <a:xfrm>
          <a:off x="2457450" y="66675"/>
          <a:ext cx="3629025" cy="200025"/>
        </a:xfrm>
        <a:prstGeom prst="borderCallout2">
          <a:avLst>
            <a:gd name="adj1" fmla="val 57144"/>
            <a:gd name="adj2" fmla="val 102102"/>
            <a:gd name="adj3" fmla="val 57144"/>
            <a:gd name="adj4" fmla="val 137269"/>
            <a:gd name="adj5" fmla="val 261903"/>
            <a:gd name="adj6" fmla="val 137269"/>
          </a:avLst>
        </a:prstGeom>
        <a:solidFill>
          <a:srgbClr val="EEECE1"/>
        </a:solidFill>
        <a:ln w="9525" algn="ctr">
          <a:solidFill>
            <a:srgbClr val="46AAC5"/>
          </a:solidFill>
          <a:miter lim="800000"/>
          <a:headEnd/>
          <a:tailEnd type="oval" w="med" len="med"/>
        </a:ln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n-US" altLang="ja-JP" sz="800" b="0" i="0" strike="noStrike">
              <a:solidFill>
                <a:srgbClr val="000000"/>
              </a:solidFill>
              <a:latin typeface="Calibri"/>
            </a:rPr>
            <a:t>Select either point# or sweep parameter as x-axis for the graph</a:t>
          </a:r>
        </a:p>
      </xdr:txBody>
    </xdr:sp>
    <xdr:clientData/>
  </xdr:twoCellAnchor>
  <xdr:twoCellAnchor>
    <xdr:from>
      <xdr:col>7</xdr:col>
      <xdr:colOff>133348</xdr:colOff>
      <xdr:row>24</xdr:row>
      <xdr:rowOff>47625</xdr:rowOff>
    </xdr:from>
    <xdr:to>
      <xdr:col>10</xdr:col>
      <xdr:colOff>66674</xdr:colOff>
      <xdr:row>29</xdr:row>
      <xdr:rowOff>114300</xdr:rowOff>
    </xdr:to>
    <xdr:sp macro="" textlink="">
      <xdr:nvSpPr>
        <xdr:cNvPr id="4" name="線吹き出し 2 (枠付き) 4">
          <a:extLst>
            <a:ext uri="{FF2B5EF4-FFF2-40B4-BE49-F238E27FC236}">
              <a16:creationId xmlns:a16="http://schemas.microsoft.com/office/drawing/2014/main" id="{4896AD35-73C4-4C00-AE32-47CB82ADD420}"/>
            </a:ext>
          </a:extLst>
        </xdr:cNvPr>
        <xdr:cNvSpPr/>
      </xdr:nvSpPr>
      <xdr:spPr>
        <a:xfrm>
          <a:off x="4676773" y="4191000"/>
          <a:ext cx="1676401" cy="876300"/>
        </a:xfrm>
        <a:prstGeom prst="borderCallout2">
          <a:avLst>
            <a:gd name="adj1" fmla="val 22308"/>
            <a:gd name="adj2" fmla="val -1747"/>
            <a:gd name="adj3" fmla="val 22308"/>
            <a:gd name="adj4" fmla="val -13485"/>
            <a:gd name="adj5" fmla="val 61260"/>
            <a:gd name="adj6" fmla="val -13629"/>
          </a:avLst>
        </a:prstGeom>
        <a:solidFill>
          <a:schemeClr val="bg2"/>
        </a:solidFill>
        <a:ln>
          <a:headEnd type="none" w="med" len="med"/>
          <a:tailEnd type="oval" w="med" len="med"/>
        </a:ln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Data</a:t>
          </a:r>
          <a:r>
            <a:rPr kumimoji="1" lang="en-US" altLang="ja-JP" sz="800" baseline="0">
              <a:solidFill>
                <a:schemeClr val="tx1"/>
              </a:solidFill>
            </a:rPr>
            <a:t> over</a:t>
          </a:r>
          <a:r>
            <a:rPr kumimoji="1" lang="en-US" altLang="ja-JP" sz="800">
              <a:solidFill>
                <a:schemeClr val="tx1"/>
              </a:solidFill>
            </a:rPr>
            <a:t> #21 is under the graph.   To see the</a:t>
          </a:r>
          <a:r>
            <a:rPr kumimoji="1" lang="en-US" altLang="ja-JP" sz="800" baseline="0">
              <a:solidFill>
                <a:schemeClr val="tx1"/>
              </a:solidFill>
            </a:rPr>
            <a:t> whole </a:t>
          </a:r>
          <a:r>
            <a:rPr kumimoji="1" lang="en-US" altLang="ja-JP" sz="800">
              <a:solidFill>
                <a:schemeClr val="tx1"/>
              </a:solidFill>
            </a:rPr>
            <a:t>data, move the graph then optimize the cell height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17</xdr:row>
      <xdr:rowOff>57150</xdr:rowOff>
    </xdr:from>
    <xdr:to>
      <xdr:col>20</xdr:col>
      <xdr:colOff>161925</xdr:colOff>
      <xdr:row>44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160ECC3-C099-4616-8984-60257C0ED5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0</xdr:row>
      <xdr:rowOff>66675</xdr:rowOff>
    </xdr:from>
    <xdr:to>
      <xdr:col>9</xdr:col>
      <xdr:colOff>76200</xdr:colOff>
      <xdr:row>1</xdr:row>
      <xdr:rowOff>104775</xdr:rowOff>
    </xdr:to>
    <xdr:sp macro="" textlink="">
      <xdr:nvSpPr>
        <xdr:cNvPr id="3" name="線吹き出し 2 (枠付き) 2">
          <a:extLst>
            <a:ext uri="{FF2B5EF4-FFF2-40B4-BE49-F238E27FC236}">
              <a16:creationId xmlns:a16="http://schemas.microsoft.com/office/drawing/2014/main" id="{9DEA777D-36BD-407A-BECE-CC7EF445A3CF}"/>
            </a:ext>
          </a:extLst>
        </xdr:cNvPr>
        <xdr:cNvSpPr>
          <a:spLocks/>
        </xdr:cNvSpPr>
      </xdr:nvSpPr>
      <xdr:spPr bwMode="auto">
        <a:xfrm>
          <a:off x="2457450" y="66675"/>
          <a:ext cx="3629025" cy="200025"/>
        </a:xfrm>
        <a:prstGeom prst="borderCallout2">
          <a:avLst>
            <a:gd name="adj1" fmla="val 57144"/>
            <a:gd name="adj2" fmla="val 102102"/>
            <a:gd name="adj3" fmla="val 57144"/>
            <a:gd name="adj4" fmla="val 137269"/>
            <a:gd name="adj5" fmla="val 261903"/>
            <a:gd name="adj6" fmla="val 137269"/>
          </a:avLst>
        </a:prstGeom>
        <a:solidFill>
          <a:srgbClr val="EEECE1"/>
        </a:solidFill>
        <a:ln w="9525" algn="ctr">
          <a:solidFill>
            <a:srgbClr val="46AAC5"/>
          </a:solidFill>
          <a:miter lim="800000"/>
          <a:headEnd/>
          <a:tailEnd type="oval" w="med" len="med"/>
        </a:ln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n-US" altLang="ja-JP" sz="800" b="0" i="0" strike="noStrike">
              <a:solidFill>
                <a:srgbClr val="000000"/>
              </a:solidFill>
              <a:latin typeface="Calibri"/>
            </a:rPr>
            <a:t>Select either point# or sweep parameter as x-axis for the graph</a:t>
          </a:r>
        </a:p>
      </xdr:txBody>
    </xdr:sp>
    <xdr:clientData/>
  </xdr:twoCellAnchor>
  <xdr:twoCellAnchor>
    <xdr:from>
      <xdr:col>7</xdr:col>
      <xdr:colOff>133348</xdr:colOff>
      <xdr:row>24</xdr:row>
      <xdr:rowOff>47625</xdr:rowOff>
    </xdr:from>
    <xdr:to>
      <xdr:col>10</xdr:col>
      <xdr:colOff>66674</xdr:colOff>
      <xdr:row>29</xdr:row>
      <xdr:rowOff>114300</xdr:rowOff>
    </xdr:to>
    <xdr:sp macro="" textlink="">
      <xdr:nvSpPr>
        <xdr:cNvPr id="4" name="線吹き出し 2 (枠付き) 4">
          <a:extLst>
            <a:ext uri="{FF2B5EF4-FFF2-40B4-BE49-F238E27FC236}">
              <a16:creationId xmlns:a16="http://schemas.microsoft.com/office/drawing/2014/main" id="{7217C570-F1F7-40E8-83B9-E28E796DF4A1}"/>
            </a:ext>
          </a:extLst>
        </xdr:cNvPr>
        <xdr:cNvSpPr/>
      </xdr:nvSpPr>
      <xdr:spPr>
        <a:xfrm>
          <a:off x="4676773" y="4191000"/>
          <a:ext cx="1676401" cy="876300"/>
        </a:xfrm>
        <a:prstGeom prst="borderCallout2">
          <a:avLst>
            <a:gd name="adj1" fmla="val 22308"/>
            <a:gd name="adj2" fmla="val -1747"/>
            <a:gd name="adj3" fmla="val 22308"/>
            <a:gd name="adj4" fmla="val -13485"/>
            <a:gd name="adj5" fmla="val 61260"/>
            <a:gd name="adj6" fmla="val -13629"/>
          </a:avLst>
        </a:prstGeom>
        <a:solidFill>
          <a:schemeClr val="bg2"/>
        </a:solidFill>
        <a:ln>
          <a:headEnd type="none" w="med" len="med"/>
          <a:tailEnd type="oval" w="med" len="med"/>
        </a:ln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Data</a:t>
          </a:r>
          <a:r>
            <a:rPr kumimoji="1" lang="en-US" altLang="ja-JP" sz="800" baseline="0">
              <a:solidFill>
                <a:schemeClr val="tx1"/>
              </a:solidFill>
            </a:rPr>
            <a:t> over</a:t>
          </a:r>
          <a:r>
            <a:rPr kumimoji="1" lang="en-US" altLang="ja-JP" sz="800">
              <a:solidFill>
                <a:schemeClr val="tx1"/>
              </a:solidFill>
            </a:rPr>
            <a:t> #21 is under the graph.   To see the</a:t>
          </a:r>
          <a:r>
            <a:rPr kumimoji="1" lang="en-US" altLang="ja-JP" sz="800" baseline="0">
              <a:solidFill>
                <a:schemeClr val="tx1"/>
              </a:solidFill>
            </a:rPr>
            <a:t> whole </a:t>
          </a:r>
          <a:r>
            <a:rPr kumimoji="1" lang="en-US" altLang="ja-JP" sz="800">
              <a:solidFill>
                <a:schemeClr val="tx1"/>
              </a:solidFill>
            </a:rPr>
            <a:t>data, move the graph then optimize the cell height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42"/>
  <sheetViews>
    <sheetView showGridLines="0" zoomScaleNormal="100" workbookViewId="0">
      <selection activeCell="C29" sqref="C29:D29"/>
    </sheetView>
  </sheetViews>
  <sheetFormatPr defaultColWidth="9" defaultRowHeight="13.2"/>
  <cols>
    <col min="1" max="1" width="3.77734375" style="1" customWidth="1"/>
    <col min="2" max="2" width="8.88671875" style="1" customWidth="1"/>
    <col min="3" max="7" width="9.6640625" style="1" customWidth="1"/>
    <col min="8" max="8" width="10.44140625" style="1" customWidth="1"/>
    <col min="9" max="9" width="9.77734375" style="1" customWidth="1"/>
    <col min="10" max="10" width="3.77734375" style="1" customWidth="1"/>
    <col min="11" max="16384" width="9" style="1"/>
  </cols>
  <sheetData>
    <row r="3" spans="2:11" ht="27.75" customHeight="1">
      <c r="B3" s="67" t="s">
        <v>0</v>
      </c>
      <c r="C3" s="67"/>
      <c r="D3" s="67"/>
      <c r="E3" s="67"/>
      <c r="F3" s="67"/>
      <c r="G3" s="67"/>
      <c r="H3" s="67"/>
      <c r="I3" s="67"/>
    </row>
    <row r="4" spans="2:11">
      <c r="I4" s="1" t="s">
        <v>45</v>
      </c>
    </row>
    <row r="6" spans="2:11">
      <c r="B6" s="68" t="s">
        <v>43</v>
      </c>
      <c r="C6" s="68"/>
      <c r="D6" s="68"/>
      <c r="E6" s="68"/>
      <c r="F6" s="68"/>
      <c r="G6" s="68"/>
      <c r="H6" s="68"/>
      <c r="I6" s="68"/>
    </row>
    <row r="7" spans="2:11">
      <c r="B7" s="70" t="s">
        <v>1</v>
      </c>
      <c r="C7" s="70"/>
      <c r="D7" s="70"/>
      <c r="E7" s="70"/>
      <c r="F7" s="70"/>
      <c r="G7" s="70"/>
      <c r="H7" s="70"/>
      <c r="I7" s="70"/>
    </row>
    <row r="8" spans="2:11">
      <c r="B8" s="71" t="s">
        <v>38</v>
      </c>
      <c r="C8" s="71"/>
      <c r="D8" s="71"/>
      <c r="E8" s="71"/>
      <c r="F8" s="71"/>
      <c r="G8" s="71"/>
      <c r="H8" s="71"/>
      <c r="I8" s="71"/>
    </row>
    <row r="9" spans="2:11" ht="15.75" customHeight="1">
      <c r="B9" s="69" t="s">
        <v>39</v>
      </c>
      <c r="C9" s="69"/>
      <c r="D9" s="69"/>
      <c r="E9" s="69"/>
      <c r="F9" s="69"/>
      <c r="G9" s="69"/>
      <c r="H9" s="69"/>
      <c r="I9" s="69"/>
    </row>
    <row r="10" spans="2:11">
      <c r="B10" s="2"/>
      <c r="C10" s="3"/>
      <c r="D10" s="3"/>
      <c r="E10" s="3"/>
      <c r="F10" s="3"/>
      <c r="G10" s="3"/>
      <c r="H10" s="3"/>
      <c r="I10" s="4"/>
    </row>
    <row r="11" spans="2:11">
      <c r="B11" s="5"/>
      <c r="C11" s="6" t="s">
        <v>2</v>
      </c>
      <c r="I11" s="7"/>
    </row>
    <row r="12" spans="2:11">
      <c r="B12" s="5"/>
      <c r="C12" s="8"/>
      <c r="I12" s="7"/>
    </row>
    <row r="13" spans="2:11" ht="38.25" customHeight="1">
      <c r="B13" s="5"/>
      <c r="C13" s="72" t="s">
        <v>40</v>
      </c>
      <c r="D13" s="72"/>
      <c r="E13" s="72"/>
      <c r="F13" s="72"/>
      <c r="G13" s="72"/>
      <c r="H13" s="72"/>
      <c r="I13" s="7"/>
    </row>
    <row r="14" spans="2:11" ht="13.8" thickBot="1">
      <c r="B14" s="5"/>
      <c r="I14" s="7"/>
    </row>
    <row r="15" spans="2:11" ht="24" customHeight="1" thickBot="1">
      <c r="B15" s="5"/>
      <c r="C15" s="82" t="s">
        <v>46</v>
      </c>
      <c r="D15" s="78"/>
      <c r="E15" s="9" t="s">
        <v>3</v>
      </c>
      <c r="F15" s="10"/>
      <c r="G15" s="10"/>
      <c r="H15" s="10"/>
      <c r="I15" s="7"/>
      <c r="K15" s="11" t="s">
        <v>4</v>
      </c>
    </row>
    <row r="16" spans="2:11" ht="13.5" customHeight="1" thickBot="1">
      <c r="B16" s="5"/>
      <c r="C16" s="12"/>
      <c r="D16" s="12"/>
      <c r="E16" s="13"/>
      <c r="I16" s="7"/>
      <c r="K16" s="11" t="s">
        <v>5</v>
      </c>
    </row>
    <row r="17" spans="2:11" ht="24" customHeight="1" thickBot="1">
      <c r="B17" s="5"/>
      <c r="C17" s="86" t="s">
        <v>49</v>
      </c>
      <c r="D17" s="87"/>
      <c r="E17" s="9" t="str">
        <f>IF(C15="GPIB"," &lt;---  Enter the GPIB address (Initial Setting:17)"," &lt;---  Enter the IP address (e.g.:192.168.68.2)")</f>
        <v xml:space="preserve"> &lt;---  Enter the IP address (e.g.:192.168.68.2)</v>
      </c>
      <c r="F17" s="10"/>
      <c r="G17" s="10"/>
      <c r="H17" s="10"/>
      <c r="I17" s="7"/>
      <c r="K17" s="11"/>
    </row>
    <row r="18" spans="2:11" ht="13.5" customHeight="1">
      <c r="B18" s="5"/>
      <c r="C18" s="12"/>
      <c r="D18" s="12"/>
      <c r="F18" s="14"/>
      <c r="I18" s="7"/>
      <c r="K18" s="11"/>
    </row>
    <row r="19" spans="2:11" ht="24" customHeight="1">
      <c r="B19" s="5"/>
      <c r="C19" s="79" t="s">
        <v>6</v>
      </c>
      <c r="D19" s="80"/>
      <c r="E19" s="80"/>
      <c r="F19" s="80"/>
      <c r="G19" s="80"/>
      <c r="H19" s="81"/>
      <c r="I19" s="7"/>
    </row>
    <row r="20" spans="2:11">
      <c r="B20" s="5"/>
      <c r="C20" s="15"/>
      <c r="D20" s="15"/>
      <c r="E20" s="15"/>
      <c r="F20" s="15"/>
      <c r="G20" s="15"/>
      <c r="H20" s="15"/>
      <c r="I20" s="7"/>
    </row>
    <row r="21" spans="2:11">
      <c r="B21" s="5"/>
      <c r="C21" s="16" t="s">
        <v>7</v>
      </c>
      <c r="D21" s="15"/>
      <c r="E21" s="17"/>
      <c r="F21" s="15"/>
      <c r="G21" s="15"/>
      <c r="H21" s="15"/>
      <c r="I21" s="7"/>
    </row>
    <row r="22" spans="2:11" ht="24" customHeight="1">
      <c r="B22" s="5"/>
      <c r="C22" s="52" t="s">
        <v>47</v>
      </c>
      <c r="D22" s="83" t="s">
        <v>48</v>
      </c>
      <c r="E22" s="84"/>
      <c r="F22" s="84"/>
      <c r="G22" s="84"/>
      <c r="H22" s="85"/>
      <c r="I22" s="7"/>
      <c r="K22" s="11"/>
    </row>
    <row r="23" spans="2:11">
      <c r="B23" s="18"/>
      <c r="C23" s="19"/>
      <c r="D23" s="19"/>
      <c r="E23" s="19"/>
      <c r="F23" s="19"/>
      <c r="G23" s="19"/>
      <c r="H23" s="19"/>
      <c r="I23" s="20"/>
      <c r="K23" s="11"/>
    </row>
    <row r="24" spans="2:11">
      <c r="B24" s="2"/>
      <c r="C24" s="3"/>
      <c r="D24" s="3"/>
      <c r="E24" s="3"/>
      <c r="F24" s="3"/>
      <c r="G24" s="3"/>
      <c r="H24" s="3"/>
      <c r="I24" s="4"/>
    </row>
    <row r="25" spans="2:11">
      <c r="B25" s="5"/>
      <c r="C25" s="8" t="s">
        <v>8</v>
      </c>
      <c r="I25" s="7"/>
    </row>
    <row r="26" spans="2:11">
      <c r="B26" s="5"/>
      <c r="C26" s="8"/>
      <c r="I26" s="7"/>
    </row>
    <row r="27" spans="2:11" ht="41.25" customHeight="1">
      <c r="B27" s="5"/>
      <c r="C27" s="72" t="s">
        <v>44</v>
      </c>
      <c r="D27" s="72"/>
      <c r="E27" s="72"/>
      <c r="F27" s="72"/>
      <c r="G27" s="72"/>
      <c r="H27" s="72"/>
      <c r="I27" s="7"/>
    </row>
    <row r="28" spans="2:11" ht="13.8" thickBot="1">
      <c r="B28" s="5"/>
      <c r="I28" s="7"/>
    </row>
    <row r="29" spans="2:11" ht="24" customHeight="1" thickBot="1">
      <c r="B29" s="5"/>
      <c r="C29" s="77" t="s">
        <v>83</v>
      </c>
      <c r="D29" s="78"/>
      <c r="E29" s="9" t="s">
        <v>9</v>
      </c>
      <c r="F29" s="21"/>
      <c r="G29" s="21"/>
      <c r="H29" s="21"/>
      <c r="I29" s="7"/>
    </row>
    <row r="30" spans="2:11">
      <c r="B30" s="5"/>
      <c r="I30" s="7"/>
    </row>
    <row r="31" spans="2:11" ht="24" customHeight="1">
      <c r="B31" s="5"/>
      <c r="C31" s="76"/>
      <c r="D31" s="76"/>
      <c r="E31" s="76"/>
      <c r="F31" s="76"/>
      <c r="G31" s="76"/>
      <c r="H31" s="76"/>
      <c r="I31" s="7"/>
    </row>
    <row r="32" spans="2:11" ht="13.5" customHeight="1">
      <c r="B32" s="5"/>
      <c r="C32" s="15"/>
      <c r="D32" s="49"/>
      <c r="E32" s="15"/>
      <c r="F32" s="15"/>
      <c r="G32" s="50"/>
      <c r="H32" s="15"/>
      <c r="I32" s="7"/>
    </row>
    <row r="33" spans="2:9" ht="13.5" customHeight="1">
      <c r="B33" s="5"/>
      <c r="C33" s="16" t="s">
        <v>10</v>
      </c>
      <c r="D33" s="15"/>
      <c r="E33" s="15"/>
      <c r="F33" s="15"/>
      <c r="G33" s="15"/>
      <c r="H33" s="15"/>
      <c r="I33" s="7"/>
    </row>
    <row r="34" spans="2:9" ht="24" customHeight="1">
      <c r="B34" s="5"/>
      <c r="C34" s="73"/>
      <c r="D34" s="74"/>
      <c r="E34" s="74"/>
      <c r="F34" s="74"/>
      <c r="G34" s="74"/>
      <c r="H34" s="75"/>
      <c r="I34" s="7"/>
    </row>
    <row r="35" spans="2:9">
      <c r="B35" s="18"/>
      <c r="C35" s="19"/>
      <c r="D35" s="19"/>
      <c r="E35" s="19"/>
      <c r="F35" s="19"/>
      <c r="G35" s="19"/>
      <c r="H35" s="19"/>
      <c r="I35" s="20"/>
    </row>
    <row r="38" spans="2:9">
      <c r="B38" s="22" t="s">
        <v>11</v>
      </c>
      <c r="C38" s="8"/>
    </row>
    <row r="39" spans="2:9" ht="27" customHeight="1">
      <c r="B39" s="72" t="s">
        <v>41</v>
      </c>
      <c r="C39" s="72"/>
      <c r="D39" s="72"/>
      <c r="E39" s="72"/>
      <c r="F39" s="72"/>
      <c r="G39" s="72"/>
      <c r="H39" s="72"/>
      <c r="I39" s="72"/>
    </row>
    <row r="40" spans="2:9" ht="55.5" customHeight="1">
      <c r="B40" s="72" t="s">
        <v>42</v>
      </c>
      <c r="C40" s="72"/>
      <c r="D40" s="72"/>
      <c r="E40" s="72"/>
      <c r="F40" s="72"/>
      <c r="G40" s="72"/>
      <c r="H40" s="72"/>
      <c r="I40" s="72"/>
    </row>
    <row r="41" spans="2:9" ht="26.25" customHeight="1">
      <c r="B41" s="72" t="s">
        <v>12</v>
      </c>
      <c r="C41" s="72"/>
      <c r="D41" s="72"/>
      <c r="E41" s="72"/>
      <c r="F41" s="72"/>
      <c r="G41" s="72"/>
      <c r="H41" s="72"/>
      <c r="I41" s="72"/>
    </row>
    <row r="42" spans="2:9" ht="27" customHeight="1">
      <c r="B42" s="72"/>
      <c r="C42" s="72"/>
      <c r="D42" s="72"/>
      <c r="E42" s="72"/>
      <c r="F42" s="72"/>
      <c r="G42" s="72"/>
      <c r="H42" s="72"/>
      <c r="I42" s="72"/>
    </row>
  </sheetData>
  <mergeCells count="18">
    <mergeCell ref="B40:I40"/>
    <mergeCell ref="B42:I42"/>
    <mergeCell ref="C13:H13"/>
    <mergeCell ref="C27:H27"/>
    <mergeCell ref="C34:H34"/>
    <mergeCell ref="C31:H31"/>
    <mergeCell ref="C29:D29"/>
    <mergeCell ref="C19:H19"/>
    <mergeCell ref="C15:D15"/>
    <mergeCell ref="B41:I41"/>
    <mergeCell ref="B39:I39"/>
    <mergeCell ref="D22:H22"/>
    <mergeCell ref="C17:D17"/>
    <mergeCell ref="B3:I3"/>
    <mergeCell ref="B6:I6"/>
    <mergeCell ref="B9:I9"/>
    <mergeCell ref="B7:I7"/>
    <mergeCell ref="B8:I8"/>
  </mergeCells>
  <phoneticPr fontId="1"/>
  <dataValidations count="1">
    <dataValidation type="list" allowBlank="1" showInputMessage="1" showErrorMessage="1" sqref="C15:D15" xr:uid="{00000000-0002-0000-0000-000000000000}">
      <formula1>$K$15:$K$16</formula1>
    </dataValidation>
  </dataValidations>
  <pageMargins left="0.25" right="0.25" top="0.75" bottom="0.75" header="0.3" footer="0.3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813"/>
  <sheetViews>
    <sheetView showGridLines="0" topLeftCell="A424" zoomScaleNormal="100" workbookViewId="0">
      <selection activeCell="R1" sqref="R1:Y9"/>
    </sheetView>
  </sheetViews>
  <sheetFormatPr defaultColWidth="9" defaultRowHeight="13.8"/>
  <cols>
    <col min="1" max="1" width="1.88671875" style="24" customWidth="1"/>
    <col min="2" max="9" width="9.6640625" style="24" customWidth="1"/>
    <col min="10" max="10" width="3.6640625" style="24" customWidth="1"/>
    <col min="11" max="11" width="6.6640625" style="24" customWidth="1"/>
    <col min="12" max="12" width="7.6640625" style="24" customWidth="1"/>
    <col min="13" max="13" width="3.6640625" style="24" customWidth="1"/>
    <col min="14" max="14" width="6.6640625" style="24" bestFit="1" customWidth="1"/>
    <col min="15" max="15" width="7.21875" style="24" bestFit="1" customWidth="1"/>
    <col min="16" max="16" width="4.33203125" style="24" customWidth="1"/>
    <col min="17" max="17" width="1.88671875" style="24" customWidth="1"/>
    <col min="18" max="16384" width="9" style="24"/>
  </cols>
  <sheetData>
    <row r="1" spans="1:25">
      <c r="A1" s="23"/>
      <c r="B1" s="88"/>
      <c r="C1" s="88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65" t="s">
        <v>70</v>
      </c>
    </row>
    <row r="2" spans="1:25">
      <c r="A2" s="23"/>
      <c r="B2" s="95"/>
      <c r="C2" s="9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4" t="s">
        <v>71</v>
      </c>
      <c r="S2" s="24" t="s">
        <v>69</v>
      </c>
      <c r="T2" s="24" t="s">
        <v>68</v>
      </c>
    </row>
    <row r="3" spans="1:25" ht="14.25" customHeight="1">
      <c r="A3" s="23"/>
      <c r="B3" s="89" t="s">
        <v>15</v>
      </c>
      <c r="C3" s="96"/>
      <c r="D3" s="93" t="s">
        <v>13</v>
      </c>
      <c r="E3" s="90"/>
      <c r="F3" s="89" t="s">
        <v>16</v>
      </c>
      <c r="G3" s="90"/>
      <c r="H3" s="89" t="s">
        <v>13</v>
      </c>
      <c r="I3" s="90"/>
      <c r="J3" s="25"/>
      <c r="K3" s="102" t="s">
        <v>17</v>
      </c>
      <c r="L3" s="103"/>
      <c r="M3" s="23"/>
      <c r="N3" s="98"/>
      <c r="O3" s="98"/>
      <c r="P3" s="23"/>
      <c r="Q3" s="23"/>
      <c r="R3" s="66"/>
      <c r="S3" s="66"/>
      <c r="T3" s="106"/>
      <c r="U3" s="107"/>
      <c r="V3" s="107"/>
      <c r="W3" s="107"/>
      <c r="X3" s="107"/>
      <c r="Y3" s="108"/>
    </row>
    <row r="4" spans="1:25" ht="13.5" customHeight="1">
      <c r="A4" s="23"/>
      <c r="B4" s="91" t="s">
        <v>18</v>
      </c>
      <c r="C4" s="97"/>
      <c r="D4" s="94" t="s">
        <v>13</v>
      </c>
      <c r="E4" s="92"/>
      <c r="F4" s="91" t="s">
        <v>19</v>
      </c>
      <c r="G4" s="92"/>
      <c r="H4" s="91" t="s">
        <v>13</v>
      </c>
      <c r="I4" s="92"/>
      <c r="J4" s="25"/>
      <c r="K4" s="26" t="s">
        <v>20</v>
      </c>
      <c r="L4" s="27" t="str">
        <f>C10</f>
        <v>XXXX</v>
      </c>
      <c r="M4" s="23"/>
      <c r="N4" s="28"/>
      <c r="O4" s="28"/>
      <c r="P4" s="23"/>
      <c r="Q4" s="23"/>
      <c r="R4" s="66"/>
      <c r="S4" s="66"/>
      <c r="T4" s="106"/>
      <c r="U4" s="107"/>
      <c r="V4" s="107"/>
      <c r="W4" s="107"/>
      <c r="X4" s="107"/>
      <c r="Y4" s="108"/>
    </row>
    <row r="5" spans="1:25" ht="13.5" customHeight="1">
      <c r="A5" s="23"/>
      <c r="B5" s="91" t="s">
        <v>21</v>
      </c>
      <c r="C5" s="97"/>
      <c r="D5" s="94" t="s">
        <v>13</v>
      </c>
      <c r="E5" s="92"/>
      <c r="F5" s="91" t="s">
        <v>22</v>
      </c>
      <c r="G5" s="92"/>
      <c r="H5" s="91" t="s">
        <v>13</v>
      </c>
      <c r="I5" s="92"/>
      <c r="J5" s="25"/>
      <c r="K5" s="29" t="s">
        <v>23</v>
      </c>
      <c r="L5" s="30">
        <f>C8</f>
        <v>0</v>
      </c>
      <c r="M5" s="23"/>
      <c r="N5" s="28"/>
      <c r="O5" s="28"/>
      <c r="P5" s="23"/>
      <c r="Q5" s="23"/>
      <c r="R5" s="66"/>
      <c r="S5" s="66"/>
      <c r="T5" s="106"/>
      <c r="U5" s="107"/>
      <c r="V5" s="107"/>
      <c r="W5" s="107"/>
      <c r="X5" s="107"/>
      <c r="Y5" s="108"/>
    </row>
    <row r="6" spans="1:25" ht="13.5" customHeight="1">
      <c r="A6" s="23"/>
      <c r="B6" s="91" t="s">
        <v>24</v>
      </c>
      <c r="C6" s="97"/>
      <c r="D6" s="94" t="s">
        <v>13</v>
      </c>
      <c r="E6" s="92"/>
      <c r="F6" s="91" t="s">
        <v>25</v>
      </c>
      <c r="G6" s="92"/>
      <c r="H6" s="91" t="s">
        <v>13</v>
      </c>
      <c r="I6" s="92"/>
      <c r="J6" s="25"/>
      <c r="K6" s="31" t="s">
        <v>14</v>
      </c>
      <c r="L6" s="32">
        <f>C9</f>
        <v>0</v>
      </c>
      <c r="M6" s="23"/>
      <c r="N6" s="28"/>
      <c r="O6" s="28"/>
      <c r="P6" s="23"/>
      <c r="Q6" s="23"/>
      <c r="R6" s="66"/>
      <c r="S6" s="66"/>
      <c r="T6" s="106"/>
      <c r="U6" s="107"/>
      <c r="V6" s="107"/>
      <c r="W6" s="107"/>
      <c r="X6" s="107"/>
      <c r="Y6" s="108"/>
    </row>
    <row r="7" spans="1:25" ht="13.5" customHeight="1">
      <c r="A7" s="23"/>
      <c r="B7" s="91" t="s">
        <v>26</v>
      </c>
      <c r="C7" s="97"/>
      <c r="D7" s="94" t="s">
        <v>13</v>
      </c>
      <c r="E7" s="92"/>
      <c r="F7" s="91" t="s">
        <v>27</v>
      </c>
      <c r="G7" s="92"/>
      <c r="H7" s="91" t="s">
        <v>13</v>
      </c>
      <c r="I7" s="92"/>
      <c r="J7" s="25"/>
      <c r="K7" s="33"/>
      <c r="L7" s="33"/>
      <c r="M7" s="23"/>
      <c r="N7" s="28"/>
      <c r="O7" s="28"/>
      <c r="P7" s="23"/>
      <c r="Q7" s="23"/>
      <c r="R7" s="66"/>
      <c r="S7" s="66"/>
      <c r="T7" s="106"/>
      <c r="U7" s="107"/>
      <c r="V7" s="107"/>
      <c r="W7" s="107"/>
      <c r="X7" s="107"/>
      <c r="Y7" s="108"/>
    </row>
    <row r="8" spans="1:25">
      <c r="A8" s="23"/>
      <c r="B8" s="100" t="s">
        <v>28</v>
      </c>
      <c r="C8" s="101"/>
      <c r="D8" s="104" t="s">
        <v>29</v>
      </c>
      <c r="E8" s="105"/>
      <c r="F8" s="100" t="s">
        <v>67</v>
      </c>
      <c r="G8" s="105"/>
      <c r="H8" s="91" t="s">
        <v>13</v>
      </c>
      <c r="I8" s="92"/>
      <c r="J8" s="34"/>
      <c r="K8" s="33"/>
      <c r="L8" s="33"/>
      <c r="M8" s="23"/>
      <c r="N8" s="28"/>
      <c r="O8" s="28"/>
      <c r="P8" s="23"/>
      <c r="Q8" s="23"/>
      <c r="R8" s="66"/>
      <c r="S8" s="66"/>
      <c r="T8" s="106"/>
      <c r="U8" s="107"/>
      <c r="V8" s="107"/>
      <c r="W8" s="107"/>
      <c r="X8" s="107"/>
      <c r="Y8" s="108"/>
    </row>
    <row r="9" spans="1:25">
      <c r="A9" s="23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23"/>
      <c r="N9" s="23"/>
      <c r="O9" s="23"/>
      <c r="P9" s="23"/>
      <c r="Q9" s="23"/>
      <c r="R9" s="66"/>
      <c r="S9" s="66"/>
      <c r="T9" s="106"/>
      <c r="U9" s="107"/>
      <c r="V9" s="107"/>
      <c r="W9" s="107"/>
      <c r="X9" s="107"/>
      <c r="Y9" s="108"/>
    </row>
    <row r="10" spans="1:25" ht="27.75" customHeight="1" thickBot="1">
      <c r="A10" s="23"/>
      <c r="B10" s="36" t="s">
        <v>30</v>
      </c>
      <c r="C10" s="36" t="s">
        <v>31</v>
      </c>
      <c r="D10" s="51" t="s">
        <v>34</v>
      </c>
      <c r="E10" s="51" t="s">
        <v>35</v>
      </c>
      <c r="F10" s="51" t="s">
        <v>36</v>
      </c>
      <c r="G10" s="51" t="s">
        <v>37</v>
      </c>
      <c r="H10" s="37"/>
      <c r="I10" s="37"/>
      <c r="J10" s="99"/>
      <c r="K10" s="99"/>
      <c r="L10" s="99"/>
      <c r="M10" s="99"/>
      <c r="N10" s="38" t="s">
        <v>32</v>
      </c>
      <c r="O10" s="39" t="s">
        <v>33</v>
      </c>
      <c r="P10" s="23"/>
      <c r="Q10" s="23"/>
    </row>
    <row r="11" spans="1:25" ht="14.4" thickTop="1">
      <c r="A11" s="23"/>
      <c r="B11" s="40"/>
      <c r="C11" s="40"/>
      <c r="D11" s="41"/>
      <c r="E11" s="41"/>
      <c r="F11" s="41"/>
      <c r="G11" s="42"/>
      <c r="H11" s="23"/>
      <c r="I11" s="23"/>
      <c r="J11" s="99"/>
      <c r="K11" s="99"/>
      <c r="L11" s="99"/>
      <c r="M11" s="99"/>
      <c r="N11" s="43">
        <f t="shared" ref="N11:N74" si="0">IF($L$4=$C$10,C11,IF(D11="","",B11))</f>
        <v>0</v>
      </c>
      <c r="O11" s="39" t="str">
        <f>B10</f>
        <v>Point#</v>
      </c>
      <c r="P11" s="23"/>
      <c r="Q11" s="23"/>
    </row>
    <row r="12" spans="1:25">
      <c r="A12" s="23"/>
      <c r="B12" s="40"/>
      <c r="C12" s="40"/>
      <c r="D12" s="41"/>
      <c r="E12" s="41"/>
      <c r="F12" s="41"/>
      <c r="G12" s="44"/>
      <c r="H12" s="23"/>
      <c r="I12" s="23"/>
      <c r="J12" s="99"/>
      <c r="K12" s="99"/>
      <c r="L12" s="99"/>
      <c r="M12" s="99"/>
      <c r="N12" s="43">
        <f t="shared" si="0"/>
        <v>0</v>
      </c>
      <c r="O12" s="39" t="str">
        <f>C10</f>
        <v>XXXX</v>
      </c>
      <c r="P12" s="23"/>
      <c r="Q12" s="23"/>
    </row>
    <row r="13" spans="1:25">
      <c r="A13" s="23"/>
      <c r="B13" s="40"/>
      <c r="C13" s="40"/>
      <c r="D13" s="41"/>
      <c r="E13" s="41"/>
      <c r="F13" s="41"/>
      <c r="G13" s="44"/>
      <c r="H13" s="23"/>
      <c r="I13" s="23"/>
      <c r="J13" s="99"/>
      <c r="K13" s="99"/>
      <c r="L13" s="99"/>
      <c r="M13" s="99"/>
      <c r="N13" s="43">
        <f t="shared" si="0"/>
        <v>0</v>
      </c>
      <c r="O13" s="43"/>
      <c r="P13" s="23"/>
      <c r="Q13" s="23"/>
    </row>
    <row r="14" spans="1:25">
      <c r="A14" s="23"/>
      <c r="B14" s="40"/>
      <c r="C14" s="40"/>
      <c r="D14" s="41"/>
      <c r="E14" s="41"/>
      <c r="F14" s="41"/>
      <c r="G14" s="44"/>
      <c r="H14" s="23"/>
      <c r="I14" s="23"/>
      <c r="J14" s="99"/>
      <c r="K14" s="99"/>
      <c r="L14" s="99"/>
      <c r="M14" s="99"/>
      <c r="N14" s="43">
        <f t="shared" si="0"/>
        <v>0</v>
      </c>
      <c r="O14" s="43"/>
      <c r="P14" s="23"/>
      <c r="Q14" s="23"/>
    </row>
    <row r="15" spans="1:25">
      <c r="A15" s="23"/>
      <c r="B15" s="40"/>
      <c r="C15" s="40"/>
      <c r="D15" s="41"/>
      <c r="E15" s="41"/>
      <c r="F15" s="41"/>
      <c r="G15" s="44"/>
      <c r="H15" s="23"/>
      <c r="I15" s="23"/>
      <c r="J15" s="99"/>
      <c r="K15" s="99"/>
      <c r="L15" s="99"/>
      <c r="M15" s="99"/>
      <c r="N15" s="43">
        <f t="shared" si="0"/>
        <v>0</v>
      </c>
      <c r="O15" s="43"/>
      <c r="P15" s="23"/>
      <c r="Q15" s="23"/>
    </row>
    <row r="16" spans="1:25">
      <c r="A16" s="23"/>
      <c r="B16" s="40"/>
      <c r="C16" s="40"/>
      <c r="D16" s="41"/>
      <c r="E16" s="41"/>
      <c r="F16" s="41"/>
      <c r="G16" s="44"/>
      <c r="H16" s="23"/>
      <c r="I16" s="23"/>
      <c r="J16" s="99"/>
      <c r="K16" s="99"/>
      <c r="L16" s="99"/>
      <c r="M16" s="99"/>
      <c r="N16" s="43">
        <f t="shared" si="0"/>
        <v>0</v>
      </c>
      <c r="O16" s="43"/>
      <c r="P16" s="23"/>
      <c r="Q16" s="23"/>
    </row>
    <row r="17" spans="1:17">
      <c r="A17" s="23"/>
      <c r="B17" s="40"/>
      <c r="C17" s="40"/>
      <c r="D17" s="41"/>
      <c r="E17" s="41"/>
      <c r="F17" s="41"/>
      <c r="G17" s="44"/>
      <c r="H17" s="23"/>
      <c r="I17" s="23"/>
      <c r="J17" s="99"/>
      <c r="K17" s="99"/>
      <c r="L17" s="99"/>
      <c r="M17" s="99"/>
      <c r="N17" s="43">
        <f t="shared" si="0"/>
        <v>0</v>
      </c>
      <c r="O17" s="43"/>
      <c r="P17" s="23"/>
      <c r="Q17" s="23"/>
    </row>
    <row r="18" spans="1:17">
      <c r="A18" s="23"/>
      <c r="B18" s="40"/>
      <c r="C18" s="40"/>
      <c r="D18" s="41"/>
      <c r="E18" s="41"/>
      <c r="F18" s="41"/>
      <c r="G18" s="44"/>
      <c r="H18" s="23"/>
      <c r="I18" s="23"/>
      <c r="J18" s="99"/>
      <c r="K18" s="99"/>
      <c r="L18" s="99"/>
      <c r="M18" s="99"/>
      <c r="N18" s="43">
        <f t="shared" si="0"/>
        <v>0</v>
      </c>
      <c r="O18" s="43"/>
      <c r="P18" s="23"/>
      <c r="Q18" s="23"/>
    </row>
    <row r="19" spans="1:17">
      <c r="A19" s="23"/>
      <c r="B19" s="40"/>
      <c r="C19" s="40"/>
      <c r="D19" s="41"/>
      <c r="E19" s="41"/>
      <c r="F19" s="41"/>
      <c r="G19" s="44"/>
      <c r="H19" s="23"/>
      <c r="I19" s="23"/>
      <c r="J19" s="99"/>
      <c r="K19" s="99"/>
      <c r="L19" s="99"/>
      <c r="M19" s="99"/>
      <c r="N19" s="43">
        <f t="shared" si="0"/>
        <v>0</v>
      </c>
      <c r="O19" s="43"/>
      <c r="P19" s="23"/>
      <c r="Q19" s="23"/>
    </row>
    <row r="20" spans="1:17">
      <c r="A20" s="23"/>
      <c r="B20" s="40"/>
      <c r="C20" s="40"/>
      <c r="D20" s="41"/>
      <c r="E20" s="41"/>
      <c r="F20" s="41"/>
      <c r="G20" s="44"/>
      <c r="H20" s="23"/>
      <c r="I20" s="23"/>
      <c r="J20" s="99"/>
      <c r="K20" s="99"/>
      <c r="L20" s="99"/>
      <c r="M20" s="99"/>
      <c r="N20" s="43">
        <f t="shared" si="0"/>
        <v>0</v>
      </c>
      <c r="O20" s="43"/>
      <c r="P20" s="23"/>
      <c r="Q20" s="23"/>
    </row>
    <row r="21" spans="1:17">
      <c r="A21" s="23"/>
      <c r="B21" s="40"/>
      <c r="C21" s="40"/>
      <c r="D21" s="41"/>
      <c r="E21" s="41"/>
      <c r="F21" s="41"/>
      <c r="G21" s="44"/>
      <c r="H21" s="23"/>
      <c r="I21" s="23"/>
      <c r="J21" s="99"/>
      <c r="K21" s="99"/>
      <c r="L21" s="99"/>
      <c r="M21" s="99"/>
      <c r="N21" s="43">
        <f t="shared" si="0"/>
        <v>0</v>
      </c>
      <c r="O21" s="43"/>
      <c r="P21" s="23"/>
      <c r="Q21" s="23"/>
    </row>
    <row r="22" spans="1:17">
      <c r="A22" s="23"/>
      <c r="B22" s="40"/>
      <c r="C22" s="40"/>
      <c r="D22" s="41"/>
      <c r="E22" s="41"/>
      <c r="F22" s="41"/>
      <c r="G22" s="44"/>
      <c r="H22" s="23"/>
      <c r="I22" s="23"/>
      <c r="J22" s="99"/>
      <c r="K22" s="99"/>
      <c r="L22" s="99"/>
      <c r="M22" s="99"/>
      <c r="N22" s="43">
        <f t="shared" si="0"/>
        <v>0</v>
      </c>
      <c r="O22" s="43"/>
      <c r="P22" s="23"/>
      <c r="Q22" s="23"/>
    </row>
    <row r="23" spans="1:17">
      <c r="A23" s="23"/>
      <c r="B23" s="40"/>
      <c r="C23" s="40"/>
      <c r="D23" s="41"/>
      <c r="E23" s="41"/>
      <c r="F23" s="41"/>
      <c r="G23" s="44"/>
      <c r="H23" s="23"/>
      <c r="I23" s="23"/>
      <c r="J23" s="99"/>
      <c r="K23" s="99"/>
      <c r="L23" s="99"/>
      <c r="M23" s="99"/>
      <c r="N23" s="43">
        <f t="shared" si="0"/>
        <v>0</v>
      </c>
      <c r="O23" s="43"/>
      <c r="P23" s="23"/>
      <c r="Q23" s="23"/>
    </row>
    <row r="24" spans="1:17">
      <c r="A24" s="23"/>
      <c r="B24" s="40"/>
      <c r="C24" s="40"/>
      <c r="D24" s="41"/>
      <c r="E24" s="41"/>
      <c r="F24" s="41"/>
      <c r="G24" s="44"/>
      <c r="H24" s="23"/>
      <c r="I24" s="23"/>
      <c r="J24" s="99"/>
      <c r="K24" s="99"/>
      <c r="L24" s="99"/>
      <c r="M24" s="99"/>
      <c r="N24" s="43">
        <f t="shared" si="0"/>
        <v>0</v>
      </c>
      <c r="O24" s="43"/>
      <c r="P24" s="23"/>
      <c r="Q24" s="23"/>
    </row>
    <row r="25" spans="1:17">
      <c r="A25" s="23"/>
      <c r="B25" s="40"/>
      <c r="C25" s="40"/>
      <c r="D25" s="41"/>
      <c r="E25" s="41"/>
      <c r="F25" s="41"/>
      <c r="G25" s="44"/>
      <c r="H25" s="23"/>
      <c r="I25" s="23"/>
      <c r="J25" s="99"/>
      <c r="K25" s="99"/>
      <c r="L25" s="99"/>
      <c r="M25" s="99"/>
      <c r="N25" s="43">
        <f t="shared" si="0"/>
        <v>0</v>
      </c>
      <c r="O25" s="43"/>
      <c r="P25" s="23"/>
      <c r="Q25" s="23"/>
    </row>
    <row r="26" spans="1:17">
      <c r="A26" s="23"/>
      <c r="B26" s="40"/>
      <c r="C26" s="40"/>
      <c r="D26" s="41"/>
      <c r="E26" s="41"/>
      <c r="F26" s="41"/>
      <c r="G26" s="44"/>
      <c r="H26" s="23"/>
      <c r="I26" s="23"/>
      <c r="J26" s="99"/>
      <c r="K26" s="99"/>
      <c r="L26" s="99"/>
      <c r="M26" s="99"/>
      <c r="N26" s="43">
        <f t="shared" si="0"/>
        <v>0</v>
      </c>
      <c r="O26" s="43"/>
      <c r="P26" s="23"/>
      <c r="Q26" s="23"/>
    </row>
    <row r="27" spans="1:17">
      <c r="A27" s="23"/>
      <c r="B27" s="40"/>
      <c r="C27" s="40"/>
      <c r="D27" s="41"/>
      <c r="E27" s="41"/>
      <c r="F27" s="41"/>
      <c r="G27" s="44"/>
      <c r="H27" s="23"/>
      <c r="I27" s="23"/>
      <c r="J27" s="99"/>
      <c r="K27" s="99"/>
      <c r="L27" s="99"/>
      <c r="M27" s="99"/>
      <c r="N27" s="43">
        <f t="shared" si="0"/>
        <v>0</v>
      </c>
      <c r="O27" s="43"/>
      <c r="P27" s="23"/>
      <c r="Q27" s="23"/>
    </row>
    <row r="28" spans="1:17">
      <c r="A28" s="23"/>
      <c r="B28" s="40"/>
      <c r="C28" s="40"/>
      <c r="D28" s="41"/>
      <c r="E28" s="41"/>
      <c r="F28" s="41"/>
      <c r="G28" s="44"/>
      <c r="H28" s="23"/>
      <c r="I28" s="23"/>
      <c r="J28" s="99"/>
      <c r="K28" s="99"/>
      <c r="L28" s="99"/>
      <c r="M28" s="99"/>
      <c r="N28" s="43">
        <f t="shared" si="0"/>
        <v>0</v>
      </c>
      <c r="O28" s="43"/>
      <c r="P28" s="23"/>
      <c r="Q28" s="23"/>
    </row>
    <row r="29" spans="1:17">
      <c r="A29" s="23"/>
      <c r="B29" s="40"/>
      <c r="C29" s="40"/>
      <c r="D29" s="41"/>
      <c r="E29" s="41"/>
      <c r="F29" s="41"/>
      <c r="G29" s="44"/>
      <c r="H29" s="23"/>
      <c r="I29" s="23"/>
      <c r="J29" s="99"/>
      <c r="K29" s="99"/>
      <c r="L29" s="99"/>
      <c r="M29" s="99"/>
      <c r="N29" s="43">
        <f t="shared" si="0"/>
        <v>0</v>
      </c>
      <c r="O29" s="43"/>
      <c r="P29" s="23"/>
      <c r="Q29" s="23"/>
    </row>
    <row r="30" spans="1:17">
      <c r="A30" s="23"/>
      <c r="B30" s="40"/>
      <c r="C30" s="40"/>
      <c r="D30" s="41"/>
      <c r="E30" s="41"/>
      <c r="F30" s="41"/>
      <c r="G30" s="44"/>
      <c r="H30" s="23"/>
      <c r="I30" s="23"/>
      <c r="J30" s="99"/>
      <c r="K30" s="99"/>
      <c r="L30" s="99"/>
      <c r="M30" s="99"/>
      <c r="N30" s="43">
        <f t="shared" si="0"/>
        <v>0</v>
      </c>
      <c r="O30" s="43"/>
      <c r="P30" s="23"/>
      <c r="Q30" s="23"/>
    </row>
    <row r="31" spans="1:17">
      <c r="A31" s="23"/>
      <c r="B31" s="40"/>
      <c r="C31" s="40"/>
      <c r="D31" s="41"/>
      <c r="E31" s="41"/>
      <c r="F31" s="41"/>
      <c r="G31" s="44"/>
      <c r="H31" s="23"/>
      <c r="I31" s="23"/>
      <c r="J31" s="99"/>
      <c r="K31" s="99"/>
      <c r="L31" s="99"/>
      <c r="M31" s="99"/>
      <c r="N31" s="43">
        <f t="shared" si="0"/>
        <v>0</v>
      </c>
      <c r="O31" s="43"/>
      <c r="P31" s="23"/>
      <c r="Q31" s="23"/>
    </row>
    <row r="32" spans="1:17">
      <c r="A32" s="23"/>
      <c r="B32" s="40"/>
      <c r="C32" s="40"/>
      <c r="D32" s="41"/>
      <c r="E32" s="41"/>
      <c r="F32" s="41"/>
      <c r="G32" s="44"/>
      <c r="H32" s="23"/>
      <c r="I32" s="23"/>
      <c r="J32" s="99"/>
      <c r="K32" s="99"/>
      <c r="L32" s="99"/>
      <c r="M32" s="99"/>
      <c r="N32" s="43">
        <f t="shared" si="0"/>
        <v>0</v>
      </c>
      <c r="O32" s="43"/>
      <c r="P32" s="23"/>
      <c r="Q32" s="23"/>
    </row>
    <row r="33" spans="1:17">
      <c r="A33" s="23"/>
      <c r="B33" s="40"/>
      <c r="C33" s="40"/>
      <c r="D33" s="41"/>
      <c r="E33" s="41"/>
      <c r="F33" s="41"/>
      <c r="G33" s="44"/>
      <c r="H33" s="23"/>
      <c r="I33" s="23"/>
      <c r="J33" s="99"/>
      <c r="K33" s="99"/>
      <c r="L33" s="99"/>
      <c r="M33" s="99"/>
      <c r="N33" s="43">
        <f t="shared" si="0"/>
        <v>0</v>
      </c>
      <c r="O33" s="43"/>
      <c r="P33" s="23"/>
      <c r="Q33" s="23"/>
    </row>
    <row r="34" spans="1:17">
      <c r="A34" s="23"/>
      <c r="B34" s="40"/>
      <c r="C34" s="40"/>
      <c r="D34" s="41"/>
      <c r="E34" s="41"/>
      <c r="F34" s="41"/>
      <c r="G34" s="44"/>
      <c r="H34" s="23"/>
      <c r="I34" s="23"/>
      <c r="J34" s="99"/>
      <c r="K34" s="99"/>
      <c r="L34" s="99"/>
      <c r="M34" s="99"/>
      <c r="N34" s="43">
        <f t="shared" si="0"/>
        <v>0</v>
      </c>
      <c r="O34" s="43"/>
      <c r="P34" s="23"/>
      <c r="Q34" s="23"/>
    </row>
    <row r="35" spans="1:17">
      <c r="A35" s="23"/>
      <c r="B35" s="40"/>
      <c r="C35" s="40"/>
      <c r="D35" s="41"/>
      <c r="E35" s="41"/>
      <c r="F35" s="41"/>
      <c r="G35" s="44"/>
      <c r="H35" s="23"/>
      <c r="I35" s="23"/>
      <c r="J35" s="99"/>
      <c r="K35" s="99"/>
      <c r="L35" s="99"/>
      <c r="M35" s="99"/>
      <c r="N35" s="43">
        <f t="shared" si="0"/>
        <v>0</v>
      </c>
      <c r="O35" s="43"/>
      <c r="P35" s="23"/>
      <c r="Q35" s="23"/>
    </row>
    <row r="36" spans="1:17">
      <c r="A36" s="23"/>
      <c r="B36" s="40"/>
      <c r="C36" s="40"/>
      <c r="D36" s="41"/>
      <c r="E36" s="41"/>
      <c r="F36" s="41"/>
      <c r="G36" s="44"/>
      <c r="H36" s="23"/>
      <c r="I36" s="23"/>
      <c r="J36" s="99"/>
      <c r="K36" s="99"/>
      <c r="L36" s="99"/>
      <c r="M36" s="99"/>
      <c r="N36" s="43">
        <f t="shared" si="0"/>
        <v>0</v>
      </c>
      <c r="O36" s="43"/>
      <c r="P36" s="23"/>
      <c r="Q36" s="23"/>
    </row>
    <row r="37" spans="1:17">
      <c r="A37" s="23"/>
      <c r="B37" s="40"/>
      <c r="C37" s="40"/>
      <c r="D37" s="41"/>
      <c r="E37" s="41"/>
      <c r="F37" s="41"/>
      <c r="G37" s="44"/>
      <c r="H37" s="23"/>
      <c r="I37" s="23"/>
      <c r="J37" s="99"/>
      <c r="K37" s="99"/>
      <c r="L37" s="99"/>
      <c r="M37" s="99"/>
      <c r="N37" s="43">
        <f t="shared" si="0"/>
        <v>0</v>
      </c>
      <c r="O37" s="43"/>
      <c r="P37" s="23"/>
      <c r="Q37" s="23"/>
    </row>
    <row r="38" spans="1:17">
      <c r="A38" s="23"/>
      <c r="B38" s="40"/>
      <c r="C38" s="40"/>
      <c r="D38" s="41"/>
      <c r="E38" s="41"/>
      <c r="F38" s="41"/>
      <c r="G38" s="44"/>
      <c r="H38" s="23"/>
      <c r="I38" s="23"/>
      <c r="J38" s="99"/>
      <c r="K38" s="99"/>
      <c r="L38" s="99"/>
      <c r="M38" s="99"/>
      <c r="N38" s="43">
        <f t="shared" si="0"/>
        <v>0</v>
      </c>
      <c r="O38" s="43"/>
      <c r="P38" s="23"/>
      <c r="Q38" s="23"/>
    </row>
    <row r="39" spans="1:17">
      <c r="A39" s="23"/>
      <c r="B39" s="40"/>
      <c r="C39" s="40"/>
      <c r="D39" s="41"/>
      <c r="E39" s="41"/>
      <c r="F39" s="41"/>
      <c r="G39" s="44"/>
      <c r="H39" s="23"/>
      <c r="I39" s="23"/>
      <c r="J39" s="99"/>
      <c r="K39" s="99"/>
      <c r="L39" s="99"/>
      <c r="M39" s="99"/>
      <c r="N39" s="43">
        <f t="shared" si="0"/>
        <v>0</v>
      </c>
      <c r="O39" s="43"/>
      <c r="P39" s="23"/>
      <c r="Q39" s="23"/>
    </row>
    <row r="40" spans="1:17">
      <c r="A40" s="23"/>
      <c r="B40" s="40"/>
      <c r="C40" s="40"/>
      <c r="D40" s="41"/>
      <c r="E40" s="41"/>
      <c r="F40" s="41"/>
      <c r="G40" s="44"/>
      <c r="H40" s="23"/>
      <c r="I40" s="23"/>
      <c r="J40" s="99"/>
      <c r="K40" s="99"/>
      <c r="L40" s="99"/>
      <c r="M40" s="99"/>
      <c r="N40" s="43">
        <f t="shared" si="0"/>
        <v>0</v>
      </c>
      <c r="O40" s="43"/>
      <c r="P40" s="23"/>
      <c r="Q40" s="23"/>
    </row>
    <row r="41" spans="1:17">
      <c r="A41" s="23"/>
      <c r="B41" s="40"/>
      <c r="C41" s="40"/>
      <c r="D41" s="41"/>
      <c r="E41" s="41"/>
      <c r="F41" s="41"/>
      <c r="G41" s="44"/>
      <c r="H41" s="23"/>
      <c r="I41" s="23"/>
      <c r="J41" s="99"/>
      <c r="K41" s="99"/>
      <c r="L41" s="99"/>
      <c r="M41" s="99"/>
      <c r="N41" s="43">
        <f t="shared" si="0"/>
        <v>0</v>
      </c>
      <c r="O41" s="43"/>
      <c r="P41" s="23"/>
      <c r="Q41" s="23"/>
    </row>
    <row r="42" spans="1:17">
      <c r="A42" s="23"/>
      <c r="B42" s="40"/>
      <c r="C42" s="40"/>
      <c r="D42" s="41"/>
      <c r="E42" s="41"/>
      <c r="F42" s="41"/>
      <c r="G42" s="44"/>
      <c r="H42" s="23"/>
      <c r="I42" s="23"/>
      <c r="J42" s="99"/>
      <c r="K42" s="99"/>
      <c r="L42" s="99"/>
      <c r="M42" s="99"/>
      <c r="N42" s="43">
        <f t="shared" si="0"/>
        <v>0</v>
      </c>
      <c r="O42" s="43"/>
      <c r="P42" s="23"/>
      <c r="Q42" s="23"/>
    </row>
    <row r="43" spans="1:17">
      <c r="A43" s="23"/>
      <c r="B43" s="40"/>
      <c r="C43" s="40"/>
      <c r="D43" s="41"/>
      <c r="E43" s="41"/>
      <c r="F43" s="41"/>
      <c r="G43" s="44"/>
      <c r="H43" s="23"/>
      <c r="I43" s="23"/>
      <c r="J43" s="99"/>
      <c r="K43" s="99"/>
      <c r="L43" s="99"/>
      <c r="M43" s="99"/>
      <c r="N43" s="43">
        <f t="shared" si="0"/>
        <v>0</v>
      </c>
      <c r="O43" s="43"/>
      <c r="P43" s="23"/>
      <c r="Q43" s="23"/>
    </row>
    <row r="44" spans="1:17">
      <c r="A44" s="23"/>
      <c r="B44" s="40"/>
      <c r="C44" s="40"/>
      <c r="D44" s="41"/>
      <c r="E44" s="41"/>
      <c r="F44" s="41"/>
      <c r="G44" s="44"/>
      <c r="H44" s="23"/>
      <c r="I44" s="23"/>
      <c r="J44" s="99"/>
      <c r="K44" s="99"/>
      <c r="L44" s="99"/>
      <c r="M44" s="99"/>
      <c r="N44" s="43">
        <f t="shared" si="0"/>
        <v>0</v>
      </c>
      <c r="O44" s="43"/>
      <c r="P44" s="23"/>
      <c r="Q44" s="23"/>
    </row>
    <row r="45" spans="1:17">
      <c r="A45" s="23"/>
      <c r="B45" s="40"/>
      <c r="C45" s="40"/>
      <c r="D45" s="41"/>
      <c r="E45" s="41"/>
      <c r="F45" s="41"/>
      <c r="G45" s="44"/>
      <c r="H45" s="23"/>
      <c r="I45" s="23"/>
      <c r="J45" s="99"/>
      <c r="K45" s="99"/>
      <c r="L45" s="99"/>
      <c r="M45" s="99"/>
      <c r="N45" s="43">
        <f t="shared" si="0"/>
        <v>0</v>
      </c>
      <c r="O45" s="43"/>
      <c r="P45" s="23"/>
      <c r="Q45" s="23"/>
    </row>
    <row r="46" spans="1:17">
      <c r="A46" s="23"/>
      <c r="B46" s="40"/>
      <c r="C46" s="40"/>
      <c r="D46" s="41"/>
      <c r="E46" s="41"/>
      <c r="F46" s="41"/>
      <c r="G46" s="44"/>
      <c r="H46" s="23"/>
      <c r="I46" s="23"/>
      <c r="J46" s="99"/>
      <c r="K46" s="99"/>
      <c r="L46" s="99"/>
      <c r="M46" s="99"/>
      <c r="N46" s="43">
        <f t="shared" si="0"/>
        <v>0</v>
      </c>
      <c r="O46" s="43"/>
      <c r="P46" s="23"/>
      <c r="Q46" s="23"/>
    </row>
    <row r="47" spans="1:17">
      <c r="A47" s="23"/>
      <c r="B47" s="40"/>
      <c r="C47" s="40"/>
      <c r="D47" s="41"/>
      <c r="E47" s="41"/>
      <c r="F47" s="41"/>
      <c r="G47" s="44"/>
      <c r="H47" s="23"/>
      <c r="I47" s="23"/>
      <c r="J47" s="99"/>
      <c r="K47" s="99"/>
      <c r="L47" s="99"/>
      <c r="M47" s="99"/>
      <c r="N47" s="43">
        <f t="shared" si="0"/>
        <v>0</v>
      </c>
      <c r="O47" s="43"/>
      <c r="P47" s="23"/>
      <c r="Q47" s="23"/>
    </row>
    <row r="48" spans="1:17">
      <c r="A48" s="23"/>
      <c r="B48" s="40"/>
      <c r="C48" s="40"/>
      <c r="D48" s="41"/>
      <c r="E48" s="41"/>
      <c r="F48" s="41"/>
      <c r="G48" s="44"/>
      <c r="H48" s="23"/>
      <c r="I48" s="23"/>
      <c r="J48" s="99"/>
      <c r="K48" s="99"/>
      <c r="L48" s="99"/>
      <c r="M48" s="99"/>
      <c r="N48" s="43">
        <f t="shared" si="0"/>
        <v>0</v>
      </c>
      <c r="O48" s="43"/>
      <c r="P48" s="23"/>
      <c r="Q48" s="23"/>
    </row>
    <row r="49" spans="1:17">
      <c r="A49" s="23"/>
      <c r="B49" s="40"/>
      <c r="C49" s="40"/>
      <c r="D49" s="41"/>
      <c r="E49" s="41"/>
      <c r="F49" s="41"/>
      <c r="G49" s="44"/>
      <c r="H49" s="23"/>
      <c r="I49" s="23"/>
      <c r="J49" s="99"/>
      <c r="K49" s="99"/>
      <c r="L49" s="99"/>
      <c r="M49" s="99"/>
      <c r="N49" s="43">
        <f t="shared" si="0"/>
        <v>0</v>
      </c>
      <c r="O49" s="43"/>
      <c r="P49" s="23"/>
      <c r="Q49" s="23"/>
    </row>
    <row r="50" spans="1:17">
      <c r="A50" s="23"/>
      <c r="B50" s="40"/>
      <c r="C50" s="40"/>
      <c r="D50" s="41"/>
      <c r="E50" s="41"/>
      <c r="F50" s="41"/>
      <c r="G50" s="44"/>
      <c r="H50" s="23"/>
      <c r="I50" s="23"/>
      <c r="J50" s="99"/>
      <c r="K50" s="99"/>
      <c r="L50" s="99"/>
      <c r="M50" s="99"/>
      <c r="N50" s="43">
        <f t="shared" si="0"/>
        <v>0</v>
      </c>
      <c r="O50" s="43"/>
      <c r="P50" s="23"/>
      <c r="Q50" s="23"/>
    </row>
    <row r="51" spans="1:17">
      <c r="A51" s="23"/>
      <c r="B51" s="40"/>
      <c r="C51" s="40"/>
      <c r="D51" s="41"/>
      <c r="E51" s="41"/>
      <c r="F51" s="41"/>
      <c r="G51" s="44"/>
      <c r="H51" s="23"/>
      <c r="I51" s="23"/>
      <c r="J51" s="99"/>
      <c r="K51" s="99"/>
      <c r="L51" s="99"/>
      <c r="M51" s="99"/>
      <c r="N51" s="43">
        <f t="shared" si="0"/>
        <v>0</v>
      </c>
      <c r="O51" s="43"/>
      <c r="P51" s="23"/>
      <c r="Q51" s="23"/>
    </row>
    <row r="52" spans="1:17">
      <c r="A52" s="23"/>
      <c r="B52" s="40"/>
      <c r="C52" s="40"/>
      <c r="D52" s="41"/>
      <c r="E52" s="41"/>
      <c r="F52" s="41"/>
      <c r="G52" s="44"/>
      <c r="H52" s="23"/>
      <c r="I52" s="23"/>
      <c r="J52" s="99"/>
      <c r="K52" s="99"/>
      <c r="L52" s="99"/>
      <c r="M52" s="99"/>
      <c r="N52" s="43">
        <f t="shared" si="0"/>
        <v>0</v>
      </c>
      <c r="O52" s="43"/>
      <c r="P52" s="23"/>
      <c r="Q52" s="23"/>
    </row>
    <row r="53" spans="1:17">
      <c r="A53" s="23"/>
      <c r="B53" s="40"/>
      <c r="C53" s="40"/>
      <c r="D53" s="41"/>
      <c r="E53" s="41"/>
      <c r="F53" s="41"/>
      <c r="G53" s="44"/>
      <c r="H53" s="23"/>
      <c r="I53" s="23"/>
      <c r="J53" s="99"/>
      <c r="K53" s="99"/>
      <c r="L53" s="99"/>
      <c r="M53" s="99"/>
      <c r="N53" s="43">
        <f t="shared" si="0"/>
        <v>0</v>
      </c>
      <c r="O53" s="43"/>
      <c r="P53" s="23"/>
      <c r="Q53" s="23"/>
    </row>
    <row r="54" spans="1:17">
      <c r="A54" s="23"/>
      <c r="B54" s="40"/>
      <c r="C54" s="40"/>
      <c r="D54" s="41"/>
      <c r="E54" s="41"/>
      <c r="F54" s="41"/>
      <c r="G54" s="44"/>
      <c r="H54" s="23"/>
      <c r="I54" s="23"/>
      <c r="J54" s="99"/>
      <c r="K54" s="99"/>
      <c r="L54" s="99"/>
      <c r="M54" s="99"/>
      <c r="N54" s="43">
        <f t="shared" si="0"/>
        <v>0</v>
      </c>
      <c r="O54" s="43"/>
      <c r="P54" s="23"/>
      <c r="Q54" s="23"/>
    </row>
    <row r="55" spans="1:17">
      <c r="A55" s="23"/>
      <c r="B55" s="40"/>
      <c r="C55" s="40"/>
      <c r="D55" s="41"/>
      <c r="E55" s="41"/>
      <c r="F55" s="41"/>
      <c r="G55" s="44"/>
      <c r="H55" s="23"/>
      <c r="I55" s="23"/>
      <c r="J55" s="99"/>
      <c r="K55" s="99"/>
      <c r="L55" s="99"/>
      <c r="M55" s="99"/>
      <c r="N55" s="43">
        <f t="shared" si="0"/>
        <v>0</v>
      </c>
      <c r="O55" s="43"/>
      <c r="P55" s="23"/>
      <c r="Q55" s="23"/>
    </row>
    <row r="56" spans="1:17">
      <c r="A56" s="23"/>
      <c r="B56" s="40"/>
      <c r="C56" s="40"/>
      <c r="D56" s="41"/>
      <c r="E56" s="41"/>
      <c r="F56" s="41"/>
      <c r="G56" s="44"/>
      <c r="H56" s="23"/>
      <c r="I56" s="23"/>
      <c r="J56" s="99"/>
      <c r="K56" s="99"/>
      <c r="L56" s="99"/>
      <c r="M56" s="99"/>
      <c r="N56" s="43">
        <f t="shared" si="0"/>
        <v>0</v>
      </c>
      <c r="O56" s="43"/>
      <c r="P56" s="23"/>
      <c r="Q56" s="23"/>
    </row>
    <row r="57" spans="1:17">
      <c r="A57" s="23"/>
      <c r="B57" s="40"/>
      <c r="C57" s="40"/>
      <c r="D57" s="41"/>
      <c r="E57" s="41"/>
      <c r="F57" s="41"/>
      <c r="G57" s="44"/>
      <c r="H57" s="23"/>
      <c r="I57" s="23"/>
      <c r="J57" s="99"/>
      <c r="K57" s="99"/>
      <c r="L57" s="99"/>
      <c r="M57" s="99"/>
      <c r="N57" s="43">
        <f t="shared" si="0"/>
        <v>0</v>
      </c>
      <c r="O57" s="43"/>
      <c r="P57" s="23"/>
      <c r="Q57" s="23"/>
    </row>
    <row r="58" spans="1:17">
      <c r="A58" s="23"/>
      <c r="B58" s="40"/>
      <c r="C58" s="40"/>
      <c r="D58" s="41"/>
      <c r="E58" s="41"/>
      <c r="F58" s="41"/>
      <c r="G58" s="44"/>
      <c r="H58" s="23"/>
      <c r="I58" s="23"/>
      <c r="J58" s="99"/>
      <c r="K58" s="99"/>
      <c r="L58" s="99"/>
      <c r="M58" s="99"/>
      <c r="N58" s="43">
        <f t="shared" si="0"/>
        <v>0</v>
      </c>
      <c r="O58" s="43"/>
      <c r="P58" s="23"/>
      <c r="Q58" s="23"/>
    </row>
    <row r="59" spans="1:17">
      <c r="A59" s="23"/>
      <c r="B59" s="40"/>
      <c r="C59" s="40"/>
      <c r="D59" s="41"/>
      <c r="E59" s="41"/>
      <c r="F59" s="41"/>
      <c r="G59" s="44"/>
      <c r="H59" s="23"/>
      <c r="I59" s="23"/>
      <c r="J59" s="99"/>
      <c r="K59" s="99"/>
      <c r="L59" s="99"/>
      <c r="M59" s="99"/>
      <c r="N59" s="43">
        <f t="shared" si="0"/>
        <v>0</v>
      </c>
      <c r="O59" s="43"/>
      <c r="P59" s="23"/>
      <c r="Q59" s="23"/>
    </row>
    <row r="60" spans="1:17">
      <c r="A60" s="23"/>
      <c r="B60" s="40"/>
      <c r="C60" s="40"/>
      <c r="D60" s="41"/>
      <c r="E60" s="41"/>
      <c r="F60" s="41"/>
      <c r="G60" s="44"/>
      <c r="H60" s="23"/>
      <c r="I60" s="23"/>
      <c r="J60" s="99"/>
      <c r="K60" s="99"/>
      <c r="L60" s="99"/>
      <c r="M60" s="99"/>
      <c r="N60" s="43">
        <f t="shared" si="0"/>
        <v>0</v>
      </c>
      <c r="O60" s="43"/>
      <c r="P60" s="23"/>
      <c r="Q60" s="23"/>
    </row>
    <row r="61" spans="1:17">
      <c r="A61" s="23"/>
      <c r="B61" s="40"/>
      <c r="C61" s="40"/>
      <c r="D61" s="41"/>
      <c r="E61" s="41"/>
      <c r="F61" s="41"/>
      <c r="G61" s="44"/>
      <c r="H61" s="23"/>
      <c r="I61" s="23"/>
      <c r="J61" s="99"/>
      <c r="K61" s="99"/>
      <c r="L61" s="99"/>
      <c r="M61" s="99"/>
      <c r="N61" s="43">
        <f t="shared" si="0"/>
        <v>0</v>
      </c>
      <c r="O61" s="43"/>
      <c r="P61" s="23"/>
      <c r="Q61" s="23"/>
    </row>
    <row r="62" spans="1:17">
      <c r="A62" s="23"/>
      <c r="B62" s="40"/>
      <c r="C62" s="40"/>
      <c r="D62" s="41"/>
      <c r="E62" s="41"/>
      <c r="F62" s="41"/>
      <c r="G62" s="44"/>
      <c r="H62" s="23"/>
      <c r="I62" s="23"/>
      <c r="J62" s="99"/>
      <c r="K62" s="99"/>
      <c r="L62" s="99"/>
      <c r="M62" s="99"/>
      <c r="N62" s="43">
        <f t="shared" si="0"/>
        <v>0</v>
      </c>
      <c r="O62" s="43"/>
      <c r="P62" s="23"/>
      <c r="Q62" s="23"/>
    </row>
    <row r="63" spans="1:17">
      <c r="A63" s="23"/>
      <c r="B63" s="40"/>
      <c r="C63" s="40"/>
      <c r="D63" s="41"/>
      <c r="E63" s="41"/>
      <c r="F63" s="41"/>
      <c r="G63" s="44"/>
      <c r="H63" s="23"/>
      <c r="I63" s="23"/>
      <c r="J63" s="99"/>
      <c r="K63" s="99"/>
      <c r="L63" s="99"/>
      <c r="M63" s="99"/>
      <c r="N63" s="43">
        <f t="shared" si="0"/>
        <v>0</v>
      </c>
      <c r="O63" s="43"/>
      <c r="P63" s="23"/>
      <c r="Q63" s="23"/>
    </row>
    <row r="64" spans="1:17">
      <c r="A64" s="23"/>
      <c r="B64" s="40"/>
      <c r="C64" s="40"/>
      <c r="D64" s="41"/>
      <c r="E64" s="41"/>
      <c r="F64" s="41"/>
      <c r="G64" s="44"/>
      <c r="H64" s="23"/>
      <c r="I64" s="23"/>
      <c r="J64" s="99"/>
      <c r="K64" s="99"/>
      <c r="L64" s="99"/>
      <c r="M64" s="99"/>
      <c r="N64" s="43">
        <f t="shared" si="0"/>
        <v>0</v>
      </c>
      <c r="O64" s="43"/>
      <c r="P64" s="23"/>
      <c r="Q64" s="23"/>
    </row>
    <row r="65" spans="1:17">
      <c r="A65" s="23"/>
      <c r="B65" s="40"/>
      <c r="C65" s="40"/>
      <c r="D65" s="41"/>
      <c r="E65" s="41"/>
      <c r="F65" s="41"/>
      <c r="G65" s="44"/>
      <c r="H65" s="23"/>
      <c r="I65" s="23"/>
      <c r="J65" s="99"/>
      <c r="K65" s="99"/>
      <c r="L65" s="99"/>
      <c r="M65" s="99"/>
      <c r="N65" s="43">
        <f t="shared" si="0"/>
        <v>0</v>
      </c>
      <c r="O65" s="43"/>
      <c r="P65" s="23"/>
      <c r="Q65" s="23"/>
    </row>
    <row r="66" spans="1:17">
      <c r="A66" s="23"/>
      <c r="B66" s="40"/>
      <c r="C66" s="40"/>
      <c r="D66" s="41"/>
      <c r="E66" s="41"/>
      <c r="F66" s="41"/>
      <c r="G66" s="44"/>
      <c r="H66" s="23"/>
      <c r="I66" s="23"/>
      <c r="J66" s="99"/>
      <c r="K66" s="99"/>
      <c r="L66" s="99"/>
      <c r="M66" s="99"/>
      <c r="N66" s="43">
        <f t="shared" si="0"/>
        <v>0</v>
      </c>
      <c r="O66" s="43"/>
      <c r="P66" s="23"/>
      <c r="Q66" s="23"/>
    </row>
    <row r="67" spans="1:17">
      <c r="A67" s="23"/>
      <c r="B67" s="40"/>
      <c r="C67" s="40"/>
      <c r="D67" s="41"/>
      <c r="E67" s="41"/>
      <c r="F67" s="41"/>
      <c r="G67" s="44"/>
      <c r="H67" s="23"/>
      <c r="I67" s="23"/>
      <c r="J67" s="99"/>
      <c r="K67" s="99"/>
      <c r="L67" s="99"/>
      <c r="M67" s="99"/>
      <c r="N67" s="43">
        <f t="shared" si="0"/>
        <v>0</v>
      </c>
      <c r="O67" s="43"/>
      <c r="P67" s="23"/>
      <c r="Q67" s="23"/>
    </row>
    <row r="68" spans="1:17">
      <c r="A68" s="23"/>
      <c r="B68" s="40"/>
      <c r="C68" s="40"/>
      <c r="D68" s="41"/>
      <c r="E68" s="41"/>
      <c r="F68" s="41"/>
      <c r="G68" s="44"/>
      <c r="H68" s="23"/>
      <c r="I68" s="23"/>
      <c r="J68" s="99"/>
      <c r="K68" s="99"/>
      <c r="L68" s="99"/>
      <c r="M68" s="99"/>
      <c r="N68" s="43">
        <f t="shared" si="0"/>
        <v>0</v>
      </c>
      <c r="O68" s="43"/>
      <c r="P68" s="23"/>
      <c r="Q68" s="23"/>
    </row>
    <row r="69" spans="1:17">
      <c r="A69" s="23"/>
      <c r="B69" s="40"/>
      <c r="C69" s="40"/>
      <c r="D69" s="41"/>
      <c r="E69" s="41"/>
      <c r="F69" s="41"/>
      <c r="G69" s="44"/>
      <c r="H69" s="23"/>
      <c r="I69" s="23"/>
      <c r="J69" s="99"/>
      <c r="K69" s="99"/>
      <c r="L69" s="99"/>
      <c r="M69" s="99"/>
      <c r="N69" s="43">
        <f t="shared" si="0"/>
        <v>0</v>
      </c>
      <c r="O69" s="43"/>
      <c r="P69" s="23"/>
      <c r="Q69" s="23"/>
    </row>
    <row r="70" spans="1:17">
      <c r="A70" s="23"/>
      <c r="B70" s="40"/>
      <c r="C70" s="40"/>
      <c r="D70" s="41"/>
      <c r="E70" s="41"/>
      <c r="F70" s="41"/>
      <c r="G70" s="44"/>
      <c r="H70" s="23"/>
      <c r="I70" s="23"/>
      <c r="J70" s="99"/>
      <c r="K70" s="99"/>
      <c r="L70" s="99"/>
      <c r="M70" s="99"/>
      <c r="N70" s="43">
        <f t="shared" si="0"/>
        <v>0</v>
      </c>
      <c r="O70" s="43"/>
      <c r="P70" s="23"/>
      <c r="Q70" s="23"/>
    </row>
    <row r="71" spans="1:17">
      <c r="A71" s="23"/>
      <c r="B71" s="40"/>
      <c r="C71" s="40"/>
      <c r="D71" s="41"/>
      <c r="E71" s="41"/>
      <c r="F71" s="41"/>
      <c r="G71" s="44"/>
      <c r="H71" s="23"/>
      <c r="I71" s="23"/>
      <c r="J71" s="99"/>
      <c r="K71" s="99"/>
      <c r="L71" s="99"/>
      <c r="M71" s="99"/>
      <c r="N71" s="43">
        <f t="shared" si="0"/>
        <v>0</v>
      </c>
      <c r="O71" s="43"/>
      <c r="P71" s="23"/>
      <c r="Q71" s="23"/>
    </row>
    <row r="72" spans="1:17">
      <c r="A72" s="23"/>
      <c r="B72" s="40"/>
      <c r="C72" s="40"/>
      <c r="D72" s="41"/>
      <c r="E72" s="41"/>
      <c r="F72" s="41"/>
      <c r="G72" s="44"/>
      <c r="H72" s="23"/>
      <c r="I72" s="23"/>
      <c r="J72" s="99"/>
      <c r="K72" s="99"/>
      <c r="L72" s="99"/>
      <c r="M72" s="99"/>
      <c r="N72" s="43">
        <f t="shared" si="0"/>
        <v>0</v>
      </c>
      <c r="O72" s="43"/>
      <c r="P72" s="23"/>
      <c r="Q72" s="23"/>
    </row>
    <row r="73" spans="1:17">
      <c r="A73" s="23"/>
      <c r="B73" s="40"/>
      <c r="C73" s="40"/>
      <c r="D73" s="41"/>
      <c r="E73" s="41"/>
      <c r="F73" s="41"/>
      <c r="G73" s="44"/>
      <c r="H73" s="23"/>
      <c r="I73" s="23"/>
      <c r="J73" s="99"/>
      <c r="K73" s="99"/>
      <c r="L73" s="99"/>
      <c r="M73" s="99"/>
      <c r="N73" s="43">
        <f t="shared" si="0"/>
        <v>0</v>
      </c>
      <c r="O73" s="43"/>
      <c r="P73" s="23"/>
      <c r="Q73" s="23"/>
    </row>
    <row r="74" spans="1:17">
      <c r="A74" s="23"/>
      <c r="B74" s="40"/>
      <c r="C74" s="40"/>
      <c r="D74" s="41"/>
      <c r="E74" s="41"/>
      <c r="F74" s="41"/>
      <c r="G74" s="44"/>
      <c r="H74" s="23"/>
      <c r="I74" s="23"/>
      <c r="J74" s="99"/>
      <c r="K74" s="99"/>
      <c r="L74" s="99"/>
      <c r="M74" s="99"/>
      <c r="N74" s="43">
        <f t="shared" si="0"/>
        <v>0</v>
      </c>
      <c r="O74" s="43"/>
      <c r="P74" s="23"/>
      <c r="Q74" s="23"/>
    </row>
    <row r="75" spans="1:17">
      <c r="A75" s="23"/>
      <c r="B75" s="40"/>
      <c r="C75" s="40"/>
      <c r="D75" s="41"/>
      <c r="E75" s="41"/>
      <c r="F75" s="41"/>
      <c r="G75" s="44"/>
      <c r="H75" s="23"/>
      <c r="I75" s="23"/>
      <c r="J75" s="99"/>
      <c r="K75" s="99"/>
      <c r="L75" s="99"/>
      <c r="M75" s="99"/>
      <c r="N75" s="43">
        <f t="shared" ref="N75:N138" si="1">IF($L$4=$C$10,C75,IF(D75="","",B75))</f>
        <v>0</v>
      </c>
      <c r="O75" s="43"/>
      <c r="P75" s="23"/>
      <c r="Q75" s="23"/>
    </row>
    <row r="76" spans="1:17">
      <c r="A76" s="23"/>
      <c r="B76" s="40"/>
      <c r="C76" s="40"/>
      <c r="D76" s="41"/>
      <c r="E76" s="41"/>
      <c r="F76" s="41"/>
      <c r="G76" s="44"/>
      <c r="H76" s="23"/>
      <c r="I76" s="23"/>
      <c r="J76" s="99"/>
      <c r="K76" s="99"/>
      <c r="L76" s="99"/>
      <c r="M76" s="99"/>
      <c r="N76" s="43">
        <f t="shared" si="1"/>
        <v>0</v>
      </c>
      <c r="O76" s="43"/>
      <c r="P76" s="23"/>
      <c r="Q76" s="23"/>
    </row>
    <row r="77" spans="1:17">
      <c r="A77" s="23"/>
      <c r="B77" s="40"/>
      <c r="C77" s="40"/>
      <c r="D77" s="41"/>
      <c r="E77" s="41"/>
      <c r="F77" s="41"/>
      <c r="G77" s="44"/>
      <c r="H77" s="23"/>
      <c r="I77" s="23"/>
      <c r="J77" s="99"/>
      <c r="K77" s="99"/>
      <c r="L77" s="99"/>
      <c r="M77" s="99"/>
      <c r="N77" s="43">
        <f t="shared" si="1"/>
        <v>0</v>
      </c>
      <c r="O77" s="43"/>
      <c r="P77" s="23"/>
      <c r="Q77" s="23"/>
    </row>
    <row r="78" spans="1:17">
      <c r="A78" s="23"/>
      <c r="B78" s="40"/>
      <c r="C78" s="40"/>
      <c r="D78" s="41"/>
      <c r="E78" s="41"/>
      <c r="F78" s="41"/>
      <c r="G78" s="44"/>
      <c r="H78" s="23"/>
      <c r="I78" s="23"/>
      <c r="J78" s="99"/>
      <c r="K78" s="99"/>
      <c r="L78" s="99"/>
      <c r="M78" s="99"/>
      <c r="N78" s="43">
        <f t="shared" si="1"/>
        <v>0</v>
      </c>
      <c r="O78" s="43"/>
      <c r="P78" s="23"/>
      <c r="Q78" s="23"/>
    </row>
    <row r="79" spans="1:17">
      <c r="A79" s="23"/>
      <c r="B79" s="40"/>
      <c r="C79" s="40"/>
      <c r="D79" s="41"/>
      <c r="E79" s="41"/>
      <c r="F79" s="41"/>
      <c r="G79" s="44"/>
      <c r="H79" s="23"/>
      <c r="I79" s="23"/>
      <c r="J79" s="99"/>
      <c r="K79" s="99"/>
      <c r="L79" s="99"/>
      <c r="M79" s="99"/>
      <c r="N79" s="43">
        <f t="shared" si="1"/>
        <v>0</v>
      </c>
      <c r="O79" s="43"/>
      <c r="P79" s="23"/>
      <c r="Q79" s="23"/>
    </row>
    <row r="80" spans="1:17">
      <c r="A80" s="23"/>
      <c r="B80" s="40"/>
      <c r="C80" s="40"/>
      <c r="D80" s="41"/>
      <c r="E80" s="41"/>
      <c r="F80" s="41"/>
      <c r="G80" s="44"/>
      <c r="H80" s="23"/>
      <c r="I80" s="23"/>
      <c r="J80" s="99"/>
      <c r="K80" s="99"/>
      <c r="L80" s="99"/>
      <c r="M80" s="99"/>
      <c r="N80" s="43">
        <f t="shared" si="1"/>
        <v>0</v>
      </c>
      <c r="O80" s="43"/>
      <c r="P80" s="23"/>
      <c r="Q80" s="23"/>
    </row>
    <row r="81" spans="1:17">
      <c r="A81" s="23"/>
      <c r="B81" s="40"/>
      <c r="C81" s="40"/>
      <c r="D81" s="41"/>
      <c r="E81" s="41"/>
      <c r="F81" s="41"/>
      <c r="G81" s="44"/>
      <c r="H81" s="23"/>
      <c r="I81" s="23"/>
      <c r="J81" s="99"/>
      <c r="K81" s="99"/>
      <c r="L81" s="99"/>
      <c r="M81" s="99"/>
      <c r="N81" s="43">
        <f t="shared" si="1"/>
        <v>0</v>
      </c>
      <c r="O81" s="43"/>
      <c r="P81" s="23"/>
      <c r="Q81" s="23"/>
    </row>
    <row r="82" spans="1:17">
      <c r="A82" s="23"/>
      <c r="B82" s="40"/>
      <c r="C82" s="40"/>
      <c r="D82" s="41"/>
      <c r="E82" s="41"/>
      <c r="F82" s="41"/>
      <c r="G82" s="44"/>
      <c r="H82" s="23"/>
      <c r="I82" s="23"/>
      <c r="J82" s="99"/>
      <c r="K82" s="99"/>
      <c r="L82" s="99"/>
      <c r="M82" s="99"/>
      <c r="N82" s="43">
        <f t="shared" si="1"/>
        <v>0</v>
      </c>
      <c r="O82" s="43"/>
      <c r="P82" s="23"/>
      <c r="Q82" s="23"/>
    </row>
    <row r="83" spans="1:17">
      <c r="A83" s="23"/>
      <c r="B83" s="40"/>
      <c r="C83" s="40"/>
      <c r="D83" s="41"/>
      <c r="E83" s="41"/>
      <c r="F83" s="41"/>
      <c r="G83" s="44"/>
      <c r="H83" s="23"/>
      <c r="I83" s="23"/>
      <c r="J83" s="99"/>
      <c r="K83" s="99"/>
      <c r="L83" s="99"/>
      <c r="M83" s="99"/>
      <c r="N83" s="43">
        <f t="shared" si="1"/>
        <v>0</v>
      </c>
      <c r="O83" s="43"/>
      <c r="P83" s="23"/>
      <c r="Q83" s="23"/>
    </row>
    <row r="84" spans="1:17">
      <c r="A84" s="23"/>
      <c r="B84" s="40"/>
      <c r="C84" s="40"/>
      <c r="D84" s="41"/>
      <c r="E84" s="41"/>
      <c r="F84" s="41"/>
      <c r="G84" s="44"/>
      <c r="H84" s="23"/>
      <c r="I84" s="23"/>
      <c r="J84" s="99"/>
      <c r="K84" s="99"/>
      <c r="L84" s="99"/>
      <c r="M84" s="99"/>
      <c r="N84" s="43">
        <f t="shared" si="1"/>
        <v>0</v>
      </c>
      <c r="O84" s="43"/>
      <c r="P84" s="23"/>
      <c r="Q84" s="23"/>
    </row>
    <row r="85" spans="1:17">
      <c r="A85" s="23"/>
      <c r="B85" s="40"/>
      <c r="C85" s="40"/>
      <c r="D85" s="41"/>
      <c r="E85" s="41"/>
      <c r="F85" s="41"/>
      <c r="G85" s="44"/>
      <c r="H85" s="23"/>
      <c r="I85" s="23"/>
      <c r="J85" s="99"/>
      <c r="K85" s="99"/>
      <c r="L85" s="99"/>
      <c r="M85" s="99"/>
      <c r="N85" s="43">
        <f t="shared" si="1"/>
        <v>0</v>
      </c>
      <c r="O85" s="43"/>
      <c r="P85" s="23"/>
      <c r="Q85" s="23"/>
    </row>
    <row r="86" spans="1:17">
      <c r="A86" s="23"/>
      <c r="B86" s="40"/>
      <c r="C86" s="40"/>
      <c r="D86" s="41"/>
      <c r="E86" s="41"/>
      <c r="F86" s="41"/>
      <c r="G86" s="44"/>
      <c r="H86" s="23"/>
      <c r="I86" s="23"/>
      <c r="J86" s="99"/>
      <c r="K86" s="99"/>
      <c r="L86" s="99"/>
      <c r="M86" s="99"/>
      <c r="N86" s="43">
        <f t="shared" si="1"/>
        <v>0</v>
      </c>
      <c r="O86" s="43"/>
      <c r="P86" s="23"/>
      <c r="Q86" s="23"/>
    </row>
    <row r="87" spans="1:17">
      <c r="A87" s="23"/>
      <c r="B87" s="40"/>
      <c r="C87" s="40"/>
      <c r="D87" s="41"/>
      <c r="E87" s="41"/>
      <c r="F87" s="41"/>
      <c r="G87" s="44"/>
      <c r="H87" s="23"/>
      <c r="I87" s="23"/>
      <c r="J87" s="99"/>
      <c r="K87" s="99"/>
      <c r="L87" s="99"/>
      <c r="M87" s="99"/>
      <c r="N87" s="43">
        <f t="shared" si="1"/>
        <v>0</v>
      </c>
      <c r="O87" s="43"/>
      <c r="P87" s="23"/>
      <c r="Q87" s="23"/>
    </row>
    <row r="88" spans="1:17">
      <c r="A88" s="23"/>
      <c r="B88" s="40"/>
      <c r="C88" s="40"/>
      <c r="D88" s="41"/>
      <c r="E88" s="41"/>
      <c r="F88" s="41"/>
      <c r="G88" s="44"/>
      <c r="H88" s="23"/>
      <c r="I88" s="23"/>
      <c r="J88" s="99"/>
      <c r="K88" s="99"/>
      <c r="L88" s="99"/>
      <c r="M88" s="99"/>
      <c r="N88" s="43">
        <f t="shared" si="1"/>
        <v>0</v>
      </c>
      <c r="O88" s="43"/>
      <c r="P88" s="23"/>
      <c r="Q88" s="23"/>
    </row>
    <row r="89" spans="1:17">
      <c r="A89" s="23"/>
      <c r="B89" s="40"/>
      <c r="C89" s="40"/>
      <c r="D89" s="41"/>
      <c r="E89" s="41"/>
      <c r="F89" s="41"/>
      <c r="G89" s="44"/>
      <c r="H89" s="23"/>
      <c r="I89" s="23"/>
      <c r="J89" s="99"/>
      <c r="K89" s="99"/>
      <c r="L89" s="99"/>
      <c r="M89" s="99"/>
      <c r="N89" s="43">
        <f t="shared" si="1"/>
        <v>0</v>
      </c>
      <c r="O89" s="43"/>
      <c r="P89" s="23"/>
      <c r="Q89" s="23"/>
    </row>
    <row r="90" spans="1:17">
      <c r="A90" s="23"/>
      <c r="B90" s="40"/>
      <c r="C90" s="40"/>
      <c r="D90" s="41"/>
      <c r="E90" s="41"/>
      <c r="F90" s="41"/>
      <c r="G90" s="44"/>
      <c r="H90" s="23"/>
      <c r="I90" s="23"/>
      <c r="J90" s="99"/>
      <c r="K90" s="99"/>
      <c r="L90" s="99"/>
      <c r="M90" s="99"/>
      <c r="N90" s="43">
        <f t="shared" si="1"/>
        <v>0</v>
      </c>
      <c r="O90" s="43"/>
      <c r="P90" s="23"/>
      <c r="Q90" s="23"/>
    </row>
    <row r="91" spans="1:17">
      <c r="A91" s="23"/>
      <c r="B91" s="40"/>
      <c r="C91" s="40"/>
      <c r="D91" s="41"/>
      <c r="E91" s="41"/>
      <c r="F91" s="41"/>
      <c r="G91" s="44"/>
      <c r="H91" s="23"/>
      <c r="I91" s="23"/>
      <c r="J91" s="99"/>
      <c r="K91" s="99"/>
      <c r="L91" s="99"/>
      <c r="M91" s="99"/>
      <c r="N91" s="43">
        <f t="shared" si="1"/>
        <v>0</v>
      </c>
      <c r="O91" s="43"/>
      <c r="P91" s="23"/>
      <c r="Q91" s="23"/>
    </row>
    <row r="92" spans="1:17">
      <c r="A92" s="23"/>
      <c r="B92" s="40"/>
      <c r="C92" s="40"/>
      <c r="D92" s="41"/>
      <c r="E92" s="41"/>
      <c r="F92" s="41"/>
      <c r="G92" s="44"/>
      <c r="H92" s="23"/>
      <c r="I92" s="23"/>
      <c r="J92" s="99"/>
      <c r="K92" s="99"/>
      <c r="L92" s="99"/>
      <c r="M92" s="99"/>
      <c r="N92" s="43">
        <f t="shared" si="1"/>
        <v>0</v>
      </c>
      <c r="O92" s="43"/>
      <c r="P92" s="23"/>
      <c r="Q92" s="23"/>
    </row>
    <row r="93" spans="1:17">
      <c r="A93" s="23"/>
      <c r="B93" s="40"/>
      <c r="C93" s="40"/>
      <c r="D93" s="41"/>
      <c r="E93" s="41"/>
      <c r="F93" s="41"/>
      <c r="G93" s="44"/>
      <c r="H93" s="23"/>
      <c r="I93" s="23"/>
      <c r="J93" s="99"/>
      <c r="K93" s="99"/>
      <c r="L93" s="99"/>
      <c r="M93" s="99"/>
      <c r="N93" s="43">
        <f t="shared" si="1"/>
        <v>0</v>
      </c>
      <c r="O93" s="43"/>
      <c r="P93" s="23"/>
      <c r="Q93" s="23"/>
    </row>
    <row r="94" spans="1:17">
      <c r="A94" s="23"/>
      <c r="B94" s="40"/>
      <c r="C94" s="40"/>
      <c r="D94" s="41"/>
      <c r="E94" s="41"/>
      <c r="F94" s="41"/>
      <c r="G94" s="44"/>
      <c r="H94" s="23"/>
      <c r="I94" s="23"/>
      <c r="J94" s="99"/>
      <c r="K94" s="99"/>
      <c r="L94" s="99"/>
      <c r="M94" s="99"/>
      <c r="N94" s="43">
        <f t="shared" si="1"/>
        <v>0</v>
      </c>
      <c r="O94" s="43"/>
      <c r="P94" s="23"/>
      <c r="Q94" s="23"/>
    </row>
    <row r="95" spans="1:17">
      <c r="A95" s="23"/>
      <c r="B95" s="40"/>
      <c r="C95" s="40"/>
      <c r="D95" s="41"/>
      <c r="E95" s="41"/>
      <c r="F95" s="41"/>
      <c r="G95" s="44"/>
      <c r="H95" s="23"/>
      <c r="I95" s="23"/>
      <c r="J95" s="99"/>
      <c r="K95" s="99"/>
      <c r="L95" s="99"/>
      <c r="M95" s="99"/>
      <c r="N95" s="43">
        <f t="shared" si="1"/>
        <v>0</v>
      </c>
      <c r="O95" s="43"/>
      <c r="P95" s="23"/>
      <c r="Q95" s="23"/>
    </row>
    <row r="96" spans="1:17">
      <c r="A96" s="23"/>
      <c r="B96" s="40"/>
      <c r="C96" s="40"/>
      <c r="D96" s="41"/>
      <c r="E96" s="41"/>
      <c r="F96" s="41"/>
      <c r="G96" s="44"/>
      <c r="H96" s="23"/>
      <c r="I96" s="23"/>
      <c r="J96" s="99"/>
      <c r="K96" s="99"/>
      <c r="L96" s="99"/>
      <c r="M96" s="99"/>
      <c r="N96" s="43">
        <f t="shared" si="1"/>
        <v>0</v>
      </c>
      <c r="O96" s="43"/>
      <c r="P96" s="23"/>
      <c r="Q96" s="23"/>
    </row>
    <row r="97" spans="1:17">
      <c r="A97" s="23"/>
      <c r="B97" s="40"/>
      <c r="C97" s="40"/>
      <c r="D97" s="41"/>
      <c r="E97" s="41"/>
      <c r="F97" s="41"/>
      <c r="G97" s="44"/>
      <c r="H97" s="23"/>
      <c r="I97" s="23"/>
      <c r="J97" s="99"/>
      <c r="K97" s="99"/>
      <c r="L97" s="99"/>
      <c r="M97" s="99"/>
      <c r="N97" s="43">
        <f t="shared" si="1"/>
        <v>0</v>
      </c>
      <c r="O97" s="43"/>
      <c r="P97" s="23"/>
      <c r="Q97" s="23"/>
    </row>
    <row r="98" spans="1:17">
      <c r="A98" s="23"/>
      <c r="B98" s="40"/>
      <c r="C98" s="40"/>
      <c r="D98" s="41"/>
      <c r="E98" s="41"/>
      <c r="F98" s="41"/>
      <c r="G98" s="44"/>
      <c r="H98" s="23"/>
      <c r="I98" s="23"/>
      <c r="J98" s="99"/>
      <c r="K98" s="99"/>
      <c r="L98" s="99"/>
      <c r="M98" s="99"/>
      <c r="N98" s="43">
        <f t="shared" si="1"/>
        <v>0</v>
      </c>
      <c r="O98" s="43"/>
      <c r="P98" s="23"/>
      <c r="Q98" s="23"/>
    </row>
    <row r="99" spans="1:17">
      <c r="A99" s="23"/>
      <c r="B99" s="40"/>
      <c r="C99" s="40"/>
      <c r="D99" s="41"/>
      <c r="E99" s="41"/>
      <c r="F99" s="41"/>
      <c r="G99" s="44"/>
      <c r="H99" s="23"/>
      <c r="I99" s="23"/>
      <c r="J99" s="99"/>
      <c r="K99" s="99"/>
      <c r="L99" s="99"/>
      <c r="M99" s="99"/>
      <c r="N99" s="43">
        <f t="shared" si="1"/>
        <v>0</v>
      </c>
      <c r="O99" s="43"/>
      <c r="P99" s="23"/>
      <c r="Q99" s="23"/>
    </row>
    <row r="100" spans="1:17">
      <c r="A100" s="23"/>
      <c r="B100" s="40"/>
      <c r="C100" s="40"/>
      <c r="D100" s="41"/>
      <c r="E100" s="41"/>
      <c r="F100" s="41"/>
      <c r="G100" s="44"/>
      <c r="H100" s="23"/>
      <c r="I100" s="23"/>
      <c r="J100" s="99"/>
      <c r="K100" s="99"/>
      <c r="L100" s="99"/>
      <c r="M100" s="99"/>
      <c r="N100" s="43">
        <f t="shared" si="1"/>
        <v>0</v>
      </c>
      <c r="O100" s="43"/>
      <c r="P100" s="23"/>
      <c r="Q100" s="23"/>
    </row>
    <row r="101" spans="1:17">
      <c r="A101" s="23"/>
      <c r="B101" s="40"/>
      <c r="C101" s="40"/>
      <c r="D101" s="41"/>
      <c r="E101" s="41"/>
      <c r="F101" s="41"/>
      <c r="G101" s="44"/>
      <c r="H101" s="23"/>
      <c r="I101" s="23"/>
      <c r="J101" s="99"/>
      <c r="K101" s="99"/>
      <c r="L101" s="99"/>
      <c r="M101" s="99"/>
      <c r="N101" s="43">
        <f t="shared" si="1"/>
        <v>0</v>
      </c>
      <c r="O101" s="43"/>
      <c r="P101" s="23"/>
      <c r="Q101" s="23"/>
    </row>
    <row r="102" spans="1:17">
      <c r="A102" s="23"/>
      <c r="B102" s="40"/>
      <c r="C102" s="40"/>
      <c r="D102" s="41"/>
      <c r="E102" s="41"/>
      <c r="F102" s="41"/>
      <c r="G102" s="44"/>
      <c r="H102" s="23"/>
      <c r="I102" s="23"/>
      <c r="J102" s="99"/>
      <c r="K102" s="99"/>
      <c r="L102" s="99"/>
      <c r="M102" s="99"/>
      <c r="N102" s="43">
        <f t="shared" si="1"/>
        <v>0</v>
      </c>
      <c r="O102" s="43"/>
      <c r="P102" s="23"/>
      <c r="Q102" s="23"/>
    </row>
    <row r="103" spans="1:17">
      <c r="A103" s="23"/>
      <c r="B103" s="40"/>
      <c r="C103" s="40"/>
      <c r="D103" s="41"/>
      <c r="E103" s="41"/>
      <c r="F103" s="41"/>
      <c r="G103" s="44"/>
      <c r="H103" s="23"/>
      <c r="I103" s="23"/>
      <c r="J103" s="99"/>
      <c r="K103" s="99"/>
      <c r="L103" s="99"/>
      <c r="M103" s="99"/>
      <c r="N103" s="43">
        <f t="shared" si="1"/>
        <v>0</v>
      </c>
      <c r="O103" s="43"/>
      <c r="P103" s="23"/>
      <c r="Q103" s="23"/>
    </row>
    <row r="104" spans="1:17">
      <c r="A104" s="23"/>
      <c r="B104" s="40"/>
      <c r="C104" s="40"/>
      <c r="D104" s="41"/>
      <c r="E104" s="41"/>
      <c r="F104" s="41"/>
      <c r="G104" s="44"/>
      <c r="H104" s="23"/>
      <c r="I104" s="23"/>
      <c r="J104" s="99"/>
      <c r="K104" s="99"/>
      <c r="L104" s="99"/>
      <c r="M104" s="99"/>
      <c r="N104" s="43">
        <f t="shared" si="1"/>
        <v>0</v>
      </c>
      <c r="O104" s="43"/>
      <c r="P104" s="23"/>
      <c r="Q104" s="23"/>
    </row>
    <row r="105" spans="1:17">
      <c r="A105" s="23"/>
      <c r="B105" s="40"/>
      <c r="C105" s="40"/>
      <c r="D105" s="41"/>
      <c r="E105" s="41"/>
      <c r="F105" s="41"/>
      <c r="G105" s="44"/>
      <c r="H105" s="23"/>
      <c r="I105" s="23"/>
      <c r="J105" s="99"/>
      <c r="K105" s="99"/>
      <c r="L105" s="99"/>
      <c r="M105" s="99"/>
      <c r="N105" s="43">
        <f t="shared" si="1"/>
        <v>0</v>
      </c>
      <c r="O105" s="43"/>
      <c r="P105" s="23"/>
      <c r="Q105" s="23"/>
    </row>
    <row r="106" spans="1:17">
      <c r="A106" s="23"/>
      <c r="B106" s="40"/>
      <c r="C106" s="40"/>
      <c r="D106" s="41"/>
      <c r="E106" s="41"/>
      <c r="F106" s="41"/>
      <c r="G106" s="44"/>
      <c r="H106" s="23"/>
      <c r="I106" s="23"/>
      <c r="J106" s="99"/>
      <c r="K106" s="99"/>
      <c r="L106" s="99"/>
      <c r="M106" s="99"/>
      <c r="N106" s="43">
        <f t="shared" si="1"/>
        <v>0</v>
      </c>
      <c r="O106" s="43"/>
      <c r="P106" s="23"/>
      <c r="Q106" s="23"/>
    </row>
    <row r="107" spans="1:17">
      <c r="A107" s="23"/>
      <c r="B107" s="40"/>
      <c r="C107" s="40"/>
      <c r="D107" s="41"/>
      <c r="E107" s="41"/>
      <c r="F107" s="41"/>
      <c r="G107" s="44"/>
      <c r="H107" s="23"/>
      <c r="I107" s="23"/>
      <c r="J107" s="99"/>
      <c r="K107" s="99"/>
      <c r="L107" s="99"/>
      <c r="M107" s="99"/>
      <c r="N107" s="43">
        <f t="shared" si="1"/>
        <v>0</v>
      </c>
      <c r="O107" s="43"/>
      <c r="P107" s="23"/>
      <c r="Q107" s="23"/>
    </row>
    <row r="108" spans="1:17">
      <c r="A108" s="23"/>
      <c r="B108" s="40"/>
      <c r="C108" s="40"/>
      <c r="D108" s="41"/>
      <c r="E108" s="41"/>
      <c r="F108" s="41"/>
      <c r="G108" s="44"/>
      <c r="H108" s="23"/>
      <c r="I108" s="23"/>
      <c r="J108" s="99"/>
      <c r="K108" s="99"/>
      <c r="L108" s="99"/>
      <c r="M108" s="99"/>
      <c r="N108" s="43">
        <f t="shared" si="1"/>
        <v>0</v>
      </c>
      <c r="O108" s="43"/>
      <c r="P108" s="23"/>
      <c r="Q108" s="23"/>
    </row>
    <row r="109" spans="1:17">
      <c r="A109" s="23"/>
      <c r="B109" s="40"/>
      <c r="C109" s="40"/>
      <c r="D109" s="41"/>
      <c r="E109" s="41"/>
      <c r="F109" s="41"/>
      <c r="G109" s="44"/>
      <c r="H109" s="23"/>
      <c r="I109" s="23"/>
      <c r="J109" s="99"/>
      <c r="K109" s="99"/>
      <c r="L109" s="99"/>
      <c r="M109" s="99"/>
      <c r="N109" s="43">
        <f t="shared" si="1"/>
        <v>0</v>
      </c>
      <c r="O109" s="43"/>
      <c r="P109" s="23"/>
      <c r="Q109" s="23"/>
    </row>
    <row r="110" spans="1:17">
      <c r="A110" s="23"/>
      <c r="B110" s="40"/>
      <c r="C110" s="40"/>
      <c r="D110" s="41"/>
      <c r="E110" s="41"/>
      <c r="F110" s="41"/>
      <c r="G110" s="44"/>
      <c r="H110" s="23"/>
      <c r="I110" s="23"/>
      <c r="J110" s="99"/>
      <c r="K110" s="99"/>
      <c r="L110" s="99"/>
      <c r="M110" s="99"/>
      <c r="N110" s="43">
        <f t="shared" si="1"/>
        <v>0</v>
      </c>
      <c r="O110" s="43"/>
      <c r="P110" s="23"/>
      <c r="Q110" s="23"/>
    </row>
    <row r="111" spans="1:17">
      <c r="A111" s="23"/>
      <c r="B111" s="40"/>
      <c r="C111" s="40"/>
      <c r="D111" s="41"/>
      <c r="E111" s="41"/>
      <c r="F111" s="41"/>
      <c r="G111" s="44"/>
      <c r="H111" s="23"/>
      <c r="I111" s="23"/>
      <c r="J111" s="99"/>
      <c r="K111" s="99"/>
      <c r="L111" s="99"/>
      <c r="M111" s="99"/>
      <c r="N111" s="43">
        <f t="shared" si="1"/>
        <v>0</v>
      </c>
      <c r="O111" s="43"/>
      <c r="P111" s="23"/>
      <c r="Q111" s="23"/>
    </row>
    <row r="112" spans="1:17">
      <c r="A112" s="23"/>
      <c r="B112" s="40"/>
      <c r="C112" s="40"/>
      <c r="D112" s="41"/>
      <c r="E112" s="41"/>
      <c r="F112" s="41"/>
      <c r="G112" s="44"/>
      <c r="H112" s="23"/>
      <c r="I112" s="23"/>
      <c r="J112" s="99"/>
      <c r="K112" s="99"/>
      <c r="L112" s="99"/>
      <c r="M112" s="99"/>
      <c r="N112" s="43">
        <f t="shared" si="1"/>
        <v>0</v>
      </c>
      <c r="O112" s="43"/>
      <c r="P112" s="23"/>
      <c r="Q112" s="23"/>
    </row>
    <row r="113" spans="1:17">
      <c r="A113" s="23"/>
      <c r="B113" s="40"/>
      <c r="C113" s="40"/>
      <c r="D113" s="41"/>
      <c r="E113" s="41"/>
      <c r="F113" s="41"/>
      <c r="G113" s="44"/>
      <c r="H113" s="23"/>
      <c r="I113" s="23"/>
      <c r="J113" s="99"/>
      <c r="K113" s="99"/>
      <c r="L113" s="99"/>
      <c r="M113" s="99"/>
      <c r="N113" s="43">
        <f t="shared" si="1"/>
        <v>0</v>
      </c>
      <c r="O113" s="43"/>
      <c r="P113" s="23"/>
      <c r="Q113" s="23"/>
    </row>
    <row r="114" spans="1:17">
      <c r="A114" s="23"/>
      <c r="B114" s="40"/>
      <c r="C114" s="40"/>
      <c r="D114" s="41"/>
      <c r="E114" s="41"/>
      <c r="F114" s="41"/>
      <c r="G114" s="44"/>
      <c r="H114" s="23"/>
      <c r="I114" s="23"/>
      <c r="J114" s="99"/>
      <c r="K114" s="99"/>
      <c r="L114" s="99"/>
      <c r="M114" s="99"/>
      <c r="N114" s="43">
        <f t="shared" si="1"/>
        <v>0</v>
      </c>
      <c r="O114" s="43"/>
      <c r="P114" s="23"/>
      <c r="Q114" s="23"/>
    </row>
    <row r="115" spans="1:17">
      <c r="A115" s="23"/>
      <c r="B115" s="40"/>
      <c r="C115" s="40"/>
      <c r="D115" s="41"/>
      <c r="E115" s="41"/>
      <c r="F115" s="41"/>
      <c r="G115" s="44"/>
      <c r="H115" s="23"/>
      <c r="I115" s="23"/>
      <c r="J115" s="99"/>
      <c r="K115" s="99"/>
      <c r="L115" s="99"/>
      <c r="M115" s="99"/>
      <c r="N115" s="43">
        <f t="shared" si="1"/>
        <v>0</v>
      </c>
      <c r="O115" s="43"/>
      <c r="P115" s="23"/>
      <c r="Q115" s="23"/>
    </row>
    <row r="116" spans="1:17">
      <c r="A116" s="23"/>
      <c r="B116" s="40"/>
      <c r="C116" s="40"/>
      <c r="D116" s="41"/>
      <c r="E116" s="41"/>
      <c r="F116" s="41"/>
      <c r="G116" s="44"/>
      <c r="H116" s="23"/>
      <c r="I116" s="23"/>
      <c r="J116" s="99"/>
      <c r="K116" s="99"/>
      <c r="L116" s="99"/>
      <c r="M116" s="99"/>
      <c r="N116" s="43">
        <f t="shared" si="1"/>
        <v>0</v>
      </c>
      <c r="O116" s="43"/>
      <c r="P116" s="23"/>
      <c r="Q116" s="23"/>
    </row>
    <row r="117" spans="1:17">
      <c r="A117" s="23"/>
      <c r="B117" s="40"/>
      <c r="C117" s="40"/>
      <c r="D117" s="41"/>
      <c r="E117" s="41"/>
      <c r="F117" s="41"/>
      <c r="G117" s="44"/>
      <c r="H117" s="23"/>
      <c r="I117" s="23"/>
      <c r="J117" s="99"/>
      <c r="K117" s="99"/>
      <c r="L117" s="99"/>
      <c r="M117" s="99"/>
      <c r="N117" s="43">
        <f t="shared" si="1"/>
        <v>0</v>
      </c>
      <c r="O117" s="43"/>
      <c r="P117" s="23"/>
      <c r="Q117" s="23"/>
    </row>
    <row r="118" spans="1:17">
      <c r="A118" s="23"/>
      <c r="B118" s="40"/>
      <c r="C118" s="40"/>
      <c r="D118" s="41"/>
      <c r="E118" s="41"/>
      <c r="F118" s="41"/>
      <c r="G118" s="44"/>
      <c r="H118" s="23"/>
      <c r="I118" s="23"/>
      <c r="J118" s="99"/>
      <c r="K118" s="99"/>
      <c r="L118" s="99"/>
      <c r="M118" s="99"/>
      <c r="N118" s="43">
        <f t="shared" si="1"/>
        <v>0</v>
      </c>
      <c r="O118" s="43"/>
      <c r="P118" s="23"/>
      <c r="Q118" s="23"/>
    </row>
    <row r="119" spans="1:17">
      <c r="A119" s="23"/>
      <c r="B119" s="40"/>
      <c r="C119" s="40"/>
      <c r="D119" s="41"/>
      <c r="E119" s="41"/>
      <c r="F119" s="41"/>
      <c r="G119" s="44"/>
      <c r="H119" s="23"/>
      <c r="I119" s="23"/>
      <c r="J119" s="99"/>
      <c r="K119" s="99"/>
      <c r="L119" s="99"/>
      <c r="M119" s="99"/>
      <c r="N119" s="43">
        <f t="shared" si="1"/>
        <v>0</v>
      </c>
      <c r="O119" s="43"/>
      <c r="P119" s="23"/>
      <c r="Q119" s="23"/>
    </row>
    <row r="120" spans="1:17">
      <c r="A120" s="23"/>
      <c r="B120" s="40"/>
      <c r="C120" s="40"/>
      <c r="D120" s="41"/>
      <c r="E120" s="41"/>
      <c r="F120" s="41"/>
      <c r="G120" s="44"/>
      <c r="H120" s="23"/>
      <c r="I120" s="23"/>
      <c r="J120" s="99"/>
      <c r="K120" s="99"/>
      <c r="L120" s="99"/>
      <c r="M120" s="99"/>
      <c r="N120" s="43">
        <f t="shared" si="1"/>
        <v>0</v>
      </c>
      <c r="O120" s="43"/>
      <c r="P120" s="23"/>
      <c r="Q120" s="23"/>
    </row>
    <row r="121" spans="1:17">
      <c r="A121" s="23"/>
      <c r="B121" s="40"/>
      <c r="C121" s="40"/>
      <c r="D121" s="41"/>
      <c r="E121" s="41"/>
      <c r="F121" s="41"/>
      <c r="G121" s="44"/>
      <c r="H121" s="23"/>
      <c r="I121" s="23"/>
      <c r="J121" s="99"/>
      <c r="K121" s="99"/>
      <c r="L121" s="99"/>
      <c r="M121" s="99"/>
      <c r="N121" s="43">
        <f t="shared" si="1"/>
        <v>0</v>
      </c>
      <c r="O121" s="43"/>
      <c r="P121" s="23"/>
      <c r="Q121" s="23"/>
    </row>
    <row r="122" spans="1:17">
      <c r="A122" s="23"/>
      <c r="B122" s="40"/>
      <c r="C122" s="40"/>
      <c r="D122" s="41"/>
      <c r="E122" s="41"/>
      <c r="F122" s="41"/>
      <c r="G122" s="44"/>
      <c r="H122" s="23"/>
      <c r="I122" s="23"/>
      <c r="J122" s="99"/>
      <c r="K122" s="99"/>
      <c r="L122" s="99"/>
      <c r="M122" s="99"/>
      <c r="N122" s="43">
        <f t="shared" si="1"/>
        <v>0</v>
      </c>
      <c r="O122" s="43"/>
      <c r="P122" s="23"/>
      <c r="Q122" s="23"/>
    </row>
    <row r="123" spans="1:17">
      <c r="A123" s="23"/>
      <c r="B123" s="40"/>
      <c r="C123" s="40"/>
      <c r="D123" s="41"/>
      <c r="E123" s="41"/>
      <c r="F123" s="41"/>
      <c r="G123" s="44"/>
      <c r="H123" s="23"/>
      <c r="I123" s="23"/>
      <c r="J123" s="99"/>
      <c r="K123" s="99"/>
      <c r="L123" s="99"/>
      <c r="M123" s="99"/>
      <c r="N123" s="43">
        <f t="shared" si="1"/>
        <v>0</v>
      </c>
      <c r="O123" s="43"/>
      <c r="P123" s="23"/>
      <c r="Q123" s="23"/>
    </row>
    <row r="124" spans="1:17">
      <c r="A124" s="23"/>
      <c r="B124" s="40"/>
      <c r="C124" s="40"/>
      <c r="D124" s="41"/>
      <c r="E124" s="41"/>
      <c r="F124" s="41"/>
      <c r="G124" s="44"/>
      <c r="H124" s="23"/>
      <c r="I124" s="23"/>
      <c r="J124" s="99"/>
      <c r="K124" s="99"/>
      <c r="L124" s="99"/>
      <c r="M124" s="99"/>
      <c r="N124" s="43">
        <f t="shared" si="1"/>
        <v>0</v>
      </c>
      <c r="O124" s="43"/>
      <c r="P124" s="23"/>
      <c r="Q124" s="23"/>
    </row>
    <row r="125" spans="1:17">
      <c r="A125" s="23"/>
      <c r="B125" s="40"/>
      <c r="C125" s="40"/>
      <c r="D125" s="41"/>
      <c r="E125" s="41"/>
      <c r="F125" s="41"/>
      <c r="G125" s="44"/>
      <c r="H125" s="23"/>
      <c r="I125" s="23"/>
      <c r="J125" s="99"/>
      <c r="K125" s="99"/>
      <c r="L125" s="99"/>
      <c r="M125" s="99"/>
      <c r="N125" s="43">
        <f t="shared" si="1"/>
        <v>0</v>
      </c>
      <c r="O125" s="43"/>
      <c r="P125" s="23"/>
      <c r="Q125" s="23"/>
    </row>
    <row r="126" spans="1:17">
      <c r="A126" s="23"/>
      <c r="B126" s="40"/>
      <c r="C126" s="40"/>
      <c r="D126" s="41"/>
      <c r="E126" s="41"/>
      <c r="F126" s="41"/>
      <c r="G126" s="44"/>
      <c r="H126" s="23"/>
      <c r="I126" s="23"/>
      <c r="J126" s="99"/>
      <c r="K126" s="99"/>
      <c r="L126" s="99"/>
      <c r="M126" s="99"/>
      <c r="N126" s="43">
        <f t="shared" si="1"/>
        <v>0</v>
      </c>
      <c r="O126" s="43"/>
      <c r="P126" s="23"/>
      <c r="Q126" s="23"/>
    </row>
    <row r="127" spans="1:17">
      <c r="A127" s="23"/>
      <c r="B127" s="40"/>
      <c r="C127" s="40"/>
      <c r="D127" s="41"/>
      <c r="E127" s="41"/>
      <c r="F127" s="41"/>
      <c r="G127" s="44"/>
      <c r="H127" s="23"/>
      <c r="I127" s="23"/>
      <c r="J127" s="99"/>
      <c r="K127" s="99"/>
      <c r="L127" s="99"/>
      <c r="M127" s="99"/>
      <c r="N127" s="43">
        <f t="shared" si="1"/>
        <v>0</v>
      </c>
      <c r="O127" s="43"/>
      <c r="P127" s="23"/>
      <c r="Q127" s="23"/>
    </row>
    <row r="128" spans="1:17">
      <c r="A128" s="23"/>
      <c r="B128" s="40"/>
      <c r="C128" s="40"/>
      <c r="D128" s="41"/>
      <c r="E128" s="41"/>
      <c r="F128" s="41"/>
      <c r="G128" s="44"/>
      <c r="H128" s="23"/>
      <c r="I128" s="23"/>
      <c r="J128" s="99"/>
      <c r="K128" s="99"/>
      <c r="L128" s="99"/>
      <c r="M128" s="99"/>
      <c r="N128" s="43">
        <f t="shared" si="1"/>
        <v>0</v>
      </c>
      <c r="O128" s="43"/>
      <c r="P128" s="23"/>
      <c r="Q128" s="23"/>
    </row>
    <row r="129" spans="1:17">
      <c r="A129" s="23"/>
      <c r="B129" s="40"/>
      <c r="C129" s="40"/>
      <c r="D129" s="41"/>
      <c r="E129" s="41"/>
      <c r="F129" s="41"/>
      <c r="G129" s="44"/>
      <c r="H129" s="23"/>
      <c r="I129" s="23"/>
      <c r="J129" s="99"/>
      <c r="K129" s="99"/>
      <c r="L129" s="99"/>
      <c r="M129" s="99"/>
      <c r="N129" s="43">
        <f t="shared" si="1"/>
        <v>0</v>
      </c>
      <c r="O129" s="43"/>
      <c r="P129" s="23"/>
      <c r="Q129" s="23"/>
    </row>
    <row r="130" spans="1:17">
      <c r="A130" s="23"/>
      <c r="B130" s="40"/>
      <c r="C130" s="40"/>
      <c r="D130" s="41"/>
      <c r="E130" s="41"/>
      <c r="F130" s="41"/>
      <c r="G130" s="44"/>
      <c r="H130" s="23"/>
      <c r="I130" s="23"/>
      <c r="J130" s="99"/>
      <c r="K130" s="99"/>
      <c r="L130" s="99"/>
      <c r="M130" s="99"/>
      <c r="N130" s="43">
        <f t="shared" si="1"/>
        <v>0</v>
      </c>
      <c r="O130" s="43"/>
      <c r="P130" s="23"/>
      <c r="Q130" s="23"/>
    </row>
    <row r="131" spans="1:17">
      <c r="A131" s="23"/>
      <c r="B131" s="40"/>
      <c r="C131" s="40"/>
      <c r="D131" s="41"/>
      <c r="E131" s="41"/>
      <c r="F131" s="41"/>
      <c r="G131" s="44"/>
      <c r="H131" s="23"/>
      <c r="I131" s="23"/>
      <c r="J131" s="99"/>
      <c r="K131" s="99"/>
      <c r="L131" s="99"/>
      <c r="M131" s="99"/>
      <c r="N131" s="43">
        <f t="shared" si="1"/>
        <v>0</v>
      </c>
      <c r="O131" s="43"/>
      <c r="P131" s="23"/>
      <c r="Q131" s="23"/>
    </row>
    <row r="132" spans="1:17">
      <c r="A132" s="23"/>
      <c r="B132" s="40"/>
      <c r="C132" s="40"/>
      <c r="D132" s="41"/>
      <c r="E132" s="41"/>
      <c r="F132" s="41"/>
      <c r="G132" s="44"/>
      <c r="H132" s="23"/>
      <c r="I132" s="23"/>
      <c r="J132" s="99"/>
      <c r="K132" s="99"/>
      <c r="L132" s="99"/>
      <c r="M132" s="99"/>
      <c r="N132" s="43">
        <f t="shared" si="1"/>
        <v>0</v>
      </c>
      <c r="O132" s="43"/>
      <c r="P132" s="23"/>
      <c r="Q132" s="23"/>
    </row>
    <row r="133" spans="1:17">
      <c r="A133" s="23"/>
      <c r="B133" s="40"/>
      <c r="C133" s="40"/>
      <c r="D133" s="41"/>
      <c r="E133" s="41"/>
      <c r="F133" s="41"/>
      <c r="G133" s="44"/>
      <c r="H133" s="23"/>
      <c r="I133" s="23"/>
      <c r="J133" s="99"/>
      <c r="K133" s="99"/>
      <c r="L133" s="99"/>
      <c r="M133" s="99"/>
      <c r="N133" s="43">
        <f t="shared" si="1"/>
        <v>0</v>
      </c>
      <c r="O133" s="43"/>
      <c r="P133" s="23"/>
      <c r="Q133" s="23"/>
    </row>
    <row r="134" spans="1:17">
      <c r="A134" s="23"/>
      <c r="B134" s="40"/>
      <c r="C134" s="40"/>
      <c r="D134" s="41"/>
      <c r="E134" s="41"/>
      <c r="F134" s="41"/>
      <c r="G134" s="44"/>
      <c r="H134" s="23"/>
      <c r="I134" s="23"/>
      <c r="J134" s="99"/>
      <c r="K134" s="99"/>
      <c r="L134" s="99"/>
      <c r="M134" s="99"/>
      <c r="N134" s="43">
        <f t="shared" si="1"/>
        <v>0</v>
      </c>
      <c r="O134" s="43"/>
      <c r="P134" s="23"/>
      <c r="Q134" s="23"/>
    </row>
    <row r="135" spans="1:17">
      <c r="A135" s="23"/>
      <c r="B135" s="40"/>
      <c r="C135" s="40"/>
      <c r="D135" s="41"/>
      <c r="E135" s="41"/>
      <c r="F135" s="41"/>
      <c r="G135" s="44"/>
      <c r="H135" s="23"/>
      <c r="I135" s="23"/>
      <c r="J135" s="99"/>
      <c r="K135" s="99"/>
      <c r="L135" s="99"/>
      <c r="M135" s="99"/>
      <c r="N135" s="43">
        <f t="shared" si="1"/>
        <v>0</v>
      </c>
      <c r="O135" s="43"/>
      <c r="P135" s="23"/>
      <c r="Q135" s="23"/>
    </row>
    <row r="136" spans="1:17">
      <c r="A136" s="23"/>
      <c r="B136" s="40"/>
      <c r="C136" s="40"/>
      <c r="D136" s="41"/>
      <c r="E136" s="41"/>
      <c r="F136" s="41"/>
      <c r="G136" s="44"/>
      <c r="H136" s="23"/>
      <c r="I136" s="23"/>
      <c r="J136" s="99"/>
      <c r="K136" s="99"/>
      <c r="L136" s="99"/>
      <c r="M136" s="99"/>
      <c r="N136" s="43">
        <f t="shared" si="1"/>
        <v>0</v>
      </c>
      <c r="O136" s="43"/>
      <c r="P136" s="23"/>
      <c r="Q136" s="23"/>
    </row>
    <row r="137" spans="1:17">
      <c r="A137" s="23"/>
      <c r="B137" s="40"/>
      <c r="C137" s="40"/>
      <c r="D137" s="41"/>
      <c r="E137" s="41"/>
      <c r="F137" s="41"/>
      <c r="G137" s="44"/>
      <c r="H137" s="23"/>
      <c r="I137" s="23"/>
      <c r="J137" s="99"/>
      <c r="K137" s="99"/>
      <c r="L137" s="99"/>
      <c r="M137" s="99"/>
      <c r="N137" s="43">
        <f t="shared" si="1"/>
        <v>0</v>
      </c>
      <c r="O137" s="43"/>
      <c r="P137" s="23"/>
      <c r="Q137" s="23"/>
    </row>
    <row r="138" spans="1:17">
      <c r="A138" s="23"/>
      <c r="B138" s="40"/>
      <c r="C138" s="40"/>
      <c r="D138" s="41"/>
      <c r="E138" s="41"/>
      <c r="F138" s="41"/>
      <c r="G138" s="44"/>
      <c r="H138" s="23"/>
      <c r="I138" s="23"/>
      <c r="J138" s="99"/>
      <c r="K138" s="99"/>
      <c r="L138" s="99"/>
      <c r="M138" s="99"/>
      <c r="N138" s="43">
        <f t="shared" si="1"/>
        <v>0</v>
      </c>
      <c r="O138" s="43"/>
      <c r="P138" s="23"/>
      <c r="Q138" s="23"/>
    </row>
    <row r="139" spans="1:17">
      <c r="A139" s="23"/>
      <c r="B139" s="40"/>
      <c r="C139" s="40"/>
      <c r="D139" s="41"/>
      <c r="E139" s="41"/>
      <c r="F139" s="41"/>
      <c r="G139" s="44"/>
      <c r="H139" s="23"/>
      <c r="I139" s="23"/>
      <c r="J139" s="99"/>
      <c r="K139" s="99"/>
      <c r="L139" s="99"/>
      <c r="M139" s="99"/>
      <c r="N139" s="43">
        <f t="shared" ref="N139:N202" si="2">IF($L$4=$C$10,C139,IF(D139="","",B139))</f>
        <v>0</v>
      </c>
      <c r="O139" s="43"/>
      <c r="P139" s="23"/>
      <c r="Q139" s="23"/>
    </row>
    <row r="140" spans="1:17">
      <c r="A140" s="23"/>
      <c r="B140" s="40"/>
      <c r="C140" s="40"/>
      <c r="D140" s="41"/>
      <c r="E140" s="41"/>
      <c r="F140" s="41"/>
      <c r="G140" s="44"/>
      <c r="H140" s="23"/>
      <c r="I140" s="23"/>
      <c r="J140" s="99"/>
      <c r="K140" s="99"/>
      <c r="L140" s="99"/>
      <c r="M140" s="99"/>
      <c r="N140" s="43">
        <f t="shared" si="2"/>
        <v>0</v>
      </c>
      <c r="O140" s="43"/>
      <c r="P140" s="23"/>
      <c r="Q140" s="23"/>
    </row>
    <row r="141" spans="1:17">
      <c r="A141" s="23"/>
      <c r="B141" s="40"/>
      <c r="C141" s="40"/>
      <c r="D141" s="41"/>
      <c r="E141" s="41"/>
      <c r="F141" s="41"/>
      <c r="G141" s="44"/>
      <c r="H141" s="23"/>
      <c r="I141" s="23"/>
      <c r="J141" s="99"/>
      <c r="K141" s="99"/>
      <c r="L141" s="99"/>
      <c r="M141" s="99"/>
      <c r="N141" s="43">
        <f t="shared" si="2"/>
        <v>0</v>
      </c>
      <c r="O141" s="43"/>
      <c r="P141" s="23"/>
      <c r="Q141" s="23"/>
    </row>
    <row r="142" spans="1:17">
      <c r="A142" s="23"/>
      <c r="B142" s="40"/>
      <c r="C142" s="40"/>
      <c r="D142" s="41"/>
      <c r="E142" s="41"/>
      <c r="F142" s="41"/>
      <c r="G142" s="44"/>
      <c r="H142" s="23"/>
      <c r="I142" s="23"/>
      <c r="J142" s="99"/>
      <c r="K142" s="99"/>
      <c r="L142" s="99"/>
      <c r="M142" s="99"/>
      <c r="N142" s="43">
        <f t="shared" si="2"/>
        <v>0</v>
      </c>
      <c r="O142" s="43"/>
      <c r="P142" s="23"/>
      <c r="Q142" s="23"/>
    </row>
    <row r="143" spans="1:17">
      <c r="A143" s="23"/>
      <c r="B143" s="40"/>
      <c r="C143" s="40"/>
      <c r="D143" s="41"/>
      <c r="E143" s="41"/>
      <c r="F143" s="41"/>
      <c r="G143" s="44"/>
      <c r="H143" s="23"/>
      <c r="I143" s="23"/>
      <c r="J143" s="99"/>
      <c r="K143" s="99"/>
      <c r="L143" s="99"/>
      <c r="M143" s="99"/>
      <c r="N143" s="43">
        <f t="shared" si="2"/>
        <v>0</v>
      </c>
      <c r="O143" s="43"/>
      <c r="P143" s="23"/>
      <c r="Q143" s="23"/>
    </row>
    <row r="144" spans="1:17">
      <c r="A144" s="23"/>
      <c r="B144" s="40"/>
      <c r="C144" s="40"/>
      <c r="D144" s="41"/>
      <c r="E144" s="41"/>
      <c r="F144" s="41"/>
      <c r="G144" s="44"/>
      <c r="H144" s="23"/>
      <c r="I144" s="23"/>
      <c r="J144" s="99"/>
      <c r="K144" s="99"/>
      <c r="L144" s="99"/>
      <c r="M144" s="99"/>
      <c r="N144" s="43">
        <f t="shared" si="2"/>
        <v>0</v>
      </c>
      <c r="O144" s="43"/>
      <c r="P144" s="23"/>
      <c r="Q144" s="23"/>
    </row>
    <row r="145" spans="1:17">
      <c r="A145" s="23"/>
      <c r="B145" s="40"/>
      <c r="C145" s="40"/>
      <c r="D145" s="41"/>
      <c r="E145" s="41"/>
      <c r="F145" s="41"/>
      <c r="G145" s="44"/>
      <c r="H145" s="23"/>
      <c r="I145" s="23"/>
      <c r="J145" s="99"/>
      <c r="K145" s="99"/>
      <c r="L145" s="99"/>
      <c r="M145" s="99"/>
      <c r="N145" s="43">
        <f t="shared" si="2"/>
        <v>0</v>
      </c>
      <c r="O145" s="43"/>
      <c r="P145" s="23"/>
      <c r="Q145" s="23"/>
    </row>
    <row r="146" spans="1:17">
      <c r="A146" s="23"/>
      <c r="B146" s="40"/>
      <c r="C146" s="40"/>
      <c r="D146" s="41"/>
      <c r="E146" s="41"/>
      <c r="F146" s="41"/>
      <c r="G146" s="44"/>
      <c r="H146" s="23"/>
      <c r="I146" s="23"/>
      <c r="J146" s="99"/>
      <c r="K146" s="99"/>
      <c r="L146" s="99"/>
      <c r="M146" s="99"/>
      <c r="N146" s="43">
        <f t="shared" si="2"/>
        <v>0</v>
      </c>
      <c r="O146" s="43"/>
      <c r="P146" s="23"/>
      <c r="Q146" s="23"/>
    </row>
    <row r="147" spans="1:17">
      <c r="A147" s="23"/>
      <c r="B147" s="40"/>
      <c r="C147" s="40"/>
      <c r="D147" s="41"/>
      <c r="E147" s="41"/>
      <c r="F147" s="41"/>
      <c r="G147" s="44"/>
      <c r="H147" s="23"/>
      <c r="I147" s="23"/>
      <c r="J147" s="99"/>
      <c r="K147" s="99"/>
      <c r="L147" s="99"/>
      <c r="M147" s="99"/>
      <c r="N147" s="43">
        <f t="shared" si="2"/>
        <v>0</v>
      </c>
      <c r="O147" s="43"/>
      <c r="P147" s="23"/>
      <c r="Q147" s="23"/>
    </row>
    <row r="148" spans="1:17">
      <c r="A148" s="23"/>
      <c r="B148" s="40"/>
      <c r="C148" s="40"/>
      <c r="D148" s="41"/>
      <c r="E148" s="41"/>
      <c r="F148" s="41"/>
      <c r="G148" s="44"/>
      <c r="H148" s="23"/>
      <c r="I148" s="23"/>
      <c r="J148" s="99"/>
      <c r="K148" s="99"/>
      <c r="L148" s="99"/>
      <c r="M148" s="99"/>
      <c r="N148" s="43">
        <f t="shared" si="2"/>
        <v>0</v>
      </c>
      <c r="O148" s="43"/>
      <c r="P148" s="23"/>
      <c r="Q148" s="23"/>
    </row>
    <row r="149" spans="1:17">
      <c r="A149" s="23"/>
      <c r="B149" s="40"/>
      <c r="C149" s="40"/>
      <c r="D149" s="41"/>
      <c r="E149" s="41"/>
      <c r="F149" s="41"/>
      <c r="G149" s="44"/>
      <c r="H149" s="23"/>
      <c r="I149" s="23"/>
      <c r="J149" s="99"/>
      <c r="K149" s="99"/>
      <c r="L149" s="99"/>
      <c r="M149" s="99"/>
      <c r="N149" s="43">
        <f t="shared" si="2"/>
        <v>0</v>
      </c>
      <c r="O149" s="43"/>
      <c r="P149" s="23"/>
      <c r="Q149" s="23"/>
    </row>
    <row r="150" spans="1:17">
      <c r="A150" s="23"/>
      <c r="B150" s="40"/>
      <c r="C150" s="40"/>
      <c r="D150" s="41"/>
      <c r="E150" s="41"/>
      <c r="F150" s="41"/>
      <c r="G150" s="44"/>
      <c r="H150" s="23"/>
      <c r="I150" s="23"/>
      <c r="J150" s="99"/>
      <c r="K150" s="99"/>
      <c r="L150" s="99"/>
      <c r="M150" s="99"/>
      <c r="N150" s="43">
        <f t="shared" si="2"/>
        <v>0</v>
      </c>
      <c r="O150" s="43"/>
      <c r="P150" s="23"/>
      <c r="Q150" s="23"/>
    </row>
    <row r="151" spans="1:17">
      <c r="A151" s="23"/>
      <c r="B151" s="40"/>
      <c r="C151" s="40"/>
      <c r="D151" s="41"/>
      <c r="E151" s="41"/>
      <c r="F151" s="41"/>
      <c r="G151" s="44"/>
      <c r="H151" s="23"/>
      <c r="I151" s="23"/>
      <c r="J151" s="99"/>
      <c r="K151" s="99"/>
      <c r="L151" s="99"/>
      <c r="M151" s="99"/>
      <c r="N151" s="43">
        <f t="shared" si="2"/>
        <v>0</v>
      </c>
      <c r="O151" s="43"/>
      <c r="P151" s="23"/>
      <c r="Q151" s="23"/>
    </row>
    <row r="152" spans="1:17">
      <c r="A152" s="23"/>
      <c r="B152" s="40"/>
      <c r="C152" s="40"/>
      <c r="D152" s="41"/>
      <c r="E152" s="41"/>
      <c r="F152" s="41"/>
      <c r="G152" s="44"/>
      <c r="H152" s="23"/>
      <c r="I152" s="23"/>
      <c r="J152" s="99"/>
      <c r="K152" s="99"/>
      <c r="L152" s="99"/>
      <c r="M152" s="99"/>
      <c r="N152" s="43">
        <f t="shared" si="2"/>
        <v>0</v>
      </c>
      <c r="O152" s="43"/>
      <c r="P152" s="23"/>
      <c r="Q152" s="23"/>
    </row>
    <row r="153" spans="1:17">
      <c r="A153" s="23"/>
      <c r="B153" s="40"/>
      <c r="C153" s="40"/>
      <c r="D153" s="41"/>
      <c r="E153" s="41"/>
      <c r="F153" s="41"/>
      <c r="G153" s="44"/>
      <c r="H153" s="23"/>
      <c r="I153" s="23"/>
      <c r="J153" s="99"/>
      <c r="K153" s="99"/>
      <c r="L153" s="99"/>
      <c r="M153" s="99"/>
      <c r="N153" s="43">
        <f t="shared" si="2"/>
        <v>0</v>
      </c>
      <c r="O153" s="43"/>
      <c r="P153" s="23"/>
      <c r="Q153" s="23"/>
    </row>
    <row r="154" spans="1:17">
      <c r="A154" s="23"/>
      <c r="B154" s="40"/>
      <c r="C154" s="40"/>
      <c r="D154" s="41"/>
      <c r="E154" s="41"/>
      <c r="F154" s="41"/>
      <c r="G154" s="44"/>
      <c r="H154" s="23"/>
      <c r="I154" s="23"/>
      <c r="J154" s="99"/>
      <c r="K154" s="99"/>
      <c r="L154" s="99"/>
      <c r="M154" s="99"/>
      <c r="N154" s="43">
        <f t="shared" si="2"/>
        <v>0</v>
      </c>
      <c r="O154" s="43"/>
      <c r="P154" s="23"/>
      <c r="Q154" s="23"/>
    </row>
    <row r="155" spans="1:17">
      <c r="A155" s="23"/>
      <c r="B155" s="40"/>
      <c r="C155" s="40"/>
      <c r="D155" s="41"/>
      <c r="E155" s="41"/>
      <c r="F155" s="41"/>
      <c r="G155" s="44"/>
      <c r="H155" s="23"/>
      <c r="I155" s="23"/>
      <c r="J155" s="99"/>
      <c r="K155" s="99"/>
      <c r="L155" s="99"/>
      <c r="M155" s="99"/>
      <c r="N155" s="43">
        <f t="shared" si="2"/>
        <v>0</v>
      </c>
      <c r="O155" s="43"/>
      <c r="P155" s="23"/>
      <c r="Q155" s="23"/>
    </row>
    <row r="156" spans="1:17">
      <c r="A156" s="23"/>
      <c r="B156" s="40"/>
      <c r="C156" s="40"/>
      <c r="D156" s="41"/>
      <c r="E156" s="41"/>
      <c r="F156" s="41"/>
      <c r="G156" s="44"/>
      <c r="H156" s="23"/>
      <c r="I156" s="23"/>
      <c r="J156" s="99"/>
      <c r="K156" s="99"/>
      <c r="L156" s="99"/>
      <c r="M156" s="99"/>
      <c r="N156" s="43">
        <f t="shared" si="2"/>
        <v>0</v>
      </c>
      <c r="O156" s="43"/>
      <c r="P156" s="23"/>
      <c r="Q156" s="23"/>
    </row>
    <row r="157" spans="1:17">
      <c r="A157" s="23"/>
      <c r="B157" s="40"/>
      <c r="C157" s="40"/>
      <c r="D157" s="41"/>
      <c r="E157" s="41"/>
      <c r="F157" s="41"/>
      <c r="G157" s="44"/>
      <c r="H157" s="23"/>
      <c r="I157" s="23"/>
      <c r="J157" s="99"/>
      <c r="K157" s="99"/>
      <c r="L157" s="99"/>
      <c r="M157" s="99"/>
      <c r="N157" s="43">
        <f t="shared" si="2"/>
        <v>0</v>
      </c>
      <c r="O157" s="43"/>
      <c r="P157" s="23"/>
      <c r="Q157" s="23"/>
    </row>
    <row r="158" spans="1:17">
      <c r="A158" s="23"/>
      <c r="B158" s="40"/>
      <c r="C158" s="40"/>
      <c r="D158" s="41"/>
      <c r="E158" s="41"/>
      <c r="F158" s="41"/>
      <c r="G158" s="44"/>
      <c r="H158" s="23"/>
      <c r="I158" s="23"/>
      <c r="J158" s="99"/>
      <c r="K158" s="99"/>
      <c r="L158" s="99"/>
      <c r="M158" s="99"/>
      <c r="N158" s="43">
        <f t="shared" si="2"/>
        <v>0</v>
      </c>
      <c r="O158" s="43"/>
      <c r="P158" s="23"/>
      <c r="Q158" s="23"/>
    </row>
    <row r="159" spans="1:17">
      <c r="A159" s="23"/>
      <c r="B159" s="40"/>
      <c r="C159" s="40"/>
      <c r="D159" s="41"/>
      <c r="E159" s="41"/>
      <c r="F159" s="41"/>
      <c r="G159" s="44"/>
      <c r="H159" s="23"/>
      <c r="I159" s="23"/>
      <c r="J159" s="99"/>
      <c r="K159" s="99"/>
      <c r="L159" s="99"/>
      <c r="M159" s="99"/>
      <c r="N159" s="43">
        <f t="shared" si="2"/>
        <v>0</v>
      </c>
      <c r="O159" s="43"/>
      <c r="P159" s="23"/>
      <c r="Q159" s="23"/>
    </row>
    <row r="160" spans="1:17">
      <c r="A160" s="23"/>
      <c r="B160" s="40"/>
      <c r="C160" s="40"/>
      <c r="D160" s="41"/>
      <c r="E160" s="41"/>
      <c r="F160" s="41"/>
      <c r="G160" s="44"/>
      <c r="H160" s="23"/>
      <c r="I160" s="23"/>
      <c r="J160" s="99"/>
      <c r="K160" s="99"/>
      <c r="L160" s="99"/>
      <c r="M160" s="99"/>
      <c r="N160" s="43">
        <f t="shared" si="2"/>
        <v>0</v>
      </c>
      <c r="O160" s="43"/>
      <c r="P160" s="23"/>
      <c r="Q160" s="23"/>
    </row>
    <row r="161" spans="1:17">
      <c r="A161" s="23"/>
      <c r="B161" s="40"/>
      <c r="C161" s="40"/>
      <c r="D161" s="41"/>
      <c r="E161" s="41"/>
      <c r="F161" s="41"/>
      <c r="G161" s="44"/>
      <c r="H161" s="23"/>
      <c r="I161" s="23"/>
      <c r="J161" s="99"/>
      <c r="K161" s="99"/>
      <c r="L161" s="99"/>
      <c r="M161" s="99"/>
      <c r="N161" s="43">
        <f t="shared" si="2"/>
        <v>0</v>
      </c>
      <c r="O161" s="43"/>
      <c r="P161" s="23"/>
      <c r="Q161" s="23"/>
    </row>
    <row r="162" spans="1:17">
      <c r="A162" s="23"/>
      <c r="B162" s="40"/>
      <c r="C162" s="40"/>
      <c r="D162" s="41"/>
      <c r="E162" s="41"/>
      <c r="F162" s="41"/>
      <c r="G162" s="44"/>
      <c r="H162" s="23"/>
      <c r="I162" s="23"/>
      <c r="J162" s="99"/>
      <c r="K162" s="99"/>
      <c r="L162" s="99"/>
      <c r="M162" s="99"/>
      <c r="N162" s="43">
        <f t="shared" si="2"/>
        <v>0</v>
      </c>
      <c r="O162" s="43"/>
      <c r="P162" s="23"/>
      <c r="Q162" s="23"/>
    </row>
    <row r="163" spans="1:17">
      <c r="A163" s="23"/>
      <c r="B163" s="40"/>
      <c r="C163" s="40"/>
      <c r="D163" s="41"/>
      <c r="E163" s="41"/>
      <c r="F163" s="41"/>
      <c r="G163" s="44"/>
      <c r="H163" s="23"/>
      <c r="I163" s="23"/>
      <c r="J163" s="99"/>
      <c r="K163" s="99"/>
      <c r="L163" s="99"/>
      <c r="M163" s="99"/>
      <c r="N163" s="43">
        <f t="shared" si="2"/>
        <v>0</v>
      </c>
      <c r="O163" s="43"/>
      <c r="P163" s="23"/>
      <c r="Q163" s="23"/>
    </row>
    <row r="164" spans="1:17">
      <c r="A164" s="23"/>
      <c r="B164" s="40"/>
      <c r="C164" s="40"/>
      <c r="D164" s="41"/>
      <c r="E164" s="41"/>
      <c r="F164" s="41"/>
      <c r="G164" s="44"/>
      <c r="H164" s="23"/>
      <c r="I164" s="23"/>
      <c r="J164" s="99"/>
      <c r="K164" s="99"/>
      <c r="L164" s="99"/>
      <c r="M164" s="99"/>
      <c r="N164" s="43">
        <f t="shared" si="2"/>
        <v>0</v>
      </c>
      <c r="O164" s="43"/>
      <c r="P164" s="23"/>
      <c r="Q164" s="23"/>
    </row>
    <row r="165" spans="1:17">
      <c r="A165" s="23"/>
      <c r="B165" s="40"/>
      <c r="C165" s="40"/>
      <c r="D165" s="41"/>
      <c r="E165" s="41"/>
      <c r="F165" s="41"/>
      <c r="G165" s="44"/>
      <c r="H165" s="23"/>
      <c r="I165" s="23"/>
      <c r="J165" s="99"/>
      <c r="K165" s="99"/>
      <c r="L165" s="99"/>
      <c r="M165" s="99"/>
      <c r="N165" s="43">
        <f t="shared" si="2"/>
        <v>0</v>
      </c>
      <c r="O165" s="43"/>
      <c r="P165" s="23"/>
      <c r="Q165" s="23"/>
    </row>
    <row r="166" spans="1:17">
      <c r="A166" s="23"/>
      <c r="B166" s="40"/>
      <c r="C166" s="40"/>
      <c r="D166" s="41"/>
      <c r="E166" s="41"/>
      <c r="F166" s="41"/>
      <c r="G166" s="44"/>
      <c r="H166" s="23"/>
      <c r="I166" s="23"/>
      <c r="J166" s="99"/>
      <c r="K166" s="99"/>
      <c r="L166" s="99"/>
      <c r="M166" s="99"/>
      <c r="N166" s="43">
        <f t="shared" si="2"/>
        <v>0</v>
      </c>
      <c r="O166" s="43"/>
      <c r="P166" s="23"/>
      <c r="Q166" s="23"/>
    </row>
    <row r="167" spans="1:17">
      <c r="A167" s="23"/>
      <c r="B167" s="40"/>
      <c r="C167" s="40"/>
      <c r="D167" s="41"/>
      <c r="E167" s="41"/>
      <c r="F167" s="41"/>
      <c r="G167" s="44"/>
      <c r="H167" s="23"/>
      <c r="I167" s="23"/>
      <c r="J167" s="99"/>
      <c r="K167" s="99"/>
      <c r="L167" s="99"/>
      <c r="M167" s="99"/>
      <c r="N167" s="43">
        <f t="shared" si="2"/>
        <v>0</v>
      </c>
      <c r="O167" s="43"/>
      <c r="P167" s="23"/>
      <c r="Q167" s="23"/>
    </row>
    <row r="168" spans="1:17">
      <c r="A168" s="23"/>
      <c r="B168" s="40"/>
      <c r="C168" s="40"/>
      <c r="D168" s="41"/>
      <c r="E168" s="41"/>
      <c r="F168" s="41"/>
      <c r="G168" s="44"/>
      <c r="H168" s="23"/>
      <c r="I168" s="23"/>
      <c r="J168" s="99"/>
      <c r="K168" s="99"/>
      <c r="L168" s="99"/>
      <c r="M168" s="99"/>
      <c r="N168" s="43">
        <f t="shared" si="2"/>
        <v>0</v>
      </c>
      <c r="O168" s="43"/>
      <c r="P168" s="23"/>
      <c r="Q168" s="23"/>
    </row>
    <row r="169" spans="1:17">
      <c r="A169" s="23"/>
      <c r="B169" s="40"/>
      <c r="C169" s="40"/>
      <c r="D169" s="41"/>
      <c r="E169" s="41"/>
      <c r="F169" s="41"/>
      <c r="G169" s="44"/>
      <c r="H169" s="23"/>
      <c r="I169" s="23"/>
      <c r="J169" s="99"/>
      <c r="K169" s="99"/>
      <c r="L169" s="99"/>
      <c r="M169" s="99"/>
      <c r="N169" s="43">
        <f t="shared" si="2"/>
        <v>0</v>
      </c>
      <c r="O169" s="43"/>
      <c r="P169" s="23"/>
      <c r="Q169" s="23"/>
    </row>
    <row r="170" spans="1:17">
      <c r="A170" s="23"/>
      <c r="B170" s="40"/>
      <c r="C170" s="40"/>
      <c r="D170" s="41"/>
      <c r="E170" s="41"/>
      <c r="F170" s="41"/>
      <c r="G170" s="44"/>
      <c r="H170" s="23"/>
      <c r="I170" s="23"/>
      <c r="J170" s="99"/>
      <c r="K170" s="99"/>
      <c r="L170" s="99"/>
      <c r="M170" s="99"/>
      <c r="N170" s="43">
        <f t="shared" si="2"/>
        <v>0</v>
      </c>
      <c r="O170" s="43"/>
      <c r="P170" s="23"/>
      <c r="Q170" s="23"/>
    </row>
    <row r="171" spans="1:17">
      <c r="A171" s="23"/>
      <c r="B171" s="40"/>
      <c r="C171" s="40"/>
      <c r="D171" s="41"/>
      <c r="E171" s="41"/>
      <c r="F171" s="41"/>
      <c r="G171" s="44"/>
      <c r="H171" s="23"/>
      <c r="I171" s="23"/>
      <c r="J171" s="99"/>
      <c r="K171" s="99"/>
      <c r="L171" s="99"/>
      <c r="M171" s="99"/>
      <c r="N171" s="43">
        <f t="shared" si="2"/>
        <v>0</v>
      </c>
      <c r="O171" s="43"/>
      <c r="P171" s="23"/>
      <c r="Q171" s="23"/>
    </row>
    <row r="172" spans="1:17">
      <c r="A172" s="23"/>
      <c r="B172" s="40"/>
      <c r="C172" s="40"/>
      <c r="D172" s="41"/>
      <c r="E172" s="41"/>
      <c r="F172" s="41"/>
      <c r="G172" s="44"/>
      <c r="H172" s="23"/>
      <c r="I172" s="23"/>
      <c r="J172" s="99"/>
      <c r="K172" s="99"/>
      <c r="L172" s="99"/>
      <c r="M172" s="99"/>
      <c r="N172" s="43">
        <f t="shared" si="2"/>
        <v>0</v>
      </c>
      <c r="O172" s="43"/>
      <c r="P172" s="23"/>
      <c r="Q172" s="23"/>
    </row>
    <row r="173" spans="1:17">
      <c r="A173" s="23"/>
      <c r="B173" s="40"/>
      <c r="C173" s="40"/>
      <c r="D173" s="41"/>
      <c r="E173" s="41"/>
      <c r="F173" s="41"/>
      <c r="G173" s="44"/>
      <c r="H173" s="23"/>
      <c r="I173" s="23"/>
      <c r="J173" s="99"/>
      <c r="K173" s="99"/>
      <c r="L173" s="99"/>
      <c r="M173" s="99"/>
      <c r="N173" s="43">
        <f t="shared" si="2"/>
        <v>0</v>
      </c>
      <c r="O173" s="43"/>
      <c r="P173" s="23"/>
      <c r="Q173" s="23"/>
    </row>
    <row r="174" spans="1:17">
      <c r="A174" s="23"/>
      <c r="B174" s="40"/>
      <c r="C174" s="40"/>
      <c r="D174" s="41"/>
      <c r="E174" s="41"/>
      <c r="F174" s="41"/>
      <c r="G174" s="44"/>
      <c r="H174" s="23"/>
      <c r="I174" s="23"/>
      <c r="J174" s="99"/>
      <c r="K174" s="99"/>
      <c r="L174" s="99"/>
      <c r="M174" s="99"/>
      <c r="N174" s="43">
        <f t="shared" si="2"/>
        <v>0</v>
      </c>
      <c r="O174" s="43"/>
      <c r="P174" s="23"/>
      <c r="Q174" s="23"/>
    </row>
    <row r="175" spans="1:17">
      <c r="A175" s="23"/>
      <c r="B175" s="40"/>
      <c r="C175" s="40"/>
      <c r="D175" s="41"/>
      <c r="E175" s="41"/>
      <c r="F175" s="41"/>
      <c r="G175" s="44"/>
      <c r="H175" s="23"/>
      <c r="I175" s="23"/>
      <c r="J175" s="99"/>
      <c r="K175" s="99"/>
      <c r="L175" s="99"/>
      <c r="M175" s="99"/>
      <c r="N175" s="43">
        <f t="shared" si="2"/>
        <v>0</v>
      </c>
      <c r="O175" s="43"/>
      <c r="P175" s="23"/>
      <c r="Q175" s="23"/>
    </row>
    <row r="176" spans="1:17">
      <c r="A176" s="23"/>
      <c r="B176" s="40"/>
      <c r="C176" s="40"/>
      <c r="D176" s="41"/>
      <c r="E176" s="41"/>
      <c r="F176" s="41"/>
      <c r="G176" s="44"/>
      <c r="H176" s="23"/>
      <c r="I176" s="23"/>
      <c r="J176" s="99"/>
      <c r="K176" s="99"/>
      <c r="L176" s="99"/>
      <c r="M176" s="99"/>
      <c r="N176" s="43">
        <f t="shared" si="2"/>
        <v>0</v>
      </c>
      <c r="O176" s="43"/>
      <c r="P176" s="23"/>
      <c r="Q176" s="23"/>
    </row>
    <row r="177" spans="1:17">
      <c r="A177" s="23"/>
      <c r="B177" s="40"/>
      <c r="C177" s="40"/>
      <c r="D177" s="41"/>
      <c r="E177" s="41"/>
      <c r="F177" s="41"/>
      <c r="G177" s="44"/>
      <c r="H177" s="23"/>
      <c r="I177" s="23"/>
      <c r="J177" s="99"/>
      <c r="K177" s="99"/>
      <c r="L177" s="99"/>
      <c r="M177" s="99"/>
      <c r="N177" s="43">
        <f t="shared" si="2"/>
        <v>0</v>
      </c>
      <c r="O177" s="43"/>
      <c r="P177" s="23"/>
      <c r="Q177" s="23"/>
    </row>
    <row r="178" spans="1:17">
      <c r="A178" s="23"/>
      <c r="B178" s="40"/>
      <c r="C178" s="40"/>
      <c r="D178" s="41"/>
      <c r="E178" s="41"/>
      <c r="F178" s="41"/>
      <c r="G178" s="44"/>
      <c r="H178" s="23"/>
      <c r="I178" s="23"/>
      <c r="J178" s="99"/>
      <c r="K178" s="99"/>
      <c r="L178" s="99"/>
      <c r="M178" s="99"/>
      <c r="N178" s="43">
        <f t="shared" si="2"/>
        <v>0</v>
      </c>
      <c r="O178" s="43"/>
      <c r="P178" s="23"/>
      <c r="Q178" s="23"/>
    </row>
    <row r="179" spans="1:17">
      <c r="A179" s="23"/>
      <c r="B179" s="40"/>
      <c r="C179" s="40"/>
      <c r="D179" s="41"/>
      <c r="E179" s="41"/>
      <c r="F179" s="41"/>
      <c r="G179" s="44"/>
      <c r="H179" s="23"/>
      <c r="I179" s="23"/>
      <c r="J179" s="99"/>
      <c r="K179" s="99"/>
      <c r="L179" s="99"/>
      <c r="M179" s="99"/>
      <c r="N179" s="43">
        <f t="shared" si="2"/>
        <v>0</v>
      </c>
      <c r="O179" s="43"/>
      <c r="P179" s="23"/>
      <c r="Q179" s="23"/>
    </row>
    <row r="180" spans="1:17">
      <c r="A180" s="23"/>
      <c r="B180" s="40"/>
      <c r="C180" s="40"/>
      <c r="D180" s="41"/>
      <c r="E180" s="41"/>
      <c r="F180" s="41"/>
      <c r="G180" s="44"/>
      <c r="H180" s="23"/>
      <c r="I180" s="23"/>
      <c r="J180" s="99"/>
      <c r="K180" s="99"/>
      <c r="L180" s="99"/>
      <c r="M180" s="99"/>
      <c r="N180" s="43">
        <f t="shared" si="2"/>
        <v>0</v>
      </c>
      <c r="O180" s="43"/>
      <c r="P180" s="23"/>
      <c r="Q180" s="23"/>
    </row>
    <row r="181" spans="1:17">
      <c r="A181" s="23"/>
      <c r="B181" s="40"/>
      <c r="C181" s="40"/>
      <c r="D181" s="41"/>
      <c r="E181" s="41"/>
      <c r="F181" s="41"/>
      <c r="G181" s="44"/>
      <c r="H181" s="23"/>
      <c r="I181" s="23"/>
      <c r="J181" s="99"/>
      <c r="K181" s="99"/>
      <c r="L181" s="99"/>
      <c r="M181" s="99"/>
      <c r="N181" s="43">
        <f t="shared" si="2"/>
        <v>0</v>
      </c>
      <c r="O181" s="43"/>
      <c r="P181" s="23"/>
      <c r="Q181" s="23"/>
    </row>
    <row r="182" spans="1:17">
      <c r="A182" s="23"/>
      <c r="B182" s="40"/>
      <c r="C182" s="40"/>
      <c r="D182" s="41"/>
      <c r="E182" s="41"/>
      <c r="F182" s="41"/>
      <c r="G182" s="44"/>
      <c r="H182" s="23"/>
      <c r="I182" s="23"/>
      <c r="J182" s="99"/>
      <c r="K182" s="99"/>
      <c r="L182" s="99"/>
      <c r="M182" s="99"/>
      <c r="N182" s="43">
        <f t="shared" si="2"/>
        <v>0</v>
      </c>
      <c r="O182" s="43"/>
      <c r="P182" s="23"/>
      <c r="Q182" s="23"/>
    </row>
    <row r="183" spans="1:17">
      <c r="A183" s="23"/>
      <c r="B183" s="40"/>
      <c r="C183" s="40"/>
      <c r="D183" s="41"/>
      <c r="E183" s="41"/>
      <c r="F183" s="41"/>
      <c r="G183" s="44"/>
      <c r="H183" s="23"/>
      <c r="I183" s="23"/>
      <c r="J183" s="99"/>
      <c r="K183" s="99"/>
      <c r="L183" s="99"/>
      <c r="M183" s="99"/>
      <c r="N183" s="43">
        <f t="shared" si="2"/>
        <v>0</v>
      </c>
      <c r="O183" s="43"/>
      <c r="P183" s="23"/>
      <c r="Q183" s="23"/>
    </row>
    <row r="184" spans="1:17">
      <c r="A184" s="23"/>
      <c r="B184" s="40"/>
      <c r="C184" s="40"/>
      <c r="D184" s="41"/>
      <c r="E184" s="41"/>
      <c r="F184" s="41"/>
      <c r="G184" s="44"/>
      <c r="H184" s="23"/>
      <c r="I184" s="23"/>
      <c r="J184" s="99"/>
      <c r="K184" s="99"/>
      <c r="L184" s="99"/>
      <c r="M184" s="99"/>
      <c r="N184" s="43">
        <f t="shared" si="2"/>
        <v>0</v>
      </c>
      <c r="O184" s="43"/>
      <c r="P184" s="23"/>
      <c r="Q184" s="23"/>
    </row>
    <row r="185" spans="1:17">
      <c r="A185" s="23"/>
      <c r="B185" s="40"/>
      <c r="C185" s="40"/>
      <c r="D185" s="41"/>
      <c r="E185" s="41"/>
      <c r="F185" s="41"/>
      <c r="G185" s="44"/>
      <c r="H185" s="23"/>
      <c r="I185" s="23"/>
      <c r="J185" s="99"/>
      <c r="K185" s="99"/>
      <c r="L185" s="99"/>
      <c r="M185" s="99"/>
      <c r="N185" s="43">
        <f t="shared" si="2"/>
        <v>0</v>
      </c>
      <c r="O185" s="43"/>
      <c r="P185" s="23"/>
      <c r="Q185" s="23"/>
    </row>
    <row r="186" spans="1:17">
      <c r="A186" s="23"/>
      <c r="B186" s="40"/>
      <c r="C186" s="40"/>
      <c r="D186" s="41"/>
      <c r="E186" s="41"/>
      <c r="F186" s="41"/>
      <c r="G186" s="44"/>
      <c r="H186" s="23"/>
      <c r="I186" s="23"/>
      <c r="J186" s="99"/>
      <c r="K186" s="99"/>
      <c r="L186" s="99"/>
      <c r="M186" s="99"/>
      <c r="N186" s="43">
        <f t="shared" si="2"/>
        <v>0</v>
      </c>
      <c r="O186" s="43"/>
      <c r="P186" s="23"/>
      <c r="Q186" s="23"/>
    </row>
    <row r="187" spans="1:17">
      <c r="A187" s="23"/>
      <c r="B187" s="40"/>
      <c r="C187" s="40"/>
      <c r="D187" s="41"/>
      <c r="E187" s="41"/>
      <c r="F187" s="41"/>
      <c r="G187" s="44"/>
      <c r="H187" s="23"/>
      <c r="I187" s="23"/>
      <c r="J187" s="99"/>
      <c r="K187" s="99"/>
      <c r="L187" s="99"/>
      <c r="M187" s="99"/>
      <c r="N187" s="43">
        <f t="shared" si="2"/>
        <v>0</v>
      </c>
      <c r="O187" s="43"/>
      <c r="P187" s="23"/>
      <c r="Q187" s="23"/>
    </row>
    <row r="188" spans="1:17">
      <c r="A188" s="23"/>
      <c r="B188" s="40"/>
      <c r="C188" s="40"/>
      <c r="D188" s="41"/>
      <c r="E188" s="41"/>
      <c r="F188" s="41"/>
      <c r="G188" s="44"/>
      <c r="H188" s="23"/>
      <c r="I188" s="23"/>
      <c r="J188" s="99"/>
      <c r="K188" s="99"/>
      <c r="L188" s="99"/>
      <c r="M188" s="99"/>
      <c r="N188" s="43">
        <f t="shared" si="2"/>
        <v>0</v>
      </c>
      <c r="O188" s="43"/>
      <c r="P188" s="23"/>
      <c r="Q188" s="23"/>
    </row>
    <row r="189" spans="1:17">
      <c r="A189" s="23"/>
      <c r="B189" s="40"/>
      <c r="C189" s="40"/>
      <c r="D189" s="41"/>
      <c r="E189" s="41"/>
      <c r="F189" s="41"/>
      <c r="G189" s="44"/>
      <c r="H189" s="23"/>
      <c r="I189" s="23"/>
      <c r="J189" s="99"/>
      <c r="K189" s="99"/>
      <c r="L189" s="99"/>
      <c r="M189" s="99"/>
      <c r="N189" s="43">
        <f t="shared" si="2"/>
        <v>0</v>
      </c>
      <c r="O189" s="43"/>
      <c r="P189" s="23"/>
      <c r="Q189" s="23"/>
    </row>
    <row r="190" spans="1:17">
      <c r="A190" s="23"/>
      <c r="B190" s="40"/>
      <c r="C190" s="40"/>
      <c r="D190" s="41"/>
      <c r="E190" s="41"/>
      <c r="F190" s="41"/>
      <c r="G190" s="44"/>
      <c r="H190" s="23"/>
      <c r="I190" s="23"/>
      <c r="J190" s="99"/>
      <c r="K190" s="99"/>
      <c r="L190" s="99"/>
      <c r="M190" s="99"/>
      <c r="N190" s="43">
        <f t="shared" si="2"/>
        <v>0</v>
      </c>
      <c r="O190" s="43"/>
      <c r="P190" s="23"/>
      <c r="Q190" s="23"/>
    </row>
    <row r="191" spans="1:17">
      <c r="A191" s="23"/>
      <c r="B191" s="40"/>
      <c r="C191" s="40"/>
      <c r="D191" s="41"/>
      <c r="E191" s="41"/>
      <c r="F191" s="41"/>
      <c r="G191" s="44"/>
      <c r="H191" s="23"/>
      <c r="I191" s="23"/>
      <c r="J191" s="99"/>
      <c r="K191" s="99"/>
      <c r="L191" s="99"/>
      <c r="M191" s="99"/>
      <c r="N191" s="43">
        <f t="shared" si="2"/>
        <v>0</v>
      </c>
      <c r="O191" s="43"/>
      <c r="P191" s="23"/>
      <c r="Q191" s="23"/>
    </row>
    <row r="192" spans="1:17">
      <c r="A192" s="23"/>
      <c r="B192" s="40"/>
      <c r="C192" s="40"/>
      <c r="D192" s="41"/>
      <c r="E192" s="41"/>
      <c r="F192" s="41"/>
      <c r="G192" s="44"/>
      <c r="H192" s="23"/>
      <c r="I192" s="23"/>
      <c r="J192" s="99"/>
      <c r="K192" s="99"/>
      <c r="L192" s="99"/>
      <c r="M192" s="99"/>
      <c r="N192" s="43">
        <f t="shared" si="2"/>
        <v>0</v>
      </c>
      <c r="O192" s="43"/>
      <c r="P192" s="23"/>
      <c r="Q192" s="23"/>
    </row>
    <row r="193" spans="1:17">
      <c r="A193" s="23"/>
      <c r="B193" s="40"/>
      <c r="C193" s="40"/>
      <c r="D193" s="41"/>
      <c r="E193" s="41"/>
      <c r="F193" s="41"/>
      <c r="G193" s="44"/>
      <c r="H193" s="23"/>
      <c r="I193" s="23"/>
      <c r="J193" s="99"/>
      <c r="K193" s="99"/>
      <c r="L193" s="99"/>
      <c r="M193" s="99"/>
      <c r="N193" s="43">
        <f t="shared" si="2"/>
        <v>0</v>
      </c>
      <c r="O193" s="43"/>
      <c r="P193" s="23"/>
      <c r="Q193" s="23"/>
    </row>
    <row r="194" spans="1:17">
      <c r="A194" s="23"/>
      <c r="B194" s="40"/>
      <c r="C194" s="40"/>
      <c r="D194" s="41"/>
      <c r="E194" s="41"/>
      <c r="F194" s="41"/>
      <c r="G194" s="44"/>
      <c r="H194" s="23"/>
      <c r="I194" s="23"/>
      <c r="J194" s="99"/>
      <c r="K194" s="99"/>
      <c r="L194" s="99"/>
      <c r="M194" s="99"/>
      <c r="N194" s="43">
        <f t="shared" si="2"/>
        <v>0</v>
      </c>
      <c r="O194" s="43"/>
      <c r="P194" s="23"/>
      <c r="Q194" s="23"/>
    </row>
    <row r="195" spans="1:17">
      <c r="A195" s="23"/>
      <c r="B195" s="40"/>
      <c r="C195" s="40"/>
      <c r="D195" s="41"/>
      <c r="E195" s="41"/>
      <c r="F195" s="41"/>
      <c r="G195" s="44"/>
      <c r="H195" s="23"/>
      <c r="I195" s="23"/>
      <c r="J195" s="99"/>
      <c r="K195" s="99"/>
      <c r="L195" s="99"/>
      <c r="M195" s="99"/>
      <c r="N195" s="43">
        <f t="shared" si="2"/>
        <v>0</v>
      </c>
      <c r="O195" s="43"/>
      <c r="P195" s="23"/>
      <c r="Q195" s="23"/>
    </row>
    <row r="196" spans="1:17">
      <c r="A196" s="23"/>
      <c r="B196" s="40"/>
      <c r="C196" s="40"/>
      <c r="D196" s="41"/>
      <c r="E196" s="41"/>
      <c r="F196" s="41"/>
      <c r="G196" s="44"/>
      <c r="H196" s="23"/>
      <c r="I196" s="23"/>
      <c r="J196" s="99"/>
      <c r="K196" s="99"/>
      <c r="L196" s="99"/>
      <c r="M196" s="99"/>
      <c r="N196" s="43">
        <f t="shared" si="2"/>
        <v>0</v>
      </c>
      <c r="O196" s="43"/>
      <c r="P196" s="23"/>
      <c r="Q196" s="23"/>
    </row>
    <row r="197" spans="1:17">
      <c r="A197" s="23"/>
      <c r="B197" s="40"/>
      <c r="C197" s="40"/>
      <c r="D197" s="41"/>
      <c r="E197" s="41"/>
      <c r="F197" s="41"/>
      <c r="G197" s="44"/>
      <c r="H197" s="23"/>
      <c r="I197" s="23"/>
      <c r="J197" s="99"/>
      <c r="K197" s="99"/>
      <c r="L197" s="99"/>
      <c r="M197" s="99"/>
      <c r="N197" s="43">
        <f t="shared" si="2"/>
        <v>0</v>
      </c>
      <c r="O197" s="43"/>
      <c r="P197" s="23"/>
      <c r="Q197" s="23"/>
    </row>
    <row r="198" spans="1:17">
      <c r="A198" s="23"/>
      <c r="B198" s="40"/>
      <c r="C198" s="40"/>
      <c r="D198" s="41"/>
      <c r="E198" s="41"/>
      <c r="F198" s="41"/>
      <c r="G198" s="44"/>
      <c r="H198" s="23"/>
      <c r="I198" s="23"/>
      <c r="J198" s="99"/>
      <c r="K198" s="99"/>
      <c r="L198" s="99"/>
      <c r="M198" s="99"/>
      <c r="N198" s="43">
        <f t="shared" si="2"/>
        <v>0</v>
      </c>
      <c r="O198" s="43"/>
      <c r="P198" s="23"/>
      <c r="Q198" s="23"/>
    </row>
    <row r="199" spans="1:17">
      <c r="A199" s="23"/>
      <c r="B199" s="40"/>
      <c r="C199" s="40"/>
      <c r="D199" s="41"/>
      <c r="E199" s="41"/>
      <c r="F199" s="41"/>
      <c r="G199" s="44"/>
      <c r="H199" s="23"/>
      <c r="I199" s="23"/>
      <c r="J199" s="99"/>
      <c r="K199" s="99"/>
      <c r="L199" s="99"/>
      <c r="M199" s="99"/>
      <c r="N199" s="43">
        <f t="shared" si="2"/>
        <v>0</v>
      </c>
      <c r="O199" s="43"/>
      <c r="P199" s="23"/>
      <c r="Q199" s="23"/>
    </row>
    <row r="200" spans="1:17">
      <c r="A200" s="23"/>
      <c r="B200" s="40"/>
      <c r="C200" s="40"/>
      <c r="D200" s="41"/>
      <c r="E200" s="41"/>
      <c r="F200" s="41"/>
      <c r="G200" s="44"/>
      <c r="H200" s="23"/>
      <c r="I200" s="23"/>
      <c r="J200" s="99"/>
      <c r="K200" s="99"/>
      <c r="L200" s="99"/>
      <c r="M200" s="99"/>
      <c r="N200" s="43">
        <f t="shared" si="2"/>
        <v>0</v>
      </c>
      <c r="O200" s="43"/>
      <c r="P200" s="23"/>
      <c r="Q200" s="23"/>
    </row>
    <row r="201" spans="1:17">
      <c r="A201" s="23"/>
      <c r="B201" s="40"/>
      <c r="C201" s="40"/>
      <c r="D201" s="41"/>
      <c r="E201" s="41"/>
      <c r="F201" s="41"/>
      <c r="G201" s="44"/>
      <c r="H201" s="23"/>
      <c r="I201" s="23"/>
      <c r="J201" s="99"/>
      <c r="K201" s="99"/>
      <c r="L201" s="99"/>
      <c r="M201" s="99"/>
      <c r="N201" s="43">
        <f t="shared" si="2"/>
        <v>0</v>
      </c>
      <c r="O201" s="43"/>
      <c r="P201" s="23"/>
      <c r="Q201" s="23"/>
    </row>
    <row r="202" spans="1:17">
      <c r="A202" s="23"/>
      <c r="B202" s="40"/>
      <c r="C202" s="40"/>
      <c r="D202" s="41"/>
      <c r="E202" s="41"/>
      <c r="F202" s="41"/>
      <c r="G202" s="44"/>
      <c r="H202" s="23"/>
      <c r="I202" s="23"/>
      <c r="J202" s="99"/>
      <c r="K202" s="99"/>
      <c r="L202" s="99"/>
      <c r="M202" s="99"/>
      <c r="N202" s="43">
        <f t="shared" si="2"/>
        <v>0</v>
      </c>
      <c r="O202" s="43"/>
      <c r="P202" s="23"/>
      <c r="Q202" s="23"/>
    </row>
    <row r="203" spans="1:17">
      <c r="A203" s="23"/>
      <c r="B203" s="40"/>
      <c r="C203" s="40"/>
      <c r="D203" s="41"/>
      <c r="E203" s="41"/>
      <c r="F203" s="41"/>
      <c r="G203" s="44"/>
      <c r="H203" s="23"/>
      <c r="I203" s="23"/>
      <c r="J203" s="99"/>
      <c r="K203" s="99"/>
      <c r="L203" s="99"/>
      <c r="M203" s="99"/>
      <c r="N203" s="43">
        <f t="shared" ref="N203:N266" si="3">IF($L$4=$C$10,C203,IF(D203="","",B203))</f>
        <v>0</v>
      </c>
      <c r="O203" s="43"/>
      <c r="P203" s="23"/>
      <c r="Q203" s="23"/>
    </row>
    <row r="204" spans="1:17">
      <c r="A204" s="23"/>
      <c r="B204" s="40"/>
      <c r="C204" s="40"/>
      <c r="D204" s="41"/>
      <c r="E204" s="41"/>
      <c r="F204" s="41"/>
      <c r="G204" s="44"/>
      <c r="H204" s="23"/>
      <c r="I204" s="23"/>
      <c r="J204" s="99"/>
      <c r="K204" s="99"/>
      <c r="L204" s="99"/>
      <c r="M204" s="99"/>
      <c r="N204" s="43">
        <f t="shared" si="3"/>
        <v>0</v>
      </c>
      <c r="O204" s="43"/>
      <c r="P204" s="23"/>
      <c r="Q204" s="23"/>
    </row>
    <row r="205" spans="1:17">
      <c r="A205" s="23"/>
      <c r="B205" s="40"/>
      <c r="C205" s="40"/>
      <c r="D205" s="41"/>
      <c r="E205" s="41"/>
      <c r="F205" s="41"/>
      <c r="G205" s="44"/>
      <c r="H205" s="23"/>
      <c r="I205" s="23"/>
      <c r="J205" s="99"/>
      <c r="K205" s="99"/>
      <c r="L205" s="99"/>
      <c r="M205" s="99"/>
      <c r="N205" s="43">
        <f t="shared" si="3"/>
        <v>0</v>
      </c>
      <c r="O205" s="43"/>
      <c r="P205" s="23"/>
      <c r="Q205" s="23"/>
    </row>
    <row r="206" spans="1:17">
      <c r="A206" s="23"/>
      <c r="B206" s="40"/>
      <c r="C206" s="40"/>
      <c r="D206" s="41"/>
      <c r="E206" s="41"/>
      <c r="F206" s="41"/>
      <c r="G206" s="44"/>
      <c r="H206" s="23"/>
      <c r="I206" s="23"/>
      <c r="J206" s="99"/>
      <c r="K206" s="99"/>
      <c r="L206" s="99"/>
      <c r="M206" s="99"/>
      <c r="N206" s="43">
        <f t="shared" si="3"/>
        <v>0</v>
      </c>
      <c r="O206" s="43"/>
      <c r="P206" s="23"/>
      <c r="Q206" s="23"/>
    </row>
    <row r="207" spans="1:17">
      <c r="A207" s="23"/>
      <c r="B207" s="40"/>
      <c r="C207" s="40"/>
      <c r="D207" s="41"/>
      <c r="E207" s="41"/>
      <c r="F207" s="41"/>
      <c r="G207" s="44"/>
      <c r="H207" s="23"/>
      <c r="I207" s="23"/>
      <c r="J207" s="99"/>
      <c r="K207" s="99"/>
      <c r="L207" s="99"/>
      <c r="M207" s="99"/>
      <c r="N207" s="43">
        <f t="shared" si="3"/>
        <v>0</v>
      </c>
      <c r="O207" s="43"/>
      <c r="P207" s="23"/>
      <c r="Q207" s="23"/>
    </row>
    <row r="208" spans="1:17">
      <c r="A208" s="23"/>
      <c r="B208" s="40"/>
      <c r="C208" s="40"/>
      <c r="D208" s="41"/>
      <c r="E208" s="41"/>
      <c r="F208" s="41"/>
      <c r="G208" s="44"/>
      <c r="H208" s="23"/>
      <c r="I208" s="23"/>
      <c r="J208" s="99"/>
      <c r="K208" s="99"/>
      <c r="L208" s="99"/>
      <c r="M208" s="99"/>
      <c r="N208" s="43">
        <f t="shared" si="3"/>
        <v>0</v>
      </c>
      <c r="O208" s="43"/>
      <c r="P208" s="23"/>
      <c r="Q208" s="23"/>
    </row>
    <row r="209" spans="1:17">
      <c r="A209" s="23"/>
      <c r="B209" s="40"/>
      <c r="C209" s="40"/>
      <c r="D209" s="41"/>
      <c r="E209" s="41"/>
      <c r="F209" s="41"/>
      <c r="G209" s="44"/>
      <c r="H209" s="23"/>
      <c r="I209" s="23"/>
      <c r="J209" s="99"/>
      <c r="K209" s="99"/>
      <c r="L209" s="99"/>
      <c r="M209" s="99"/>
      <c r="N209" s="43">
        <f t="shared" si="3"/>
        <v>0</v>
      </c>
      <c r="O209" s="43"/>
      <c r="P209" s="23"/>
      <c r="Q209" s="23"/>
    </row>
    <row r="210" spans="1:17">
      <c r="A210" s="23"/>
      <c r="B210" s="41"/>
      <c r="C210" s="40"/>
      <c r="E210" s="41"/>
      <c r="F210" s="41"/>
      <c r="G210" s="44"/>
      <c r="H210" s="23"/>
      <c r="I210" s="23"/>
      <c r="J210" s="99"/>
      <c r="K210" s="99"/>
      <c r="L210" s="99"/>
      <c r="M210" s="99"/>
      <c r="N210" s="43">
        <f t="shared" si="3"/>
        <v>0</v>
      </c>
      <c r="O210" s="43"/>
      <c r="P210" s="23"/>
      <c r="Q210" s="23"/>
    </row>
    <row r="211" spans="1:17">
      <c r="A211" s="23"/>
      <c r="B211" s="45"/>
      <c r="C211" s="45"/>
      <c r="D211" s="45"/>
      <c r="E211" s="45"/>
      <c r="F211" s="45"/>
      <c r="G211" s="46"/>
      <c r="H211" s="23"/>
      <c r="I211" s="23"/>
      <c r="J211" s="99"/>
      <c r="K211" s="99"/>
      <c r="L211" s="99"/>
      <c r="M211" s="99"/>
      <c r="N211" s="43">
        <f t="shared" si="3"/>
        <v>0</v>
      </c>
      <c r="O211" s="43"/>
      <c r="P211" s="23"/>
      <c r="Q211" s="23"/>
    </row>
    <row r="212" spans="1:17">
      <c r="A212" s="23"/>
      <c r="B212" s="23"/>
      <c r="C212" s="23"/>
      <c r="D212" s="23"/>
      <c r="E212" s="23"/>
      <c r="F212" s="47"/>
      <c r="G212" s="47"/>
      <c r="H212" s="23"/>
      <c r="I212" s="23"/>
      <c r="J212" s="99"/>
      <c r="K212" s="99"/>
      <c r="L212" s="99"/>
      <c r="M212" s="99"/>
      <c r="N212" s="43">
        <f t="shared" si="3"/>
        <v>0</v>
      </c>
      <c r="O212" s="43"/>
      <c r="P212" s="23"/>
      <c r="Q212" s="23"/>
    </row>
    <row r="213" spans="1:17">
      <c r="A213" s="23"/>
      <c r="B213" s="23"/>
      <c r="C213" s="23"/>
      <c r="D213" s="23"/>
      <c r="E213" s="23"/>
      <c r="F213" s="23"/>
      <c r="G213" s="23"/>
      <c r="H213" s="23"/>
      <c r="I213" s="23"/>
      <c r="J213" s="99"/>
      <c r="K213" s="99"/>
      <c r="L213" s="99"/>
      <c r="M213" s="99"/>
      <c r="N213" s="43">
        <f t="shared" si="3"/>
        <v>0</v>
      </c>
      <c r="O213" s="48"/>
      <c r="P213" s="23"/>
      <c r="Q213" s="23"/>
    </row>
    <row r="214" spans="1:17">
      <c r="A214" s="23"/>
      <c r="B214" s="23"/>
      <c r="C214" s="23"/>
      <c r="D214" s="23"/>
      <c r="E214" s="23"/>
      <c r="F214" s="23"/>
      <c r="G214" s="23"/>
      <c r="H214" s="23"/>
      <c r="I214" s="23"/>
      <c r="J214" s="99"/>
      <c r="K214" s="99"/>
      <c r="L214" s="99"/>
      <c r="M214" s="99"/>
      <c r="N214" s="43">
        <f t="shared" si="3"/>
        <v>0</v>
      </c>
      <c r="O214" s="48"/>
      <c r="P214" s="23"/>
      <c r="Q214" s="23"/>
    </row>
    <row r="215" spans="1:17">
      <c r="A215" s="23"/>
      <c r="B215" s="23"/>
      <c r="C215" s="23"/>
      <c r="D215" s="23"/>
      <c r="E215" s="23"/>
      <c r="F215" s="23"/>
      <c r="G215" s="23"/>
      <c r="H215" s="23"/>
      <c r="I215" s="23"/>
      <c r="J215" s="99"/>
      <c r="K215" s="99"/>
      <c r="L215" s="99"/>
      <c r="M215" s="99"/>
      <c r="N215" s="43">
        <f t="shared" si="3"/>
        <v>0</v>
      </c>
      <c r="O215" s="48"/>
      <c r="P215" s="23"/>
      <c r="Q215" s="23"/>
    </row>
    <row r="216" spans="1:17">
      <c r="A216" s="23"/>
      <c r="B216" s="23"/>
      <c r="C216" s="23"/>
      <c r="D216" s="23"/>
      <c r="E216" s="23"/>
      <c r="F216" s="23"/>
      <c r="G216" s="23"/>
      <c r="H216" s="23"/>
      <c r="I216" s="23"/>
      <c r="J216" s="99"/>
      <c r="K216" s="99"/>
      <c r="L216" s="99"/>
      <c r="M216" s="99"/>
      <c r="N216" s="43">
        <f t="shared" si="3"/>
        <v>0</v>
      </c>
      <c r="O216" s="48"/>
      <c r="P216" s="23"/>
      <c r="Q216" s="23"/>
    </row>
    <row r="217" spans="1:17">
      <c r="A217" s="23"/>
      <c r="B217" s="23"/>
      <c r="C217" s="23"/>
      <c r="D217" s="23"/>
      <c r="E217" s="23"/>
      <c r="F217" s="23"/>
      <c r="G217" s="23"/>
      <c r="H217" s="23"/>
      <c r="I217" s="23"/>
      <c r="J217" s="99"/>
      <c r="K217" s="99"/>
      <c r="L217" s="99"/>
      <c r="M217" s="99"/>
      <c r="N217" s="43">
        <f t="shared" si="3"/>
        <v>0</v>
      </c>
      <c r="O217" s="48"/>
      <c r="P217" s="23"/>
      <c r="Q217" s="23"/>
    </row>
    <row r="218" spans="1:17">
      <c r="A218" s="23"/>
      <c r="B218" s="23"/>
      <c r="C218" s="23"/>
      <c r="D218" s="23"/>
      <c r="E218" s="23"/>
      <c r="F218" s="23"/>
      <c r="G218" s="23"/>
      <c r="H218" s="23"/>
      <c r="I218" s="23"/>
      <c r="J218" s="99"/>
      <c r="K218" s="99"/>
      <c r="L218" s="99"/>
      <c r="M218" s="99"/>
      <c r="N218" s="43">
        <f t="shared" si="3"/>
        <v>0</v>
      </c>
      <c r="O218" s="48"/>
      <c r="P218" s="23"/>
      <c r="Q218" s="23"/>
    </row>
    <row r="219" spans="1:17">
      <c r="A219" s="23"/>
      <c r="B219" s="23"/>
      <c r="C219" s="23"/>
      <c r="D219" s="23"/>
      <c r="E219" s="23"/>
      <c r="F219" s="23"/>
      <c r="G219" s="23"/>
      <c r="H219" s="23"/>
      <c r="I219" s="23"/>
      <c r="J219" s="99"/>
      <c r="K219" s="99"/>
      <c r="L219" s="99"/>
      <c r="M219" s="99"/>
      <c r="N219" s="43">
        <f t="shared" si="3"/>
        <v>0</v>
      </c>
      <c r="O219" s="48"/>
      <c r="P219" s="23"/>
      <c r="Q219" s="23"/>
    </row>
    <row r="220" spans="1:17">
      <c r="A220" s="23"/>
      <c r="B220" s="23"/>
      <c r="C220" s="23"/>
      <c r="D220" s="23"/>
      <c r="E220" s="23"/>
      <c r="F220" s="23"/>
      <c r="G220" s="23"/>
      <c r="H220" s="23"/>
      <c r="I220" s="23"/>
      <c r="J220" s="99"/>
      <c r="K220" s="99"/>
      <c r="L220" s="99"/>
      <c r="M220" s="99"/>
      <c r="N220" s="43">
        <f t="shared" si="3"/>
        <v>0</v>
      </c>
      <c r="O220" s="48"/>
      <c r="P220" s="23"/>
      <c r="Q220" s="23"/>
    </row>
    <row r="221" spans="1:17">
      <c r="A221" s="23"/>
      <c r="B221" s="23"/>
      <c r="C221" s="23"/>
      <c r="D221" s="23"/>
      <c r="E221" s="23"/>
      <c r="F221" s="23"/>
      <c r="G221" s="23"/>
      <c r="H221" s="23"/>
      <c r="I221" s="23"/>
      <c r="J221" s="99"/>
      <c r="K221" s="99"/>
      <c r="L221" s="99"/>
      <c r="M221" s="99"/>
      <c r="N221" s="43">
        <f t="shared" si="3"/>
        <v>0</v>
      </c>
      <c r="O221" s="48"/>
      <c r="P221" s="23"/>
      <c r="Q221" s="23"/>
    </row>
    <row r="222" spans="1:17">
      <c r="A222" s="23"/>
      <c r="B222" s="23"/>
      <c r="C222" s="23"/>
      <c r="D222" s="23"/>
      <c r="E222" s="23"/>
      <c r="F222" s="23"/>
      <c r="G222" s="23"/>
      <c r="H222" s="23"/>
      <c r="I222" s="23"/>
      <c r="J222" s="99"/>
      <c r="K222" s="99"/>
      <c r="L222" s="99"/>
      <c r="M222" s="99"/>
      <c r="N222" s="43">
        <f t="shared" si="3"/>
        <v>0</v>
      </c>
      <c r="O222" s="48"/>
      <c r="P222" s="23"/>
      <c r="Q222" s="23"/>
    </row>
    <row r="223" spans="1:17">
      <c r="A223" s="23"/>
      <c r="B223" s="23"/>
      <c r="C223" s="23"/>
      <c r="D223" s="23"/>
      <c r="E223" s="23"/>
      <c r="F223" s="23"/>
      <c r="G223" s="23"/>
      <c r="H223" s="23"/>
      <c r="I223" s="23"/>
      <c r="J223" s="99"/>
      <c r="K223" s="99"/>
      <c r="L223" s="99"/>
      <c r="M223" s="99"/>
      <c r="N223" s="43">
        <f t="shared" si="3"/>
        <v>0</v>
      </c>
      <c r="O223" s="48"/>
      <c r="P223" s="23"/>
      <c r="Q223" s="23"/>
    </row>
    <row r="224" spans="1:17">
      <c r="A224" s="23"/>
      <c r="B224" s="23"/>
      <c r="C224" s="23"/>
      <c r="D224" s="23"/>
      <c r="E224" s="23"/>
      <c r="F224" s="23"/>
      <c r="G224" s="23"/>
      <c r="H224" s="23"/>
      <c r="I224" s="23"/>
      <c r="J224" s="99"/>
      <c r="K224" s="99"/>
      <c r="L224" s="99"/>
      <c r="M224" s="99"/>
      <c r="N224" s="43">
        <f t="shared" si="3"/>
        <v>0</v>
      </c>
      <c r="O224" s="48"/>
      <c r="P224" s="23"/>
      <c r="Q224" s="23"/>
    </row>
    <row r="225" spans="1:17">
      <c r="A225" s="23"/>
      <c r="B225" s="23"/>
      <c r="C225" s="23"/>
      <c r="D225" s="23"/>
      <c r="E225" s="23"/>
      <c r="F225" s="23"/>
      <c r="G225" s="23"/>
      <c r="H225" s="23"/>
      <c r="I225" s="23"/>
      <c r="J225" s="99"/>
      <c r="K225" s="99"/>
      <c r="L225" s="99"/>
      <c r="M225" s="99"/>
      <c r="N225" s="43">
        <f t="shared" si="3"/>
        <v>0</v>
      </c>
      <c r="O225" s="48"/>
      <c r="P225" s="23"/>
      <c r="Q225" s="23"/>
    </row>
    <row r="226" spans="1:17">
      <c r="A226" s="23"/>
      <c r="B226" s="23"/>
      <c r="C226" s="23"/>
      <c r="D226" s="23"/>
      <c r="E226" s="23"/>
      <c r="F226" s="23"/>
      <c r="G226" s="23"/>
      <c r="H226" s="23"/>
      <c r="I226" s="23"/>
      <c r="J226" s="99"/>
      <c r="K226" s="99"/>
      <c r="L226" s="99"/>
      <c r="M226" s="99"/>
      <c r="N226" s="43">
        <f t="shared" si="3"/>
        <v>0</v>
      </c>
      <c r="O226" s="48"/>
      <c r="P226" s="23"/>
      <c r="Q226" s="23"/>
    </row>
    <row r="227" spans="1:17">
      <c r="J227" s="99"/>
      <c r="K227" s="99"/>
      <c r="L227" s="99"/>
      <c r="M227" s="99"/>
      <c r="N227" s="43">
        <f t="shared" si="3"/>
        <v>0</v>
      </c>
    </row>
    <row r="228" spans="1:17">
      <c r="J228" s="99"/>
      <c r="K228" s="99"/>
      <c r="L228" s="99"/>
      <c r="M228" s="99"/>
      <c r="N228" s="43">
        <f t="shared" si="3"/>
        <v>0</v>
      </c>
    </row>
    <row r="229" spans="1:17">
      <c r="J229" s="99"/>
      <c r="K229" s="99"/>
      <c r="L229" s="99"/>
      <c r="M229" s="99"/>
      <c r="N229" s="43">
        <f t="shared" si="3"/>
        <v>0</v>
      </c>
    </row>
    <row r="230" spans="1:17">
      <c r="J230" s="99"/>
      <c r="K230" s="99"/>
      <c r="L230" s="99"/>
      <c r="M230" s="99"/>
      <c r="N230" s="43">
        <f t="shared" si="3"/>
        <v>0</v>
      </c>
    </row>
    <row r="231" spans="1:17">
      <c r="J231" s="99"/>
      <c r="K231" s="99"/>
      <c r="L231" s="99"/>
      <c r="M231" s="99"/>
      <c r="N231" s="43">
        <f t="shared" si="3"/>
        <v>0</v>
      </c>
    </row>
    <row r="232" spans="1:17">
      <c r="J232" s="99"/>
      <c r="K232" s="99"/>
      <c r="L232" s="99"/>
      <c r="M232" s="99"/>
      <c r="N232" s="43">
        <f t="shared" si="3"/>
        <v>0</v>
      </c>
    </row>
    <row r="233" spans="1:17">
      <c r="J233" s="99"/>
      <c r="K233" s="99"/>
      <c r="L233" s="99"/>
      <c r="M233" s="99"/>
      <c r="N233" s="43">
        <f t="shared" si="3"/>
        <v>0</v>
      </c>
    </row>
    <row r="234" spans="1:17">
      <c r="J234" s="99"/>
      <c r="K234" s="99"/>
      <c r="L234" s="99"/>
      <c r="M234" s="99"/>
      <c r="N234" s="43">
        <f t="shared" si="3"/>
        <v>0</v>
      </c>
    </row>
    <row r="235" spans="1:17">
      <c r="J235" s="99"/>
      <c r="K235" s="99"/>
      <c r="L235" s="99"/>
      <c r="M235" s="99"/>
      <c r="N235" s="43">
        <f t="shared" si="3"/>
        <v>0</v>
      </c>
    </row>
    <row r="236" spans="1:17">
      <c r="J236" s="99"/>
      <c r="K236" s="99"/>
      <c r="L236" s="99"/>
      <c r="M236" s="99"/>
      <c r="N236" s="43">
        <f t="shared" si="3"/>
        <v>0</v>
      </c>
    </row>
    <row r="237" spans="1:17">
      <c r="J237" s="99"/>
      <c r="K237" s="99"/>
      <c r="L237" s="99"/>
      <c r="M237" s="99"/>
      <c r="N237" s="43">
        <f t="shared" si="3"/>
        <v>0</v>
      </c>
    </row>
    <row r="238" spans="1:17">
      <c r="J238" s="99"/>
      <c r="K238" s="99"/>
      <c r="L238" s="99"/>
      <c r="M238" s="99"/>
      <c r="N238" s="43">
        <f t="shared" si="3"/>
        <v>0</v>
      </c>
    </row>
    <row r="239" spans="1:17">
      <c r="J239" s="99"/>
      <c r="K239" s="99"/>
      <c r="L239" s="99"/>
      <c r="M239" s="99"/>
      <c r="N239" s="43">
        <f t="shared" si="3"/>
        <v>0</v>
      </c>
    </row>
    <row r="240" spans="1:17">
      <c r="J240" s="99"/>
      <c r="K240" s="99"/>
      <c r="L240" s="99"/>
      <c r="M240" s="99"/>
      <c r="N240" s="43">
        <f t="shared" si="3"/>
        <v>0</v>
      </c>
    </row>
    <row r="241" spans="10:14">
      <c r="J241" s="99"/>
      <c r="K241" s="99"/>
      <c r="L241" s="99"/>
      <c r="M241" s="99"/>
      <c r="N241" s="43">
        <f t="shared" si="3"/>
        <v>0</v>
      </c>
    </row>
    <row r="242" spans="10:14">
      <c r="J242" s="99"/>
      <c r="K242" s="99"/>
      <c r="L242" s="99"/>
      <c r="M242" s="99"/>
      <c r="N242" s="43">
        <f t="shared" si="3"/>
        <v>0</v>
      </c>
    </row>
    <row r="243" spans="10:14">
      <c r="J243" s="99"/>
      <c r="K243" s="99"/>
      <c r="L243" s="99"/>
      <c r="M243" s="99"/>
      <c r="N243" s="43">
        <f t="shared" si="3"/>
        <v>0</v>
      </c>
    </row>
    <row r="244" spans="10:14">
      <c r="J244" s="99"/>
      <c r="K244" s="99"/>
      <c r="L244" s="99"/>
      <c r="M244" s="99"/>
      <c r="N244" s="43">
        <f t="shared" si="3"/>
        <v>0</v>
      </c>
    </row>
    <row r="245" spans="10:14">
      <c r="J245" s="99"/>
      <c r="K245" s="99"/>
      <c r="L245" s="99"/>
      <c r="M245" s="99"/>
      <c r="N245" s="43">
        <f t="shared" si="3"/>
        <v>0</v>
      </c>
    </row>
    <row r="246" spans="10:14">
      <c r="J246" s="99"/>
      <c r="K246" s="99"/>
      <c r="L246" s="99"/>
      <c r="M246" s="99"/>
      <c r="N246" s="43">
        <f t="shared" si="3"/>
        <v>0</v>
      </c>
    </row>
    <row r="247" spans="10:14">
      <c r="J247" s="99"/>
      <c r="K247" s="99"/>
      <c r="L247" s="99"/>
      <c r="M247" s="99"/>
      <c r="N247" s="43">
        <f t="shared" si="3"/>
        <v>0</v>
      </c>
    </row>
    <row r="248" spans="10:14">
      <c r="J248" s="99"/>
      <c r="K248" s="99"/>
      <c r="L248" s="99"/>
      <c r="M248" s="99"/>
      <c r="N248" s="43">
        <f t="shared" si="3"/>
        <v>0</v>
      </c>
    </row>
    <row r="249" spans="10:14">
      <c r="J249" s="99"/>
      <c r="K249" s="99"/>
      <c r="L249" s="99"/>
      <c r="M249" s="99"/>
      <c r="N249" s="43">
        <f t="shared" si="3"/>
        <v>0</v>
      </c>
    </row>
    <row r="250" spans="10:14">
      <c r="J250" s="99"/>
      <c r="K250" s="99"/>
      <c r="L250" s="99"/>
      <c r="M250" s="99"/>
      <c r="N250" s="43">
        <f t="shared" si="3"/>
        <v>0</v>
      </c>
    </row>
    <row r="251" spans="10:14">
      <c r="J251" s="99"/>
      <c r="K251" s="99"/>
      <c r="L251" s="99"/>
      <c r="M251" s="99"/>
      <c r="N251" s="43">
        <f t="shared" si="3"/>
        <v>0</v>
      </c>
    </row>
    <row r="252" spans="10:14">
      <c r="J252" s="99"/>
      <c r="K252" s="99"/>
      <c r="L252" s="99"/>
      <c r="M252" s="99"/>
      <c r="N252" s="43">
        <f t="shared" si="3"/>
        <v>0</v>
      </c>
    </row>
    <row r="253" spans="10:14">
      <c r="J253" s="99"/>
      <c r="K253" s="99"/>
      <c r="L253" s="99"/>
      <c r="M253" s="99"/>
      <c r="N253" s="43">
        <f t="shared" si="3"/>
        <v>0</v>
      </c>
    </row>
    <row r="254" spans="10:14">
      <c r="J254" s="99"/>
      <c r="K254" s="99"/>
      <c r="L254" s="99"/>
      <c r="M254" s="99"/>
      <c r="N254" s="43">
        <f t="shared" si="3"/>
        <v>0</v>
      </c>
    </row>
    <row r="255" spans="10:14">
      <c r="J255" s="99"/>
      <c r="K255" s="99"/>
      <c r="L255" s="99"/>
      <c r="M255" s="99"/>
      <c r="N255" s="43">
        <f t="shared" si="3"/>
        <v>0</v>
      </c>
    </row>
    <row r="256" spans="10:14">
      <c r="J256" s="99"/>
      <c r="K256" s="99"/>
      <c r="L256" s="99"/>
      <c r="M256" s="99"/>
      <c r="N256" s="43">
        <f t="shared" si="3"/>
        <v>0</v>
      </c>
    </row>
    <row r="257" spans="10:14">
      <c r="J257" s="99"/>
      <c r="K257" s="99"/>
      <c r="L257" s="99"/>
      <c r="M257" s="99"/>
      <c r="N257" s="43">
        <f t="shared" si="3"/>
        <v>0</v>
      </c>
    </row>
    <row r="258" spans="10:14">
      <c r="J258" s="99"/>
      <c r="K258" s="99"/>
      <c r="L258" s="99"/>
      <c r="M258" s="99"/>
      <c r="N258" s="43">
        <f t="shared" si="3"/>
        <v>0</v>
      </c>
    </row>
    <row r="259" spans="10:14">
      <c r="J259" s="99"/>
      <c r="K259" s="99"/>
      <c r="L259" s="99"/>
      <c r="M259" s="99"/>
      <c r="N259" s="43">
        <f t="shared" si="3"/>
        <v>0</v>
      </c>
    </row>
    <row r="260" spans="10:14">
      <c r="J260" s="99"/>
      <c r="K260" s="99"/>
      <c r="L260" s="99"/>
      <c r="M260" s="99"/>
      <c r="N260" s="43">
        <f t="shared" si="3"/>
        <v>0</v>
      </c>
    </row>
    <row r="261" spans="10:14">
      <c r="J261" s="99"/>
      <c r="K261" s="99"/>
      <c r="L261" s="99"/>
      <c r="M261" s="99"/>
      <c r="N261" s="43">
        <f t="shared" si="3"/>
        <v>0</v>
      </c>
    </row>
    <row r="262" spans="10:14">
      <c r="J262" s="99"/>
      <c r="K262" s="99"/>
      <c r="L262" s="99"/>
      <c r="M262" s="99"/>
      <c r="N262" s="43">
        <f t="shared" si="3"/>
        <v>0</v>
      </c>
    </row>
    <row r="263" spans="10:14">
      <c r="J263" s="99"/>
      <c r="K263" s="99"/>
      <c r="L263" s="99"/>
      <c r="M263" s="99"/>
      <c r="N263" s="43">
        <f t="shared" si="3"/>
        <v>0</v>
      </c>
    </row>
    <row r="264" spans="10:14">
      <c r="J264" s="99"/>
      <c r="K264" s="99"/>
      <c r="L264" s="99"/>
      <c r="M264" s="99"/>
      <c r="N264" s="43">
        <f t="shared" si="3"/>
        <v>0</v>
      </c>
    </row>
    <row r="265" spans="10:14">
      <c r="J265" s="99"/>
      <c r="K265" s="99"/>
      <c r="L265" s="99"/>
      <c r="M265" s="99"/>
      <c r="N265" s="43">
        <f t="shared" si="3"/>
        <v>0</v>
      </c>
    </row>
    <row r="266" spans="10:14">
      <c r="J266" s="99"/>
      <c r="K266" s="99"/>
      <c r="L266" s="99"/>
      <c r="M266" s="99"/>
      <c r="N266" s="43">
        <f t="shared" si="3"/>
        <v>0</v>
      </c>
    </row>
    <row r="267" spans="10:14">
      <c r="J267" s="99"/>
      <c r="K267" s="99"/>
      <c r="L267" s="99"/>
      <c r="M267" s="99"/>
      <c r="N267" s="43">
        <f t="shared" ref="N267:N330" si="4">IF($L$4=$C$10,C267,IF(D267="","",B267))</f>
        <v>0</v>
      </c>
    </row>
    <row r="268" spans="10:14">
      <c r="J268" s="99"/>
      <c r="K268" s="99"/>
      <c r="L268" s="99"/>
      <c r="M268" s="99"/>
      <c r="N268" s="43">
        <f t="shared" si="4"/>
        <v>0</v>
      </c>
    </row>
    <row r="269" spans="10:14">
      <c r="J269" s="99"/>
      <c r="K269" s="99"/>
      <c r="L269" s="99"/>
      <c r="M269" s="99"/>
      <c r="N269" s="43">
        <f t="shared" si="4"/>
        <v>0</v>
      </c>
    </row>
    <row r="270" spans="10:14">
      <c r="J270" s="99"/>
      <c r="K270" s="99"/>
      <c r="L270" s="99"/>
      <c r="M270" s="99"/>
      <c r="N270" s="43">
        <f t="shared" si="4"/>
        <v>0</v>
      </c>
    </row>
    <row r="271" spans="10:14">
      <c r="J271" s="99"/>
      <c r="K271" s="99"/>
      <c r="L271" s="99"/>
      <c r="M271" s="99"/>
      <c r="N271" s="43">
        <f t="shared" si="4"/>
        <v>0</v>
      </c>
    </row>
    <row r="272" spans="10:14">
      <c r="J272" s="99"/>
      <c r="K272" s="99"/>
      <c r="L272" s="99"/>
      <c r="M272" s="99"/>
      <c r="N272" s="43">
        <f t="shared" si="4"/>
        <v>0</v>
      </c>
    </row>
    <row r="273" spans="10:14">
      <c r="J273" s="99"/>
      <c r="K273" s="99"/>
      <c r="L273" s="99"/>
      <c r="M273" s="99"/>
      <c r="N273" s="43">
        <f t="shared" si="4"/>
        <v>0</v>
      </c>
    </row>
    <row r="274" spans="10:14">
      <c r="J274" s="99"/>
      <c r="K274" s="99"/>
      <c r="L274" s="99"/>
      <c r="M274" s="99"/>
      <c r="N274" s="43">
        <f t="shared" si="4"/>
        <v>0</v>
      </c>
    </row>
    <row r="275" spans="10:14">
      <c r="J275" s="99"/>
      <c r="K275" s="99"/>
      <c r="L275" s="99"/>
      <c r="M275" s="99"/>
      <c r="N275" s="43">
        <f t="shared" si="4"/>
        <v>0</v>
      </c>
    </row>
    <row r="276" spans="10:14">
      <c r="J276" s="99"/>
      <c r="K276" s="99"/>
      <c r="L276" s="99"/>
      <c r="M276" s="99"/>
      <c r="N276" s="43">
        <f t="shared" si="4"/>
        <v>0</v>
      </c>
    </row>
    <row r="277" spans="10:14">
      <c r="J277" s="99"/>
      <c r="K277" s="99"/>
      <c r="L277" s="99"/>
      <c r="M277" s="99"/>
      <c r="N277" s="43">
        <f t="shared" si="4"/>
        <v>0</v>
      </c>
    </row>
    <row r="278" spans="10:14">
      <c r="J278" s="99"/>
      <c r="K278" s="99"/>
      <c r="L278" s="99"/>
      <c r="M278" s="99"/>
      <c r="N278" s="43">
        <f t="shared" si="4"/>
        <v>0</v>
      </c>
    </row>
    <row r="279" spans="10:14">
      <c r="J279" s="99"/>
      <c r="K279" s="99"/>
      <c r="L279" s="99"/>
      <c r="M279" s="99"/>
      <c r="N279" s="43">
        <f t="shared" si="4"/>
        <v>0</v>
      </c>
    </row>
    <row r="280" spans="10:14">
      <c r="J280" s="99"/>
      <c r="K280" s="99"/>
      <c r="L280" s="99"/>
      <c r="M280" s="99"/>
      <c r="N280" s="43">
        <f t="shared" si="4"/>
        <v>0</v>
      </c>
    </row>
    <row r="281" spans="10:14">
      <c r="J281" s="99"/>
      <c r="K281" s="99"/>
      <c r="L281" s="99"/>
      <c r="M281" s="99"/>
      <c r="N281" s="43">
        <f t="shared" si="4"/>
        <v>0</v>
      </c>
    </row>
    <row r="282" spans="10:14">
      <c r="J282" s="99"/>
      <c r="K282" s="99"/>
      <c r="L282" s="99"/>
      <c r="M282" s="99"/>
      <c r="N282" s="43">
        <f t="shared" si="4"/>
        <v>0</v>
      </c>
    </row>
    <row r="283" spans="10:14">
      <c r="J283" s="99"/>
      <c r="K283" s="99"/>
      <c r="L283" s="99"/>
      <c r="M283" s="99"/>
      <c r="N283" s="43">
        <f t="shared" si="4"/>
        <v>0</v>
      </c>
    </row>
    <row r="284" spans="10:14">
      <c r="J284" s="99"/>
      <c r="K284" s="99"/>
      <c r="L284" s="99"/>
      <c r="M284" s="99"/>
      <c r="N284" s="43">
        <f t="shared" si="4"/>
        <v>0</v>
      </c>
    </row>
    <row r="285" spans="10:14">
      <c r="J285" s="99"/>
      <c r="K285" s="99"/>
      <c r="L285" s="99"/>
      <c r="M285" s="99"/>
      <c r="N285" s="43">
        <f t="shared" si="4"/>
        <v>0</v>
      </c>
    </row>
    <row r="286" spans="10:14">
      <c r="J286" s="99"/>
      <c r="K286" s="99"/>
      <c r="L286" s="99"/>
      <c r="M286" s="99"/>
      <c r="N286" s="43">
        <f t="shared" si="4"/>
        <v>0</v>
      </c>
    </row>
    <row r="287" spans="10:14">
      <c r="J287" s="99"/>
      <c r="K287" s="99"/>
      <c r="L287" s="99"/>
      <c r="M287" s="99"/>
      <c r="N287" s="43">
        <f t="shared" si="4"/>
        <v>0</v>
      </c>
    </row>
    <row r="288" spans="10:14">
      <c r="J288" s="99"/>
      <c r="K288" s="99"/>
      <c r="L288" s="99"/>
      <c r="M288" s="99"/>
      <c r="N288" s="43">
        <f t="shared" si="4"/>
        <v>0</v>
      </c>
    </row>
    <row r="289" spans="10:14">
      <c r="J289" s="99"/>
      <c r="K289" s="99"/>
      <c r="L289" s="99"/>
      <c r="M289" s="99"/>
      <c r="N289" s="43">
        <f t="shared" si="4"/>
        <v>0</v>
      </c>
    </row>
    <row r="290" spans="10:14">
      <c r="J290" s="99"/>
      <c r="K290" s="99"/>
      <c r="L290" s="99"/>
      <c r="M290" s="99"/>
      <c r="N290" s="43">
        <f t="shared" si="4"/>
        <v>0</v>
      </c>
    </row>
    <row r="291" spans="10:14">
      <c r="J291" s="99"/>
      <c r="K291" s="99"/>
      <c r="L291" s="99"/>
      <c r="M291" s="99"/>
      <c r="N291" s="43">
        <f t="shared" si="4"/>
        <v>0</v>
      </c>
    </row>
    <row r="292" spans="10:14">
      <c r="J292" s="99"/>
      <c r="K292" s="99"/>
      <c r="L292" s="99"/>
      <c r="M292" s="99"/>
      <c r="N292" s="43">
        <f t="shared" si="4"/>
        <v>0</v>
      </c>
    </row>
    <row r="293" spans="10:14">
      <c r="J293" s="99"/>
      <c r="K293" s="99"/>
      <c r="L293" s="99"/>
      <c r="M293" s="99"/>
      <c r="N293" s="43">
        <f t="shared" si="4"/>
        <v>0</v>
      </c>
    </row>
    <row r="294" spans="10:14">
      <c r="J294" s="99"/>
      <c r="K294" s="99"/>
      <c r="L294" s="99"/>
      <c r="M294" s="99"/>
      <c r="N294" s="43">
        <f t="shared" si="4"/>
        <v>0</v>
      </c>
    </row>
    <row r="295" spans="10:14">
      <c r="J295" s="99"/>
      <c r="K295" s="99"/>
      <c r="L295" s="99"/>
      <c r="M295" s="99"/>
      <c r="N295" s="43">
        <f t="shared" si="4"/>
        <v>0</v>
      </c>
    </row>
    <row r="296" spans="10:14">
      <c r="J296" s="99"/>
      <c r="K296" s="99"/>
      <c r="L296" s="99"/>
      <c r="M296" s="99"/>
      <c r="N296" s="43">
        <f t="shared" si="4"/>
        <v>0</v>
      </c>
    </row>
    <row r="297" spans="10:14">
      <c r="J297" s="99"/>
      <c r="K297" s="99"/>
      <c r="L297" s="99"/>
      <c r="M297" s="99"/>
      <c r="N297" s="43">
        <f t="shared" si="4"/>
        <v>0</v>
      </c>
    </row>
    <row r="298" spans="10:14">
      <c r="J298" s="99"/>
      <c r="K298" s="99"/>
      <c r="L298" s="99"/>
      <c r="M298" s="99"/>
      <c r="N298" s="43">
        <f t="shared" si="4"/>
        <v>0</v>
      </c>
    </row>
    <row r="299" spans="10:14">
      <c r="J299" s="99"/>
      <c r="K299" s="99"/>
      <c r="L299" s="99"/>
      <c r="M299" s="99"/>
      <c r="N299" s="43">
        <f t="shared" si="4"/>
        <v>0</v>
      </c>
    </row>
    <row r="300" spans="10:14">
      <c r="J300" s="99"/>
      <c r="K300" s="99"/>
      <c r="L300" s="99"/>
      <c r="M300" s="99"/>
      <c r="N300" s="43">
        <f t="shared" si="4"/>
        <v>0</v>
      </c>
    </row>
    <row r="301" spans="10:14">
      <c r="J301" s="99"/>
      <c r="K301" s="99"/>
      <c r="L301" s="99"/>
      <c r="M301" s="99"/>
      <c r="N301" s="43">
        <f t="shared" si="4"/>
        <v>0</v>
      </c>
    </row>
    <row r="302" spans="10:14">
      <c r="J302" s="99"/>
      <c r="K302" s="99"/>
      <c r="L302" s="99"/>
      <c r="M302" s="99"/>
      <c r="N302" s="43">
        <f t="shared" si="4"/>
        <v>0</v>
      </c>
    </row>
    <row r="303" spans="10:14">
      <c r="J303" s="99"/>
      <c r="K303" s="99"/>
      <c r="L303" s="99"/>
      <c r="M303" s="99"/>
      <c r="N303" s="43">
        <f t="shared" si="4"/>
        <v>0</v>
      </c>
    </row>
    <row r="304" spans="10:14">
      <c r="J304" s="99"/>
      <c r="K304" s="99"/>
      <c r="L304" s="99"/>
      <c r="M304" s="99"/>
      <c r="N304" s="43">
        <f t="shared" si="4"/>
        <v>0</v>
      </c>
    </row>
    <row r="305" spans="10:14">
      <c r="J305" s="99"/>
      <c r="K305" s="99"/>
      <c r="L305" s="99"/>
      <c r="M305" s="99"/>
      <c r="N305" s="43">
        <f t="shared" si="4"/>
        <v>0</v>
      </c>
    </row>
    <row r="306" spans="10:14">
      <c r="J306" s="99"/>
      <c r="K306" s="99"/>
      <c r="L306" s="99"/>
      <c r="M306" s="99"/>
      <c r="N306" s="43">
        <f t="shared" si="4"/>
        <v>0</v>
      </c>
    </row>
    <row r="307" spans="10:14">
      <c r="J307" s="99"/>
      <c r="K307" s="99"/>
      <c r="L307" s="99"/>
      <c r="M307" s="99"/>
      <c r="N307" s="43">
        <f t="shared" si="4"/>
        <v>0</v>
      </c>
    </row>
    <row r="308" spans="10:14">
      <c r="J308" s="99"/>
      <c r="K308" s="99"/>
      <c r="L308" s="99"/>
      <c r="M308" s="99"/>
      <c r="N308" s="43">
        <f t="shared" si="4"/>
        <v>0</v>
      </c>
    </row>
    <row r="309" spans="10:14">
      <c r="J309" s="99"/>
      <c r="K309" s="99"/>
      <c r="L309" s="99"/>
      <c r="M309" s="99"/>
      <c r="N309" s="43">
        <f t="shared" si="4"/>
        <v>0</v>
      </c>
    </row>
    <row r="310" spans="10:14">
      <c r="J310" s="99"/>
      <c r="K310" s="99"/>
      <c r="L310" s="99"/>
      <c r="M310" s="99"/>
      <c r="N310" s="43">
        <f t="shared" si="4"/>
        <v>0</v>
      </c>
    </row>
    <row r="311" spans="10:14">
      <c r="J311" s="99"/>
      <c r="K311" s="99"/>
      <c r="L311" s="99"/>
      <c r="M311" s="99"/>
      <c r="N311" s="43">
        <f t="shared" si="4"/>
        <v>0</v>
      </c>
    </row>
    <row r="312" spans="10:14">
      <c r="J312" s="99"/>
      <c r="K312" s="99"/>
      <c r="L312" s="99"/>
      <c r="M312" s="99"/>
      <c r="N312" s="43">
        <f t="shared" si="4"/>
        <v>0</v>
      </c>
    </row>
    <row r="313" spans="10:14">
      <c r="J313" s="99"/>
      <c r="K313" s="99"/>
      <c r="L313" s="99"/>
      <c r="M313" s="99"/>
      <c r="N313" s="43">
        <f t="shared" si="4"/>
        <v>0</v>
      </c>
    </row>
    <row r="314" spans="10:14">
      <c r="J314" s="99"/>
      <c r="K314" s="99"/>
      <c r="L314" s="99"/>
      <c r="M314" s="99"/>
      <c r="N314" s="43">
        <f t="shared" si="4"/>
        <v>0</v>
      </c>
    </row>
    <row r="315" spans="10:14">
      <c r="J315" s="99"/>
      <c r="K315" s="99"/>
      <c r="L315" s="99"/>
      <c r="M315" s="99"/>
      <c r="N315" s="43">
        <f t="shared" si="4"/>
        <v>0</v>
      </c>
    </row>
    <row r="316" spans="10:14">
      <c r="J316" s="99"/>
      <c r="K316" s="99"/>
      <c r="L316" s="99"/>
      <c r="M316" s="99"/>
      <c r="N316" s="43">
        <f t="shared" si="4"/>
        <v>0</v>
      </c>
    </row>
    <row r="317" spans="10:14">
      <c r="J317" s="99"/>
      <c r="K317" s="99"/>
      <c r="L317" s="99"/>
      <c r="M317" s="99"/>
      <c r="N317" s="43">
        <f t="shared" si="4"/>
        <v>0</v>
      </c>
    </row>
    <row r="318" spans="10:14">
      <c r="J318" s="99"/>
      <c r="K318" s="99"/>
      <c r="L318" s="99"/>
      <c r="M318" s="99"/>
      <c r="N318" s="43">
        <f t="shared" si="4"/>
        <v>0</v>
      </c>
    </row>
    <row r="319" spans="10:14">
      <c r="J319" s="99"/>
      <c r="K319" s="99"/>
      <c r="L319" s="99"/>
      <c r="M319" s="99"/>
      <c r="N319" s="43">
        <f t="shared" si="4"/>
        <v>0</v>
      </c>
    </row>
    <row r="320" spans="10:14">
      <c r="J320" s="99"/>
      <c r="K320" s="99"/>
      <c r="L320" s="99"/>
      <c r="M320" s="99"/>
      <c r="N320" s="43">
        <f t="shared" si="4"/>
        <v>0</v>
      </c>
    </row>
    <row r="321" spans="10:14">
      <c r="J321" s="99"/>
      <c r="K321" s="99"/>
      <c r="L321" s="99"/>
      <c r="M321" s="99"/>
      <c r="N321" s="43">
        <f t="shared" si="4"/>
        <v>0</v>
      </c>
    </row>
    <row r="322" spans="10:14">
      <c r="J322" s="99"/>
      <c r="K322" s="99"/>
      <c r="L322" s="99"/>
      <c r="M322" s="99"/>
      <c r="N322" s="43">
        <f t="shared" si="4"/>
        <v>0</v>
      </c>
    </row>
    <row r="323" spans="10:14">
      <c r="J323" s="99"/>
      <c r="K323" s="99"/>
      <c r="L323" s="99"/>
      <c r="M323" s="99"/>
      <c r="N323" s="43">
        <f t="shared" si="4"/>
        <v>0</v>
      </c>
    </row>
    <row r="324" spans="10:14">
      <c r="J324" s="99"/>
      <c r="K324" s="99"/>
      <c r="L324" s="99"/>
      <c r="M324" s="99"/>
      <c r="N324" s="43">
        <f t="shared" si="4"/>
        <v>0</v>
      </c>
    </row>
    <row r="325" spans="10:14">
      <c r="J325" s="99"/>
      <c r="K325" s="99"/>
      <c r="L325" s="99"/>
      <c r="M325" s="99"/>
      <c r="N325" s="43">
        <f t="shared" si="4"/>
        <v>0</v>
      </c>
    </row>
    <row r="326" spans="10:14">
      <c r="J326" s="99"/>
      <c r="K326" s="99"/>
      <c r="L326" s="99"/>
      <c r="M326" s="99"/>
      <c r="N326" s="43">
        <f t="shared" si="4"/>
        <v>0</v>
      </c>
    </row>
    <row r="327" spans="10:14">
      <c r="J327" s="99"/>
      <c r="K327" s="99"/>
      <c r="L327" s="99"/>
      <c r="M327" s="99"/>
      <c r="N327" s="43">
        <f t="shared" si="4"/>
        <v>0</v>
      </c>
    </row>
    <row r="328" spans="10:14">
      <c r="J328" s="99"/>
      <c r="K328" s="99"/>
      <c r="L328" s="99"/>
      <c r="M328" s="99"/>
      <c r="N328" s="43">
        <f t="shared" si="4"/>
        <v>0</v>
      </c>
    </row>
    <row r="329" spans="10:14">
      <c r="J329" s="99"/>
      <c r="K329" s="99"/>
      <c r="L329" s="99"/>
      <c r="M329" s="99"/>
      <c r="N329" s="43">
        <f t="shared" si="4"/>
        <v>0</v>
      </c>
    </row>
    <row r="330" spans="10:14">
      <c r="J330" s="99"/>
      <c r="K330" s="99"/>
      <c r="L330" s="99"/>
      <c r="M330" s="99"/>
      <c r="N330" s="43">
        <f t="shared" si="4"/>
        <v>0</v>
      </c>
    </row>
    <row r="331" spans="10:14">
      <c r="J331" s="99"/>
      <c r="K331" s="99"/>
      <c r="L331" s="99"/>
      <c r="M331" s="99"/>
      <c r="N331" s="43">
        <f t="shared" ref="N331:N394" si="5">IF($L$4=$C$10,C331,IF(D331="","",B331))</f>
        <v>0</v>
      </c>
    </row>
    <row r="332" spans="10:14">
      <c r="J332" s="99"/>
      <c r="K332" s="99"/>
      <c r="L332" s="99"/>
      <c r="M332" s="99"/>
      <c r="N332" s="43">
        <f t="shared" si="5"/>
        <v>0</v>
      </c>
    </row>
    <row r="333" spans="10:14">
      <c r="J333" s="99"/>
      <c r="K333" s="99"/>
      <c r="L333" s="99"/>
      <c r="M333" s="99"/>
      <c r="N333" s="43">
        <f t="shared" si="5"/>
        <v>0</v>
      </c>
    </row>
    <row r="334" spans="10:14">
      <c r="J334" s="99"/>
      <c r="K334" s="99"/>
      <c r="L334" s="99"/>
      <c r="M334" s="99"/>
      <c r="N334" s="43">
        <f t="shared" si="5"/>
        <v>0</v>
      </c>
    </row>
    <row r="335" spans="10:14">
      <c r="J335" s="99"/>
      <c r="K335" s="99"/>
      <c r="L335" s="99"/>
      <c r="M335" s="99"/>
      <c r="N335" s="43">
        <f t="shared" si="5"/>
        <v>0</v>
      </c>
    </row>
    <row r="336" spans="10:14">
      <c r="J336" s="99"/>
      <c r="K336" s="99"/>
      <c r="L336" s="99"/>
      <c r="M336" s="99"/>
      <c r="N336" s="43">
        <f t="shared" si="5"/>
        <v>0</v>
      </c>
    </row>
    <row r="337" spans="10:14">
      <c r="J337" s="99"/>
      <c r="K337" s="99"/>
      <c r="L337" s="99"/>
      <c r="M337" s="99"/>
      <c r="N337" s="43">
        <f t="shared" si="5"/>
        <v>0</v>
      </c>
    </row>
    <row r="338" spans="10:14">
      <c r="J338" s="99"/>
      <c r="K338" s="99"/>
      <c r="L338" s="99"/>
      <c r="M338" s="99"/>
      <c r="N338" s="43">
        <f t="shared" si="5"/>
        <v>0</v>
      </c>
    </row>
    <row r="339" spans="10:14">
      <c r="J339" s="99"/>
      <c r="K339" s="99"/>
      <c r="L339" s="99"/>
      <c r="M339" s="99"/>
      <c r="N339" s="43">
        <f t="shared" si="5"/>
        <v>0</v>
      </c>
    </row>
    <row r="340" spans="10:14">
      <c r="J340" s="99"/>
      <c r="K340" s="99"/>
      <c r="L340" s="99"/>
      <c r="M340" s="99"/>
      <c r="N340" s="43">
        <f t="shared" si="5"/>
        <v>0</v>
      </c>
    </row>
    <row r="341" spans="10:14">
      <c r="J341" s="99"/>
      <c r="K341" s="99"/>
      <c r="L341" s="99"/>
      <c r="M341" s="99"/>
      <c r="N341" s="43">
        <f t="shared" si="5"/>
        <v>0</v>
      </c>
    </row>
    <row r="342" spans="10:14">
      <c r="J342" s="99"/>
      <c r="K342" s="99"/>
      <c r="L342" s="99"/>
      <c r="M342" s="99"/>
      <c r="N342" s="43">
        <f t="shared" si="5"/>
        <v>0</v>
      </c>
    </row>
    <row r="343" spans="10:14">
      <c r="J343" s="99"/>
      <c r="K343" s="99"/>
      <c r="L343" s="99"/>
      <c r="M343" s="99"/>
      <c r="N343" s="43">
        <f t="shared" si="5"/>
        <v>0</v>
      </c>
    </row>
    <row r="344" spans="10:14">
      <c r="J344" s="99"/>
      <c r="K344" s="99"/>
      <c r="L344" s="99"/>
      <c r="M344" s="99"/>
      <c r="N344" s="43">
        <f t="shared" si="5"/>
        <v>0</v>
      </c>
    </row>
    <row r="345" spans="10:14">
      <c r="J345" s="99"/>
      <c r="K345" s="99"/>
      <c r="L345" s="99"/>
      <c r="M345" s="99"/>
      <c r="N345" s="43">
        <f t="shared" si="5"/>
        <v>0</v>
      </c>
    </row>
    <row r="346" spans="10:14">
      <c r="J346" s="99"/>
      <c r="K346" s="99"/>
      <c r="L346" s="99"/>
      <c r="M346" s="99"/>
      <c r="N346" s="43">
        <f t="shared" si="5"/>
        <v>0</v>
      </c>
    </row>
    <row r="347" spans="10:14">
      <c r="J347" s="99"/>
      <c r="K347" s="99"/>
      <c r="L347" s="99"/>
      <c r="M347" s="99"/>
      <c r="N347" s="43">
        <f t="shared" si="5"/>
        <v>0</v>
      </c>
    </row>
    <row r="348" spans="10:14">
      <c r="J348" s="99"/>
      <c r="K348" s="99"/>
      <c r="L348" s="99"/>
      <c r="M348" s="99"/>
      <c r="N348" s="43">
        <f t="shared" si="5"/>
        <v>0</v>
      </c>
    </row>
    <row r="349" spans="10:14">
      <c r="J349" s="99"/>
      <c r="K349" s="99"/>
      <c r="L349" s="99"/>
      <c r="M349" s="99"/>
      <c r="N349" s="43">
        <f t="shared" si="5"/>
        <v>0</v>
      </c>
    </row>
    <row r="350" spans="10:14">
      <c r="J350" s="99"/>
      <c r="K350" s="99"/>
      <c r="L350" s="99"/>
      <c r="M350" s="99"/>
      <c r="N350" s="43">
        <f t="shared" si="5"/>
        <v>0</v>
      </c>
    </row>
    <row r="351" spans="10:14">
      <c r="J351" s="99"/>
      <c r="K351" s="99"/>
      <c r="L351" s="99"/>
      <c r="M351" s="99"/>
      <c r="N351" s="43">
        <f t="shared" si="5"/>
        <v>0</v>
      </c>
    </row>
    <row r="352" spans="10:14">
      <c r="J352" s="99"/>
      <c r="K352" s="99"/>
      <c r="L352" s="99"/>
      <c r="M352" s="99"/>
      <c r="N352" s="43">
        <f t="shared" si="5"/>
        <v>0</v>
      </c>
    </row>
    <row r="353" spans="10:14">
      <c r="J353" s="99"/>
      <c r="K353" s="99"/>
      <c r="L353" s="99"/>
      <c r="M353" s="99"/>
      <c r="N353" s="43">
        <f t="shared" si="5"/>
        <v>0</v>
      </c>
    </row>
    <row r="354" spans="10:14">
      <c r="J354" s="99"/>
      <c r="K354" s="99"/>
      <c r="L354" s="99"/>
      <c r="M354" s="99"/>
      <c r="N354" s="43">
        <f t="shared" si="5"/>
        <v>0</v>
      </c>
    </row>
    <row r="355" spans="10:14">
      <c r="J355" s="99"/>
      <c r="K355" s="99"/>
      <c r="L355" s="99"/>
      <c r="M355" s="99"/>
      <c r="N355" s="43">
        <f t="shared" si="5"/>
        <v>0</v>
      </c>
    </row>
    <row r="356" spans="10:14">
      <c r="J356" s="99"/>
      <c r="K356" s="99"/>
      <c r="L356" s="99"/>
      <c r="M356" s="99"/>
      <c r="N356" s="43">
        <f t="shared" si="5"/>
        <v>0</v>
      </c>
    </row>
    <row r="357" spans="10:14">
      <c r="J357" s="99"/>
      <c r="K357" s="99"/>
      <c r="L357" s="99"/>
      <c r="M357" s="99"/>
      <c r="N357" s="43">
        <f t="shared" si="5"/>
        <v>0</v>
      </c>
    </row>
    <row r="358" spans="10:14">
      <c r="J358" s="99"/>
      <c r="K358" s="99"/>
      <c r="L358" s="99"/>
      <c r="M358" s="99"/>
      <c r="N358" s="43">
        <f t="shared" si="5"/>
        <v>0</v>
      </c>
    </row>
    <row r="359" spans="10:14">
      <c r="J359" s="99"/>
      <c r="K359" s="99"/>
      <c r="L359" s="99"/>
      <c r="M359" s="99"/>
      <c r="N359" s="43">
        <f t="shared" si="5"/>
        <v>0</v>
      </c>
    </row>
    <row r="360" spans="10:14">
      <c r="J360" s="99"/>
      <c r="K360" s="99"/>
      <c r="L360" s="99"/>
      <c r="M360" s="99"/>
      <c r="N360" s="43">
        <f t="shared" si="5"/>
        <v>0</v>
      </c>
    </row>
    <row r="361" spans="10:14">
      <c r="J361" s="99"/>
      <c r="K361" s="99"/>
      <c r="L361" s="99"/>
      <c r="M361" s="99"/>
      <c r="N361" s="43">
        <f t="shared" si="5"/>
        <v>0</v>
      </c>
    </row>
    <row r="362" spans="10:14">
      <c r="J362" s="99"/>
      <c r="K362" s="99"/>
      <c r="L362" s="99"/>
      <c r="M362" s="99"/>
      <c r="N362" s="43">
        <f t="shared" si="5"/>
        <v>0</v>
      </c>
    </row>
    <row r="363" spans="10:14">
      <c r="J363" s="99"/>
      <c r="K363" s="99"/>
      <c r="L363" s="99"/>
      <c r="M363" s="99"/>
      <c r="N363" s="43">
        <f t="shared" si="5"/>
        <v>0</v>
      </c>
    </row>
    <row r="364" spans="10:14">
      <c r="J364" s="99"/>
      <c r="K364" s="99"/>
      <c r="L364" s="99"/>
      <c r="M364" s="99"/>
      <c r="N364" s="43">
        <f t="shared" si="5"/>
        <v>0</v>
      </c>
    </row>
    <row r="365" spans="10:14">
      <c r="J365" s="99"/>
      <c r="K365" s="99"/>
      <c r="L365" s="99"/>
      <c r="M365" s="99"/>
      <c r="N365" s="43">
        <f t="shared" si="5"/>
        <v>0</v>
      </c>
    </row>
    <row r="366" spans="10:14">
      <c r="J366" s="99"/>
      <c r="K366" s="99"/>
      <c r="L366" s="99"/>
      <c r="M366" s="99"/>
      <c r="N366" s="43">
        <f t="shared" si="5"/>
        <v>0</v>
      </c>
    </row>
    <row r="367" spans="10:14">
      <c r="J367" s="99"/>
      <c r="K367" s="99"/>
      <c r="L367" s="99"/>
      <c r="M367" s="99"/>
      <c r="N367" s="43">
        <f t="shared" si="5"/>
        <v>0</v>
      </c>
    </row>
    <row r="368" spans="10:14">
      <c r="J368" s="99"/>
      <c r="K368" s="99"/>
      <c r="L368" s="99"/>
      <c r="M368" s="99"/>
      <c r="N368" s="43">
        <f t="shared" si="5"/>
        <v>0</v>
      </c>
    </row>
    <row r="369" spans="10:14">
      <c r="J369" s="99"/>
      <c r="K369" s="99"/>
      <c r="L369" s="99"/>
      <c r="M369" s="99"/>
      <c r="N369" s="43">
        <f t="shared" si="5"/>
        <v>0</v>
      </c>
    </row>
    <row r="370" spans="10:14">
      <c r="J370" s="99"/>
      <c r="K370" s="99"/>
      <c r="L370" s="99"/>
      <c r="M370" s="99"/>
      <c r="N370" s="43">
        <f t="shared" si="5"/>
        <v>0</v>
      </c>
    </row>
    <row r="371" spans="10:14">
      <c r="J371" s="99"/>
      <c r="K371" s="99"/>
      <c r="L371" s="99"/>
      <c r="M371" s="99"/>
      <c r="N371" s="43">
        <f t="shared" si="5"/>
        <v>0</v>
      </c>
    </row>
    <row r="372" spans="10:14">
      <c r="J372" s="99"/>
      <c r="K372" s="99"/>
      <c r="L372" s="99"/>
      <c r="M372" s="99"/>
      <c r="N372" s="43">
        <f t="shared" si="5"/>
        <v>0</v>
      </c>
    </row>
    <row r="373" spans="10:14">
      <c r="J373" s="99"/>
      <c r="K373" s="99"/>
      <c r="L373" s="99"/>
      <c r="M373" s="99"/>
      <c r="N373" s="43">
        <f t="shared" si="5"/>
        <v>0</v>
      </c>
    </row>
    <row r="374" spans="10:14">
      <c r="J374" s="99"/>
      <c r="K374" s="99"/>
      <c r="L374" s="99"/>
      <c r="M374" s="99"/>
      <c r="N374" s="43">
        <f t="shared" si="5"/>
        <v>0</v>
      </c>
    </row>
    <row r="375" spans="10:14">
      <c r="J375" s="99"/>
      <c r="K375" s="99"/>
      <c r="L375" s="99"/>
      <c r="M375" s="99"/>
      <c r="N375" s="43">
        <f t="shared" si="5"/>
        <v>0</v>
      </c>
    </row>
    <row r="376" spans="10:14">
      <c r="J376" s="99"/>
      <c r="K376" s="99"/>
      <c r="L376" s="99"/>
      <c r="M376" s="99"/>
      <c r="N376" s="43">
        <f t="shared" si="5"/>
        <v>0</v>
      </c>
    </row>
    <row r="377" spans="10:14">
      <c r="J377" s="99"/>
      <c r="K377" s="99"/>
      <c r="L377" s="99"/>
      <c r="M377" s="99"/>
      <c r="N377" s="43">
        <f t="shared" si="5"/>
        <v>0</v>
      </c>
    </row>
    <row r="378" spans="10:14">
      <c r="J378" s="99"/>
      <c r="K378" s="99"/>
      <c r="L378" s="99"/>
      <c r="M378" s="99"/>
      <c r="N378" s="43">
        <f t="shared" si="5"/>
        <v>0</v>
      </c>
    </row>
    <row r="379" spans="10:14">
      <c r="J379" s="99"/>
      <c r="K379" s="99"/>
      <c r="L379" s="99"/>
      <c r="M379" s="99"/>
      <c r="N379" s="43">
        <f t="shared" si="5"/>
        <v>0</v>
      </c>
    </row>
    <row r="380" spans="10:14">
      <c r="J380" s="99"/>
      <c r="K380" s="99"/>
      <c r="L380" s="99"/>
      <c r="M380" s="99"/>
      <c r="N380" s="43">
        <f t="shared" si="5"/>
        <v>0</v>
      </c>
    </row>
    <row r="381" spans="10:14">
      <c r="J381" s="99"/>
      <c r="K381" s="99"/>
      <c r="L381" s="99"/>
      <c r="M381" s="99"/>
      <c r="N381" s="43">
        <f t="shared" si="5"/>
        <v>0</v>
      </c>
    </row>
    <row r="382" spans="10:14">
      <c r="J382" s="99"/>
      <c r="K382" s="99"/>
      <c r="L382" s="99"/>
      <c r="M382" s="99"/>
      <c r="N382" s="43">
        <f t="shared" si="5"/>
        <v>0</v>
      </c>
    </row>
    <row r="383" spans="10:14">
      <c r="J383" s="99"/>
      <c r="K383" s="99"/>
      <c r="L383" s="99"/>
      <c r="M383" s="99"/>
      <c r="N383" s="43">
        <f t="shared" si="5"/>
        <v>0</v>
      </c>
    </row>
    <row r="384" spans="10:14">
      <c r="J384" s="99"/>
      <c r="K384" s="99"/>
      <c r="L384" s="99"/>
      <c r="M384" s="99"/>
      <c r="N384" s="43">
        <f t="shared" si="5"/>
        <v>0</v>
      </c>
    </row>
    <row r="385" spans="10:14">
      <c r="J385" s="99"/>
      <c r="K385" s="99"/>
      <c r="L385" s="99"/>
      <c r="M385" s="99"/>
      <c r="N385" s="43">
        <f t="shared" si="5"/>
        <v>0</v>
      </c>
    </row>
    <row r="386" spans="10:14">
      <c r="J386" s="99"/>
      <c r="K386" s="99"/>
      <c r="L386" s="99"/>
      <c r="M386" s="99"/>
      <c r="N386" s="43">
        <f t="shared" si="5"/>
        <v>0</v>
      </c>
    </row>
    <row r="387" spans="10:14">
      <c r="J387" s="99"/>
      <c r="K387" s="99"/>
      <c r="L387" s="99"/>
      <c r="M387" s="99"/>
      <c r="N387" s="43">
        <f t="shared" si="5"/>
        <v>0</v>
      </c>
    </row>
    <row r="388" spans="10:14">
      <c r="J388" s="99"/>
      <c r="K388" s="99"/>
      <c r="L388" s="99"/>
      <c r="M388" s="99"/>
      <c r="N388" s="43">
        <f t="shared" si="5"/>
        <v>0</v>
      </c>
    </row>
    <row r="389" spans="10:14">
      <c r="J389" s="99"/>
      <c r="K389" s="99"/>
      <c r="L389" s="99"/>
      <c r="M389" s="99"/>
      <c r="N389" s="43">
        <f t="shared" si="5"/>
        <v>0</v>
      </c>
    </row>
    <row r="390" spans="10:14">
      <c r="J390" s="99"/>
      <c r="K390" s="99"/>
      <c r="L390" s="99"/>
      <c r="M390" s="99"/>
      <c r="N390" s="43">
        <f t="shared" si="5"/>
        <v>0</v>
      </c>
    </row>
    <row r="391" spans="10:14">
      <c r="J391" s="99"/>
      <c r="K391" s="99"/>
      <c r="L391" s="99"/>
      <c r="M391" s="99"/>
      <c r="N391" s="43">
        <f t="shared" si="5"/>
        <v>0</v>
      </c>
    </row>
    <row r="392" spans="10:14">
      <c r="J392" s="99"/>
      <c r="K392" s="99"/>
      <c r="L392" s="99"/>
      <c r="M392" s="99"/>
      <c r="N392" s="43">
        <f t="shared" si="5"/>
        <v>0</v>
      </c>
    </row>
    <row r="393" spans="10:14">
      <c r="J393" s="99"/>
      <c r="K393" s="99"/>
      <c r="L393" s="99"/>
      <c r="M393" s="99"/>
      <c r="N393" s="43">
        <f t="shared" si="5"/>
        <v>0</v>
      </c>
    </row>
    <row r="394" spans="10:14">
      <c r="J394" s="99"/>
      <c r="K394" s="99"/>
      <c r="L394" s="99"/>
      <c r="M394" s="99"/>
      <c r="N394" s="43">
        <f t="shared" si="5"/>
        <v>0</v>
      </c>
    </row>
    <row r="395" spans="10:14">
      <c r="J395" s="99"/>
      <c r="K395" s="99"/>
      <c r="L395" s="99"/>
      <c r="M395" s="99"/>
      <c r="N395" s="43">
        <f t="shared" ref="N395:N458" si="6">IF($L$4=$C$10,C395,IF(D395="","",B395))</f>
        <v>0</v>
      </c>
    </row>
    <row r="396" spans="10:14">
      <c r="J396" s="99"/>
      <c r="K396" s="99"/>
      <c r="L396" s="99"/>
      <c r="M396" s="99"/>
      <c r="N396" s="43">
        <f t="shared" si="6"/>
        <v>0</v>
      </c>
    </row>
    <row r="397" spans="10:14">
      <c r="J397" s="99"/>
      <c r="K397" s="99"/>
      <c r="L397" s="99"/>
      <c r="M397" s="99"/>
      <c r="N397" s="43">
        <f t="shared" si="6"/>
        <v>0</v>
      </c>
    </row>
    <row r="398" spans="10:14">
      <c r="J398" s="99"/>
      <c r="K398" s="99"/>
      <c r="L398" s="99"/>
      <c r="M398" s="99"/>
      <c r="N398" s="43">
        <f t="shared" si="6"/>
        <v>0</v>
      </c>
    </row>
    <row r="399" spans="10:14">
      <c r="J399" s="99"/>
      <c r="K399" s="99"/>
      <c r="L399" s="99"/>
      <c r="M399" s="99"/>
      <c r="N399" s="43">
        <f t="shared" si="6"/>
        <v>0</v>
      </c>
    </row>
    <row r="400" spans="10:14">
      <c r="J400" s="99"/>
      <c r="K400" s="99"/>
      <c r="L400" s="99"/>
      <c r="M400" s="99"/>
      <c r="N400" s="43">
        <f t="shared" si="6"/>
        <v>0</v>
      </c>
    </row>
    <row r="401" spans="10:14">
      <c r="J401" s="99"/>
      <c r="K401" s="99"/>
      <c r="L401" s="99"/>
      <c r="M401" s="99"/>
      <c r="N401" s="43">
        <f t="shared" si="6"/>
        <v>0</v>
      </c>
    </row>
    <row r="402" spans="10:14">
      <c r="J402" s="99"/>
      <c r="K402" s="99"/>
      <c r="L402" s="99"/>
      <c r="M402" s="99"/>
      <c r="N402" s="43">
        <f t="shared" si="6"/>
        <v>0</v>
      </c>
    </row>
    <row r="403" spans="10:14">
      <c r="J403" s="99"/>
      <c r="K403" s="99"/>
      <c r="L403" s="99"/>
      <c r="M403" s="99"/>
      <c r="N403" s="43">
        <f t="shared" si="6"/>
        <v>0</v>
      </c>
    </row>
    <row r="404" spans="10:14">
      <c r="J404" s="99"/>
      <c r="K404" s="99"/>
      <c r="L404" s="99"/>
      <c r="M404" s="99"/>
      <c r="N404" s="43">
        <f t="shared" si="6"/>
        <v>0</v>
      </c>
    </row>
    <row r="405" spans="10:14">
      <c r="J405" s="99"/>
      <c r="K405" s="99"/>
      <c r="L405" s="99"/>
      <c r="M405" s="99"/>
      <c r="N405" s="43">
        <f t="shared" si="6"/>
        <v>0</v>
      </c>
    </row>
    <row r="406" spans="10:14">
      <c r="J406" s="99"/>
      <c r="K406" s="99"/>
      <c r="L406" s="99"/>
      <c r="M406" s="99"/>
      <c r="N406" s="43">
        <f t="shared" si="6"/>
        <v>0</v>
      </c>
    </row>
    <row r="407" spans="10:14">
      <c r="J407" s="99"/>
      <c r="K407" s="99"/>
      <c r="L407" s="99"/>
      <c r="M407" s="99"/>
      <c r="N407" s="43">
        <f t="shared" si="6"/>
        <v>0</v>
      </c>
    </row>
    <row r="408" spans="10:14">
      <c r="J408" s="99"/>
      <c r="K408" s="99"/>
      <c r="L408" s="99"/>
      <c r="M408" s="99"/>
      <c r="N408" s="43">
        <f t="shared" si="6"/>
        <v>0</v>
      </c>
    </row>
    <row r="409" spans="10:14">
      <c r="J409" s="99"/>
      <c r="K409" s="99"/>
      <c r="L409" s="99"/>
      <c r="M409" s="99"/>
      <c r="N409" s="43">
        <f t="shared" si="6"/>
        <v>0</v>
      </c>
    </row>
    <row r="410" spans="10:14">
      <c r="J410" s="99"/>
      <c r="K410" s="99"/>
      <c r="L410" s="99"/>
      <c r="M410" s="99"/>
      <c r="N410" s="43">
        <f t="shared" si="6"/>
        <v>0</v>
      </c>
    </row>
    <row r="411" spans="10:14">
      <c r="J411" s="99"/>
      <c r="K411" s="99"/>
      <c r="L411" s="99"/>
      <c r="M411" s="99"/>
      <c r="N411" s="43">
        <f t="shared" si="6"/>
        <v>0</v>
      </c>
    </row>
    <row r="412" spans="10:14">
      <c r="J412" s="99"/>
      <c r="K412" s="99"/>
      <c r="L412" s="99"/>
      <c r="M412" s="99"/>
      <c r="N412" s="43">
        <f t="shared" si="6"/>
        <v>0</v>
      </c>
    </row>
    <row r="413" spans="10:14">
      <c r="J413" s="99"/>
      <c r="K413" s="99"/>
      <c r="L413" s="99"/>
      <c r="M413" s="99"/>
      <c r="N413" s="43">
        <f t="shared" si="6"/>
        <v>0</v>
      </c>
    </row>
    <row r="414" spans="10:14">
      <c r="J414" s="99"/>
      <c r="K414" s="99"/>
      <c r="L414" s="99"/>
      <c r="M414" s="99"/>
      <c r="N414" s="43">
        <f t="shared" si="6"/>
        <v>0</v>
      </c>
    </row>
    <row r="415" spans="10:14">
      <c r="J415" s="99"/>
      <c r="K415" s="99"/>
      <c r="L415" s="99"/>
      <c r="M415" s="99"/>
      <c r="N415" s="43">
        <f t="shared" si="6"/>
        <v>0</v>
      </c>
    </row>
    <row r="416" spans="10:14">
      <c r="J416" s="99"/>
      <c r="K416" s="99"/>
      <c r="L416" s="99"/>
      <c r="M416" s="99"/>
      <c r="N416" s="43">
        <f t="shared" si="6"/>
        <v>0</v>
      </c>
    </row>
    <row r="417" spans="10:14">
      <c r="J417" s="99"/>
      <c r="K417" s="99"/>
      <c r="L417" s="99"/>
      <c r="M417" s="99"/>
      <c r="N417" s="43">
        <f t="shared" si="6"/>
        <v>0</v>
      </c>
    </row>
    <row r="418" spans="10:14">
      <c r="J418" s="99"/>
      <c r="K418" s="99"/>
      <c r="L418" s="99"/>
      <c r="M418" s="99"/>
      <c r="N418" s="43">
        <f t="shared" si="6"/>
        <v>0</v>
      </c>
    </row>
    <row r="419" spans="10:14">
      <c r="J419" s="99"/>
      <c r="K419" s="99"/>
      <c r="L419" s="99"/>
      <c r="M419" s="99"/>
      <c r="N419" s="43">
        <f t="shared" si="6"/>
        <v>0</v>
      </c>
    </row>
    <row r="420" spans="10:14">
      <c r="J420" s="99"/>
      <c r="K420" s="99"/>
      <c r="L420" s="99"/>
      <c r="M420" s="99"/>
      <c r="N420" s="43">
        <f t="shared" si="6"/>
        <v>0</v>
      </c>
    </row>
    <row r="421" spans="10:14">
      <c r="J421" s="99"/>
      <c r="K421" s="99"/>
      <c r="L421" s="99"/>
      <c r="M421" s="99"/>
      <c r="N421" s="43">
        <f t="shared" si="6"/>
        <v>0</v>
      </c>
    </row>
    <row r="422" spans="10:14">
      <c r="J422" s="99"/>
      <c r="K422" s="99"/>
      <c r="L422" s="99"/>
      <c r="M422" s="99"/>
      <c r="N422" s="43">
        <f t="shared" si="6"/>
        <v>0</v>
      </c>
    </row>
    <row r="423" spans="10:14">
      <c r="J423" s="99"/>
      <c r="K423" s="99"/>
      <c r="L423" s="99"/>
      <c r="M423" s="99"/>
      <c r="N423" s="43">
        <f t="shared" si="6"/>
        <v>0</v>
      </c>
    </row>
    <row r="424" spans="10:14">
      <c r="J424" s="99"/>
      <c r="K424" s="99"/>
      <c r="L424" s="99"/>
      <c r="M424" s="99"/>
      <c r="N424" s="43">
        <f t="shared" si="6"/>
        <v>0</v>
      </c>
    </row>
    <row r="425" spans="10:14">
      <c r="J425" s="99"/>
      <c r="K425" s="99"/>
      <c r="L425" s="99"/>
      <c r="M425" s="99"/>
      <c r="N425" s="43">
        <f t="shared" si="6"/>
        <v>0</v>
      </c>
    </row>
    <row r="426" spans="10:14">
      <c r="J426" s="99"/>
      <c r="K426" s="99"/>
      <c r="L426" s="99"/>
      <c r="M426" s="99"/>
      <c r="N426" s="43">
        <f t="shared" si="6"/>
        <v>0</v>
      </c>
    </row>
    <row r="427" spans="10:14">
      <c r="J427" s="99"/>
      <c r="K427" s="99"/>
      <c r="L427" s="99"/>
      <c r="M427" s="99"/>
      <c r="N427" s="43">
        <f t="shared" si="6"/>
        <v>0</v>
      </c>
    </row>
    <row r="428" spans="10:14">
      <c r="J428" s="99"/>
      <c r="K428" s="99"/>
      <c r="L428" s="99"/>
      <c r="M428" s="99"/>
      <c r="N428" s="43">
        <f t="shared" si="6"/>
        <v>0</v>
      </c>
    </row>
    <row r="429" spans="10:14" ht="1.5" customHeight="1">
      <c r="J429" s="99"/>
      <c r="K429" s="99"/>
      <c r="L429" s="99"/>
      <c r="M429" s="99"/>
      <c r="N429" s="43">
        <f t="shared" si="6"/>
        <v>0</v>
      </c>
    </row>
    <row r="430" spans="10:14" ht="1.5" customHeight="1">
      <c r="J430" s="99"/>
      <c r="K430" s="99"/>
      <c r="L430" s="99"/>
      <c r="M430" s="99"/>
      <c r="N430" s="43">
        <f t="shared" si="6"/>
        <v>0</v>
      </c>
    </row>
    <row r="431" spans="10:14" ht="1.5" customHeight="1">
      <c r="J431" s="99"/>
      <c r="K431" s="99"/>
      <c r="L431" s="99"/>
      <c r="M431" s="99"/>
      <c r="N431" s="43">
        <f t="shared" si="6"/>
        <v>0</v>
      </c>
    </row>
    <row r="432" spans="10:14" ht="1.5" customHeight="1">
      <c r="J432" s="99"/>
      <c r="K432" s="99"/>
      <c r="L432" s="99"/>
      <c r="M432" s="99"/>
      <c r="N432" s="43">
        <f t="shared" si="6"/>
        <v>0</v>
      </c>
    </row>
    <row r="433" spans="10:14" ht="1.5" customHeight="1">
      <c r="J433" s="99"/>
      <c r="K433" s="99"/>
      <c r="L433" s="99"/>
      <c r="M433" s="99"/>
      <c r="N433" s="43">
        <f t="shared" si="6"/>
        <v>0</v>
      </c>
    </row>
    <row r="434" spans="10:14" ht="1.5" customHeight="1">
      <c r="J434" s="99"/>
      <c r="K434" s="99"/>
      <c r="L434" s="99"/>
      <c r="M434" s="99"/>
      <c r="N434" s="43">
        <f t="shared" si="6"/>
        <v>0</v>
      </c>
    </row>
    <row r="435" spans="10:14" ht="1.5" customHeight="1">
      <c r="J435" s="99"/>
      <c r="K435" s="99"/>
      <c r="L435" s="99"/>
      <c r="M435" s="99"/>
      <c r="N435" s="43">
        <f t="shared" si="6"/>
        <v>0</v>
      </c>
    </row>
    <row r="436" spans="10:14" ht="1.5" customHeight="1">
      <c r="J436" s="99"/>
      <c r="K436" s="99"/>
      <c r="L436" s="99"/>
      <c r="M436" s="99"/>
      <c r="N436" s="43">
        <f t="shared" si="6"/>
        <v>0</v>
      </c>
    </row>
    <row r="437" spans="10:14" ht="1.5" customHeight="1">
      <c r="J437" s="99"/>
      <c r="K437" s="99"/>
      <c r="L437" s="99"/>
      <c r="M437" s="99"/>
      <c r="N437" s="43">
        <f t="shared" si="6"/>
        <v>0</v>
      </c>
    </row>
    <row r="438" spans="10:14" ht="1.5" customHeight="1">
      <c r="J438" s="99"/>
      <c r="K438" s="99"/>
      <c r="L438" s="99"/>
      <c r="M438" s="99"/>
      <c r="N438" s="43">
        <f t="shared" si="6"/>
        <v>0</v>
      </c>
    </row>
    <row r="439" spans="10:14" ht="1.5" customHeight="1">
      <c r="J439" s="99"/>
      <c r="K439" s="99"/>
      <c r="L439" s="99"/>
      <c r="M439" s="99"/>
      <c r="N439" s="43">
        <f t="shared" si="6"/>
        <v>0</v>
      </c>
    </row>
    <row r="440" spans="10:14" ht="1.5" customHeight="1">
      <c r="J440" s="99"/>
      <c r="K440" s="99"/>
      <c r="L440" s="99"/>
      <c r="M440" s="99"/>
      <c r="N440" s="43">
        <f t="shared" si="6"/>
        <v>0</v>
      </c>
    </row>
    <row r="441" spans="10:14" ht="1.5" customHeight="1">
      <c r="J441" s="99"/>
      <c r="K441" s="99"/>
      <c r="L441" s="99"/>
      <c r="M441" s="99"/>
      <c r="N441" s="43">
        <f t="shared" si="6"/>
        <v>0</v>
      </c>
    </row>
    <row r="442" spans="10:14" ht="1.5" customHeight="1">
      <c r="J442" s="99"/>
      <c r="K442" s="99"/>
      <c r="L442" s="99"/>
      <c r="M442" s="99"/>
      <c r="N442" s="43">
        <f t="shared" si="6"/>
        <v>0</v>
      </c>
    </row>
    <row r="443" spans="10:14" ht="1.5" customHeight="1">
      <c r="J443" s="99"/>
      <c r="K443" s="99"/>
      <c r="L443" s="99"/>
      <c r="M443" s="99"/>
      <c r="N443" s="43">
        <f t="shared" si="6"/>
        <v>0</v>
      </c>
    </row>
    <row r="444" spans="10:14" ht="1.5" customHeight="1">
      <c r="J444" s="99"/>
      <c r="K444" s="99"/>
      <c r="L444" s="99"/>
      <c r="M444" s="99"/>
      <c r="N444" s="43">
        <f t="shared" si="6"/>
        <v>0</v>
      </c>
    </row>
    <row r="445" spans="10:14" ht="1.5" customHeight="1">
      <c r="J445" s="99"/>
      <c r="K445" s="99"/>
      <c r="L445" s="99"/>
      <c r="M445" s="99"/>
      <c r="N445" s="43">
        <f t="shared" si="6"/>
        <v>0</v>
      </c>
    </row>
    <row r="446" spans="10:14" ht="1.5" customHeight="1">
      <c r="J446" s="99"/>
      <c r="K446" s="99"/>
      <c r="L446" s="99"/>
      <c r="M446" s="99"/>
      <c r="N446" s="43">
        <f t="shared" si="6"/>
        <v>0</v>
      </c>
    </row>
    <row r="447" spans="10:14" ht="1.5" customHeight="1">
      <c r="J447" s="99"/>
      <c r="K447" s="99"/>
      <c r="L447" s="99"/>
      <c r="M447" s="99"/>
      <c r="N447" s="43">
        <f t="shared" si="6"/>
        <v>0</v>
      </c>
    </row>
    <row r="448" spans="10:14" ht="1.5" customHeight="1">
      <c r="J448" s="99"/>
      <c r="K448" s="99"/>
      <c r="L448" s="99"/>
      <c r="M448" s="99"/>
      <c r="N448" s="43">
        <f t="shared" si="6"/>
        <v>0</v>
      </c>
    </row>
    <row r="449" spans="10:14" ht="1.5" customHeight="1">
      <c r="J449" s="99"/>
      <c r="K449" s="99"/>
      <c r="L449" s="99"/>
      <c r="M449" s="99"/>
      <c r="N449" s="43">
        <f t="shared" si="6"/>
        <v>0</v>
      </c>
    </row>
    <row r="450" spans="10:14" ht="1.5" customHeight="1">
      <c r="J450" s="99"/>
      <c r="K450" s="99"/>
      <c r="L450" s="99"/>
      <c r="M450" s="99"/>
      <c r="N450" s="43">
        <f t="shared" si="6"/>
        <v>0</v>
      </c>
    </row>
    <row r="451" spans="10:14" ht="1.5" customHeight="1">
      <c r="J451" s="99"/>
      <c r="K451" s="99"/>
      <c r="L451" s="99"/>
      <c r="M451" s="99"/>
      <c r="N451" s="43">
        <f t="shared" si="6"/>
        <v>0</v>
      </c>
    </row>
    <row r="452" spans="10:14" ht="1.5" customHeight="1">
      <c r="J452" s="99"/>
      <c r="K452" s="99"/>
      <c r="L452" s="99"/>
      <c r="M452" s="99"/>
      <c r="N452" s="43">
        <f t="shared" si="6"/>
        <v>0</v>
      </c>
    </row>
    <row r="453" spans="10:14" ht="1.5" customHeight="1">
      <c r="J453" s="99"/>
      <c r="K453" s="99"/>
      <c r="L453" s="99"/>
      <c r="M453" s="99"/>
      <c r="N453" s="43">
        <f t="shared" si="6"/>
        <v>0</v>
      </c>
    </row>
    <row r="454" spans="10:14" ht="1.5" customHeight="1">
      <c r="J454" s="99"/>
      <c r="K454" s="99"/>
      <c r="L454" s="99"/>
      <c r="M454" s="99"/>
      <c r="N454" s="43">
        <f t="shared" si="6"/>
        <v>0</v>
      </c>
    </row>
    <row r="455" spans="10:14" ht="1.5" customHeight="1">
      <c r="J455" s="99"/>
      <c r="K455" s="99"/>
      <c r="L455" s="99"/>
      <c r="M455" s="99"/>
      <c r="N455" s="43">
        <f t="shared" si="6"/>
        <v>0</v>
      </c>
    </row>
    <row r="456" spans="10:14" ht="1.5" customHeight="1">
      <c r="J456" s="99"/>
      <c r="K456" s="99"/>
      <c r="L456" s="99"/>
      <c r="M456" s="99"/>
      <c r="N456" s="43">
        <f t="shared" si="6"/>
        <v>0</v>
      </c>
    </row>
    <row r="457" spans="10:14" ht="1.5" customHeight="1">
      <c r="J457" s="99"/>
      <c r="K457" s="99"/>
      <c r="L457" s="99"/>
      <c r="M457" s="99"/>
      <c r="N457" s="43">
        <f t="shared" si="6"/>
        <v>0</v>
      </c>
    </row>
    <row r="458" spans="10:14" ht="1.5" customHeight="1">
      <c r="J458" s="99"/>
      <c r="K458" s="99"/>
      <c r="L458" s="99"/>
      <c r="M458" s="99"/>
      <c r="N458" s="43">
        <f t="shared" si="6"/>
        <v>0</v>
      </c>
    </row>
    <row r="459" spans="10:14" ht="1.5" customHeight="1">
      <c r="J459" s="99"/>
      <c r="K459" s="99"/>
      <c r="L459" s="99"/>
      <c r="M459" s="99"/>
      <c r="N459" s="43">
        <f t="shared" ref="N459:N522" si="7">IF($L$4=$C$10,C459,IF(D459="","",B459))</f>
        <v>0</v>
      </c>
    </row>
    <row r="460" spans="10:14" ht="1.5" customHeight="1">
      <c r="J460" s="99"/>
      <c r="K460" s="99"/>
      <c r="L460" s="99"/>
      <c r="M460" s="99"/>
      <c r="N460" s="43">
        <f t="shared" si="7"/>
        <v>0</v>
      </c>
    </row>
    <row r="461" spans="10:14" ht="1.5" customHeight="1">
      <c r="J461" s="99"/>
      <c r="K461" s="99"/>
      <c r="L461" s="99"/>
      <c r="M461" s="99"/>
      <c r="N461" s="43">
        <f t="shared" si="7"/>
        <v>0</v>
      </c>
    </row>
    <row r="462" spans="10:14" ht="1.5" customHeight="1">
      <c r="J462" s="99"/>
      <c r="K462" s="99"/>
      <c r="L462" s="99"/>
      <c r="M462" s="99"/>
      <c r="N462" s="43">
        <f t="shared" si="7"/>
        <v>0</v>
      </c>
    </row>
    <row r="463" spans="10:14" ht="1.5" customHeight="1">
      <c r="J463" s="99"/>
      <c r="K463" s="99"/>
      <c r="L463" s="99"/>
      <c r="M463" s="99"/>
      <c r="N463" s="43">
        <f t="shared" si="7"/>
        <v>0</v>
      </c>
    </row>
    <row r="464" spans="10:14" ht="1.5" customHeight="1">
      <c r="J464" s="99"/>
      <c r="K464" s="99"/>
      <c r="L464" s="99"/>
      <c r="M464" s="99"/>
      <c r="N464" s="43">
        <f t="shared" si="7"/>
        <v>0</v>
      </c>
    </row>
    <row r="465" spans="10:14" ht="1.5" customHeight="1">
      <c r="J465" s="99"/>
      <c r="K465" s="99"/>
      <c r="L465" s="99"/>
      <c r="M465" s="99"/>
      <c r="N465" s="43">
        <f t="shared" si="7"/>
        <v>0</v>
      </c>
    </row>
    <row r="466" spans="10:14" ht="1.5" customHeight="1">
      <c r="J466" s="99"/>
      <c r="K466" s="99"/>
      <c r="L466" s="99"/>
      <c r="M466" s="99"/>
      <c r="N466" s="43">
        <f t="shared" si="7"/>
        <v>0</v>
      </c>
    </row>
    <row r="467" spans="10:14" ht="1.5" customHeight="1">
      <c r="J467" s="99"/>
      <c r="K467" s="99"/>
      <c r="L467" s="99"/>
      <c r="M467" s="99"/>
      <c r="N467" s="43">
        <f t="shared" si="7"/>
        <v>0</v>
      </c>
    </row>
    <row r="468" spans="10:14" ht="1.5" customHeight="1">
      <c r="J468" s="99"/>
      <c r="K468" s="99"/>
      <c r="L468" s="99"/>
      <c r="M468" s="99"/>
      <c r="N468" s="43">
        <f t="shared" si="7"/>
        <v>0</v>
      </c>
    </row>
    <row r="469" spans="10:14" ht="1.5" customHeight="1">
      <c r="J469" s="99"/>
      <c r="K469" s="99"/>
      <c r="L469" s="99"/>
      <c r="M469" s="99"/>
      <c r="N469" s="43">
        <f t="shared" si="7"/>
        <v>0</v>
      </c>
    </row>
    <row r="470" spans="10:14" ht="1.5" customHeight="1">
      <c r="J470" s="99"/>
      <c r="K470" s="99"/>
      <c r="L470" s="99"/>
      <c r="M470" s="99"/>
      <c r="N470" s="43">
        <f t="shared" si="7"/>
        <v>0</v>
      </c>
    </row>
    <row r="471" spans="10:14" ht="1.5" customHeight="1">
      <c r="J471" s="99"/>
      <c r="K471" s="99"/>
      <c r="L471" s="99"/>
      <c r="M471" s="99"/>
      <c r="N471" s="43">
        <f t="shared" si="7"/>
        <v>0</v>
      </c>
    </row>
    <row r="472" spans="10:14" ht="1.5" customHeight="1">
      <c r="J472" s="99"/>
      <c r="K472" s="99"/>
      <c r="L472" s="99"/>
      <c r="M472" s="99"/>
      <c r="N472" s="43">
        <f t="shared" si="7"/>
        <v>0</v>
      </c>
    </row>
    <row r="473" spans="10:14" ht="1.5" customHeight="1">
      <c r="J473" s="99"/>
      <c r="K473" s="99"/>
      <c r="L473" s="99"/>
      <c r="M473" s="99"/>
      <c r="N473" s="43">
        <f t="shared" si="7"/>
        <v>0</v>
      </c>
    </row>
    <row r="474" spans="10:14" ht="1.5" customHeight="1">
      <c r="J474" s="99"/>
      <c r="K474" s="99"/>
      <c r="L474" s="99"/>
      <c r="M474" s="99"/>
      <c r="N474" s="43">
        <f t="shared" si="7"/>
        <v>0</v>
      </c>
    </row>
    <row r="475" spans="10:14" ht="1.5" customHeight="1">
      <c r="J475" s="99"/>
      <c r="K475" s="99"/>
      <c r="L475" s="99"/>
      <c r="M475" s="99"/>
      <c r="N475" s="43">
        <f t="shared" si="7"/>
        <v>0</v>
      </c>
    </row>
    <row r="476" spans="10:14" ht="1.5" customHeight="1">
      <c r="J476" s="99"/>
      <c r="K476" s="99"/>
      <c r="L476" s="99"/>
      <c r="M476" s="99"/>
      <c r="N476" s="43">
        <f t="shared" si="7"/>
        <v>0</v>
      </c>
    </row>
    <row r="477" spans="10:14" ht="1.5" customHeight="1">
      <c r="J477" s="99"/>
      <c r="K477" s="99"/>
      <c r="L477" s="99"/>
      <c r="M477" s="99"/>
      <c r="N477" s="43">
        <f t="shared" si="7"/>
        <v>0</v>
      </c>
    </row>
    <row r="478" spans="10:14" ht="1.5" customHeight="1">
      <c r="J478" s="99"/>
      <c r="K478" s="99"/>
      <c r="L478" s="99"/>
      <c r="M478" s="99"/>
      <c r="N478" s="43">
        <f t="shared" si="7"/>
        <v>0</v>
      </c>
    </row>
    <row r="479" spans="10:14" ht="1.5" customHeight="1">
      <c r="J479" s="99"/>
      <c r="K479" s="99"/>
      <c r="L479" s="99"/>
      <c r="M479" s="99"/>
      <c r="N479" s="43">
        <f t="shared" si="7"/>
        <v>0</v>
      </c>
    </row>
    <row r="480" spans="10:14" ht="1.5" customHeight="1">
      <c r="J480" s="99"/>
      <c r="K480" s="99"/>
      <c r="L480" s="99"/>
      <c r="M480" s="99"/>
      <c r="N480" s="43">
        <f t="shared" si="7"/>
        <v>0</v>
      </c>
    </row>
    <row r="481" spans="10:14" ht="1.5" customHeight="1">
      <c r="J481" s="99"/>
      <c r="K481" s="99"/>
      <c r="L481" s="99"/>
      <c r="M481" s="99"/>
      <c r="N481" s="43">
        <f t="shared" si="7"/>
        <v>0</v>
      </c>
    </row>
    <row r="482" spans="10:14" ht="1.5" customHeight="1">
      <c r="J482" s="99"/>
      <c r="K482" s="99"/>
      <c r="L482" s="99"/>
      <c r="M482" s="99"/>
      <c r="N482" s="43">
        <f t="shared" si="7"/>
        <v>0</v>
      </c>
    </row>
    <row r="483" spans="10:14" ht="1.5" customHeight="1">
      <c r="J483" s="99"/>
      <c r="K483" s="99"/>
      <c r="L483" s="99"/>
      <c r="M483" s="99"/>
      <c r="N483" s="43">
        <f t="shared" si="7"/>
        <v>0</v>
      </c>
    </row>
    <row r="484" spans="10:14" ht="1.5" customHeight="1">
      <c r="J484" s="99"/>
      <c r="K484" s="99"/>
      <c r="L484" s="99"/>
      <c r="M484" s="99"/>
      <c r="N484" s="43">
        <f t="shared" si="7"/>
        <v>0</v>
      </c>
    </row>
    <row r="485" spans="10:14" ht="1.5" customHeight="1">
      <c r="J485" s="99"/>
      <c r="K485" s="99"/>
      <c r="L485" s="99"/>
      <c r="M485" s="99"/>
      <c r="N485" s="43">
        <f t="shared" si="7"/>
        <v>0</v>
      </c>
    </row>
    <row r="486" spans="10:14" ht="1.5" customHeight="1">
      <c r="J486" s="99"/>
      <c r="K486" s="99"/>
      <c r="L486" s="99"/>
      <c r="M486" s="99"/>
      <c r="N486" s="43">
        <f t="shared" si="7"/>
        <v>0</v>
      </c>
    </row>
    <row r="487" spans="10:14" ht="1.5" customHeight="1">
      <c r="J487" s="99"/>
      <c r="K487" s="99"/>
      <c r="L487" s="99"/>
      <c r="M487" s="99"/>
      <c r="N487" s="43">
        <f t="shared" si="7"/>
        <v>0</v>
      </c>
    </row>
    <row r="488" spans="10:14" ht="1.5" customHeight="1">
      <c r="J488" s="99"/>
      <c r="K488" s="99"/>
      <c r="L488" s="99"/>
      <c r="M488" s="99"/>
      <c r="N488" s="43">
        <f t="shared" si="7"/>
        <v>0</v>
      </c>
    </row>
    <row r="489" spans="10:14" ht="1.5" customHeight="1">
      <c r="J489" s="99"/>
      <c r="K489" s="99"/>
      <c r="L489" s="99"/>
      <c r="M489" s="99"/>
      <c r="N489" s="43">
        <f t="shared" si="7"/>
        <v>0</v>
      </c>
    </row>
    <row r="490" spans="10:14" ht="1.5" customHeight="1">
      <c r="J490" s="99"/>
      <c r="K490" s="99"/>
      <c r="L490" s="99"/>
      <c r="M490" s="99"/>
      <c r="N490" s="43">
        <f t="shared" si="7"/>
        <v>0</v>
      </c>
    </row>
    <row r="491" spans="10:14" ht="1.5" customHeight="1">
      <c r="J491" s="99"/>
      <c r="K491" s="99"/>
      <c r="L491" s="99"/>
      <c r="M491" s="99"/>
      <c r="N491" s="43">
        <f t="shared" si="7"/>
        <v>0</v>
      </c>
    </row>
    <row r="492" spans="10:14" ht="1.5" customHeight="1">
      <c r="J492" s="99"/>
      <c r="K492" s="99"/>
      <c r="L492" s="99"/>
      <c r="M492" s="99"/>
      <c r="N492" s="43">
        <f t="shared" si="7"/>
        <v>0</v>
      </c>
    </row>
    <row r="493" spans="10:14" ht="1.5" customHeight="1">
      <c r="J493" s="99"/>
      <c r="K493" s="99"/>
      <c r="L493" s="99"/>
      <c r="M493" s="99"/>
      <c r="N493" s="43">
        <f t="shared" si="7"/>
        <v>0</v>
      </c>
    </row>
    <row r="494" spans="10:14" ht="1.5" customHeight="1">
      <c r="J494" s="99"/>
      <c r="K494" s="99"/>
      <c r="L494" s="99"/>
      <c r="M494" s="99"/>
      <c r="N494" s="43">
        <f t="shared" si="7"/>
        <v>0</v>
      </c>
    </row>
    <row r="495" spans="10:14" ht="1.5" customHeight="1">
      <c r="J495" s="99"/>
      <c r="K495" s="99"/>
      <c r="L495" s="99"/>
      <c r="M495" s="99"/>
      <c r="N495" s="43">
        <f t="shared" si="7"/>
        <v>0</v>
      </c>
    </row>
    <row r="496" spans="10:14" ht="1.5" customHeight="1">
      <c r="J496" s="99"/>
      <c r="K496" s="99"/>
      <c r="L496" s="99"/>
      <c r="M496" s="99"/>
      <c r="N496" s="43">
        <f t="shared" si="7"/>
        <v>0</v>
      </c>
    </row>
    <row r="497" spans="10:14" ht="1.5" customHeight="1">
      <c r="J497" s="99"/>
      <c r="K497" s="99"/>
      <c r="L497" s="99"/>
      <c r="M497" s="99"/>
      <c r="N497" s="43">
        <f t="shared" si="7"/>
        <v>0</v>
      </c>
    </row>
    <row r="498" spans="10:14" ht="1.5" customHeight="1">
      <c r="J498" s="99"/>
      <c r="K498" s="99"/>
      <c r="L498" s="99"/>
      <c r="M498" s="99"/>
      <c r="N498" s="43">
        <f t="shared" si="7"/>
        <v>0</v>
      </c>
    </row>
    <row r="499" spans="10:14" ht="1.5" customHeight="1">
      <c r="J499" s="99"/>
      <c r="K499" s="99"/>
      <c r="L499" s="99"/>
      <c r="M499" s="99"/>
      <c r="N499" s="43">
        <f t="shared" si="7"/>
        <v>0</v>
      </c>
    </row>
    <row r="500" spans="10:14" ht="1.5" customHeight="1">
      <c r="J500" s="99"/>
      <c r="K500" s="99"/>
      <c r="L500" s="99"/>
      <c r="M500" s="99"/>
      <c r="N500" s="43">
        <f t="shared" si="7"/>
        <v>0</v>
      </c>
    </row>
    <row r="501" spans="10:14" ht="1.5" customHeight="1">
      <c r="J501" s="99"/>
      <c r="K501" s="99"/>
      <c r="L501" s="99"/>
      <c r="M501" s="99"/>
      <c r="N501" s="43">
        <f t="shared" si="7"/>
        <v>0</v>
      </c>
    </row>
    <row r="502" spans="10:14" ht="1.5" customHeight="1">
      <c r="J502" s="99"/>
      <c r="K502" s="99"/>
      <c r="L502" s="99"/>
      <c r="M502" s="99"/>
      <c r="N502" s="43">
        <f t="shared" si="7"/>
        <v>0</v>
      </c>
    </row>
    <row r="503" spans="10:14" ht="1.5" customHeight="1">
      <c r="J503" s="99"/>
      <c r="K503" s="99"/>
      <c r="L503" s="99"/>
      <c r="M503" s="99"/>
      <c r="N503" s="43">
        <f t="shared" si="7"/>
        <v>0</v>
      </c>
    </row>
    <row r="504" spans="10:14" ht="1.5" customHeight="1">
      <c r="J504" s="99"/>
      <c r="K504" s="99"/>
      <c r="L504" s="99"/>
      <c r="M504" s="99"/>
      <c r="N504" s="43">
        <f t="shared" si="7"/>
        <v>0</v>
      </c>
    </row>
    <row r="505" spans="10:14" ht="1.5" customHeight="1">
      <c r="J505" s="99"/>
      <c r="K505" s="99"/>
      <c r="L505" s="99"/>
      <c r="M505" s="99"/>
      <c r="N505" s="43">
        <f t="shared" si="7"/>
        <v>0</v>
      </c>
    </row>
    <row r="506" spans="10:14" ht="1.5" customHeight="1">
      <c r="J506" s="99"/>
      <c r="K506" s="99"/>
      <c r="L506" s="99"/>
      <c r="M506" s="99"/>
      <c r="N506" s="43">
        <f t="shared" si="7"/>
        <v>0</v>
      </c>
    </row>
    <row r="507" spans="10:14" ht="1.5" customHeight="1">
      <c r="J507" s="99"/>
      <c r="K507" s="99"/>
      <c r="L507" s="99"/>
      <c r="M507" s="99"/>
      <c r="N507" s="43">
        <f t="shared" si="7"/>
        <v>0</v>
      </c>
    </row>
    <row r="508" spans="10:14" ht="1.5" customHeight="1">
      <c r="J508" s="99"/>
      <c r="K508" s="99"/>
      <c r="L508" s="99"/>
      <c r="M508" s="99"/>
      <c r="N508" s="43">
        <f t="shared" si="7"/>
        <v>0</v>
      </c>
    </row>
    <row r="509" spans="10:14" ht="1.5" customHeight="1">
      <c r="J509" s="99"/>
      <c r="K509" s="99"/>
      <c r="L509" s="99"/>
      <c r="M509" s="99"/>
      <c r="N509" s="43">
        <f t="shared" si="7"/>
        <v>0</v>
      </c>
    </row>
    <row r="510" spans="10:14" ht="1.5" customHeight="1">
      <c r="J510" s="99"/>
      <c r="K510" s="99"/>
      <c r="L510" s="99"/>
      <c r="M510" s="99"/>
      <c r="N510" s="43">
        <f t="shared" si="7"/>
        <v>0</v>
      </c>
    </row>
    <row r="511" spans="10:14" ht="1.5" customHeight="1">
      <c r="J511" s="99"/>
      <c r="K511" s="99"/>
      <c r="L511" s="99"/>
      <c r="M511" s="99"/>
      <c r="N511" s="43">
        <f t="shared" si="7"/>
        <v>0</v>
      </c>
    </row>
    <row r="512" spans="10:14" ht="1.5" customHeight="1">
      <c r="J512" s="99"/>
      <c r="K512" s="99"/>
      <c r="L512" s="99"/>
      <c r="M512" s="99"/>
      <c r="N512" s="43">
        <f t="shared" si="7"/>
        <v>0</v>
      </c>
    </row>
    <row r="513" spans="10:14" ht="1.5" customHeight="1">
      <c r="J513" s="99"/>
      <c r="K513" s="99"/>
      <c r="L513" s="99"/>
      <c r="M513" s="99"/>
      <c r="N513" s="43">
        <f t="shared" si="7"/>
        <v>0</v>
      </c>
    </row>
    <row r="514" spans="10:14" ht="1.5" customHeight="1">
      <c r="J514" s="99"/>
      <c r="K514" s="99"/>
      <c r="L514" s="99"/>
      <c r="M514" s="99"/>
      <c r="N514" s="43">
        <f t="shared" si="7"/>
        <v>0</v>
      </c>
    </row>
    <row r="515" spans="10:14" ht="1.5" customHeight="1">
      <c r="J515" s="99"/>
      <c r="K515" s="99"/>
      <c r="L515" s="99"/>
      <c r="M515" s="99"/>
      <c r="N515" s="43">
        <f t="shared" si="7"/>
        <v>0</v>
      </c>
    </row>
    <row r="516" spans="10:14" ht="1.5" customHeight="1">
      <c r="J516" s="99"/>
      <c r="K516" s="99"/>
      <c r="L516" s="99"/>
      <c r="M516" s="99"/>
      <c r="N516" s="43">
        <f t="shared" si="7"/>
        <v>0</v>
      </c>
    </row>
    <row r="517" spans="10:14" ht="1.5" customHeight="1">
      <c r="J517" s="99"/>
      <c r="K517" s="99"/>
      <c r="L517" s="99"/>
      <c r="M517" s="99"/>
      <c r="N517" s="43">
        <f t="shared" si="7"/>
        <v>0</v>
      </c>
    </row>
    <row r="518" spans="10:14" ht="1.5" customHeight="1">
      <c r="J518" s="99"/>
      <c r="K518" s="99"/>
      <c r="L518" s="99"/>
      <c r="M518" s="99"/>
      <c r="N518" s="43">
        <f t="shared" si="7"/>
        <v>0</v>
      </c>
    </row>
    <row r="519" spans="10:14" ht="1.5" customHeight="1">
      <c r="J519" s="99"/>
      <c r="K519" s="99"/>
      <c r="L519" s="99"/>
      <c r="M519" s="99"/>
      <c r="N519" s="43">
        <f t="shared" si="7"/>
        <v>0</v>
      </c>
    </row>
    <row r="520" spans="10:14" ht="1.5" customHeight="1">
      <c r="J520" s="99"/>
      <c r="K520" s="99"/>
      <c r="L520" s="99"/>
      <c r="M520" s="99"/>
      <c r="N520" s="43">
        <f t="shared" si="7"/>
        <v>0</v>
      </c>
    </row>
    <row r="521" spans="10:14" ht="1.5" customHeight="1">
      <c r="J521" s="99"/>
      <c r="K521" s="99"/>
      <c r="L521" s="99"/>
      <c r="M521" s="99"/>
      <c r="N521" s="43">
        <f t="shared" si="7"/>
        <v>0</v>
      </c>
    </row>
    <row r="522" spans="10:14" ht="1.5" customHeight="1">
      <c r="J522" s="99"/>
      <c r="K522" s="99"/>
      <c r="L522" s="99"/>
      <c r="M522" s="99"/>
      <c r="N522" s="43">
        <f t="shared" si="7"/>
        <v>0</v>
      </c>
    </row>
    <row r="523" spans="10:14" ht="1.5" customHeight="1">
      <c r="J523" s="99"/>
      <c r="K523" s="99"/>
      <c r="L523" s="99"/>
      <c r="M523" s="99"/>
      <c r="N523" s="43">
        <f t="shared" ref="N523:N586" si="8">IF($L$4=$C$10,C523,IF(D523="","",B523))</f>
        <v>0</v>
      </c>
    </row>
    <row r="524" spans="10:14" ht="1.5" customHeight="1">
      <c r="J524" s="99"/>
      <c r="K524" s="99"/>
      <c r="L524" s="99"/>
      <c r="M524" s="99"/>
      <c r="N524" s="43">
        <f t="shared" si="8"/>
        <v>0</v>
      </c>
    </row>
    <row r="525" spans="10:14" ht="1.5" customHeight="1">
      <c r="J525" s="99"/>
      <c r="K525" s="99"/>
      <c r="L525" s="99"/>
      <c r="M525" s="99"/>
      <c r="N525" s="43">
        <f t="shared" si="8"/>
        <v>0</v>
      </c>
    </row>
    <row r="526" spans="10:14" ht="1.5" customHeight="1">
      <c r="J526" s="99"/>
      <c r="K526" s="99"/>
      <c r="L526" s="99"/>
      <c r="M526" s="99"/>
      <c r="N526" s="43">
        <f t="shared" si="8"/>
        <v>0</v>
      </c>
    </row>
    <row r="527" spans="10:14" ht="1.5" customHeight="1">
      <c r="J527" s="99"/>
      <c r="K527" s="99"/>
      <c r="L527" s="99"/>
      <c r="M527" s="99"/>
      <c r="N527" s="43">
        <f t="shared" si="8"/>
        <v>0</v>
      </c>
    </row>
    <row r="528" spans="10:14" ht="1.5" customHeight="1">
      <c r="J528" s="99"/>
      <c r="K528" s="99"/>
      <c r="L528" s="99"/>
      <c r="M528" s="99"/>
      <c r="N528" s="43">
        <f t="shared" si="8"/>
        <v>0</v>
      </c>
    </row>
    <row r="529" spans="10:14" ht="1.5" customHeight="1">
      <c r="J529" s="99"/>
      <c r="K529" s="99"/>
      <c r="L529" s="99"/>
      <c r="M529" s="99"/>
      <c r="N529" s="43">
        <f t="shared" si="8"/>
        <v>0</v>
      </c>
    </row>
    <row r="530" spans="10:14" ht="1.5" customHeight="1">
      <c r="J530" s="99"/>
      <c r="K530" s="99"/>
      <c r="L530" s="99"/>
      <c r="M530" s="99"/>
      <c r="N530" s="43">
        <f t="shared" si="8"/>
        <v>0</v>
      </c>
    </row>
    <row r="531" spans="10:14" ht="1.5" customHeight="1">
      <c r="J531" s="99"/>
      <c r="K531" s="99"/>
      <c r="L531" s="99"/>
      <c r="M531" s="99"/>
      <c r="N531" s="43">
        <f t="shared" si="8"/>
        <v>0</v>
      </c>
    </row>
    <row r="532" spans="10:14" ht="1.5" customHeight="1">
      <c r="J532" s="99"/>
      <c r="K532" s="99"/>
      <c r="L532" s="99"/>
      <c r="M532" s="99"/>
      <c r="N532" s="43">
        <f t="shared" si="8"/>
        <v>0</v>
      </c>
    </row>
    <row r="533" spans="10:14" ht="1.5" customHeight="1">
      <c r="J533" s="99"/>
      <c r="K533" s="99"/>
      <c r="L533" s="99"/>
      <c r="M533" s="99"/>
      <c r="N533" s="43">
        <f t="shared" si="8"/>
        <v>0</v>
      </c>
    </row>
    <row r="534" spans="10:14" ht="1.5" customHeight="1">
      <c r="J534" s="99"/>
      <c r="K534" s="99"/>
      <c r="L534" s="99"/>
      <c r="M534" s="99"/>
      <c r="N534" s="43">
        <f t="shared" si="8"/>
        <v>0</v>
      </c>
    </row>
    <row r="535" spans="10:14" ht="1.5" customHeight="1">
      <c r="J535" s="99"/>
      <c r="K535" s="99"/>
      <c r="L535" s="99"/>
      <c r="M535" s="99"/>
      <c r="N535" s="43">
        <f t="shared" si="8"/>
        <v>0</v>
      </c>
    </row>
    <row r="536" spans="10:14" ht="1.5" customHeight="1">
      <c r="J536" s="99"/>
      <c r="K536" s="99"/>
      <c r="L536" s="99"/>
      <c r="M536" s="99"/>
      <c r="N536" s="43">
        <f t="shared" si="8"/>
        <v>0</v>
      </c>
    </row>
    <row r="537" spans="10:14" ht="1.5" customHeight="1">
      <c r="J537" s="99"/>
      <c r="K537" s="99"/>
      <c r="L537" s="99"/>
      <c r="M537" s="99"/>
      <c r="N537" s="43">
        <f t="shared" si="8"/>
        <v>0</v>
      </c>
    </row>
    <row r="538" spans="10:14" ht="1.5" customHeight="1">
      <c r="J538" s="99"/>
      <c r="K538" s="99"/>
      <c r="L538" s="99"/>
      <c r="M538" s="99"/>
      <c r="N538" s="43">
        <f t="shared" si="8"/>
        <v>0</v>
      </c>
    </row>
    <row r="539" spans="10:14" ht="1.5" customHeight="1">
      <c r="J539" s="99"/>
      <c r="K539" s="99"/>
      <c r="L539" s="99"/>
      <c r="M539" s="99"/>
      <c r="N539" s="43">
        <f t="shared" si="8"/>
        <v>0</v>
      </c>
    </row>
    <row r="540" spans="10:14" ht="1.5" customHeight="1">
      <c r="J540" s="99"/>
      <c r="K540" s="99"/>
      <c r="L540" s="99"/>
      <c r="M540" s="99"/>
      <c r="N540" s="43">
        <f t="shared" si="8"/>
        <v>0</v>
      </c>
    </row>
    <row r="541" spans="10:14" ht="1.5" customHeight="1">
      <c r="J541" s="99"/>
      <c r="K541" s="99"/>
      <c r="L541" s="99"/>
      <c r="M541" s="99"/>
      <c r="N541" s="43">
        <f t="shared" si="8"/>
        <v>0</v>
      </c>
    </row>
    <row r="542" spans="10:14" ht="1.5" customHeight="1">
      <c r="J542" s="99"/>
      <c r="K542" s="99"/>
      <c r="L542" s="99"/>
      <c r="M542" s="99"/>
      <c r="N542" s="43">
        <f t="shared" si="8"/>
        <v>0</v>
      </c>
    </row>
    <row r="543" spans="10:14" ht="1.5" customHeight="1">
      <c r="J543" s="99"/>
      <c r="K543" s="99"/>
      <c r="L543" s="99"/>
      <c r="M543" s="99"/>
      <c r="N543" s="43">
        <f t="shared" si="8"/>
        <v>0</v>
      </c>
    </row>
    <row r="544" spans="10:14" ht="1.5" customHeight="1">
      <c r="J544" s="99"/>
      <c r="K544" s="99"/>
      <c r="L544" s="99"/>
      <c r="M544" s="99"/>
      <c r="N544" s="43">
        <f t="shared" si="8"/>
        <v>0</v>
      </c>
    </row>
    <row r="545" spans="10:14" ht="1.5" customHeight="1">
      <c r="J545" s="99"/>
      <c r="K545" s="99"/>
      <c r="L545" s="99"/>
      <c r="M545" s="99"/>
      <c r="N545" s="43">
        <f t="shared" si="8"/>
        <v>0</v>
      </c>
    </row>
    <row r="546" spans="10:14" ht="1.5" customHeight="1">
      <c r="J546" s="99"/>
      <c r="K546" s="99"/>
      <c r="L546" s="99"/>
      <c r="M546" s="99"/>
      <c r="N546" s="43">
        <f t="shared" si="8"/>
        <v>0</v>
      </c>
    </row>
    <row r="547" spans="10:14" ht="1.5" customHeight="1">
      <c r="J547" s="99"/>
      <c r="K547" s="99"/>
      <c r="L547" s="99"/>
      <c r="M547" s="99"/>
      <c r="N547" s="43">
        <f t="shared" si="8"/>
        <v>0</v>
      </c>
    </row>
    <row r="548" spans="10:14" ht="1.5" customHeight="1">
      <c r="J548" s="99"/>
      <c r="K548" s="99"/>
      <c r="L548" s="99"/>
      <c r="M548" s="99"/>
      <c r="N548" s="43">
        <f t="shared" si="8"/>
        <v>0</v>
      </c>
    </row>
    <row r="549" spans="10:14" ht="1.5" customHeight="1">
      <c r="J549" s="99"/>
      <c r="K549" s="99"/>
      <c r="L549" s="99"/>
      <c r="M549" s="99"/>
      <c r="N549" s="43">
        <f t="shared" si="8"/>
        <v>0</v>
      </c>
    </row>
    <row r="550" spans="10:14" ht="1.5" customHeight="1">
      <c r="J550" s="99"/>
      <c r="K550" s="99"/>
      <c r="L550" s="99"/>
      <c r="M550" s="99"/>
      <c r="N550" s="43">
        <f t="shared" si="8"/>
        <v>0</v>
      </c>
    </row>
    <row r="551" spans="10:14" ht="1.5" customHeight="1">
      <c r="J551" s="99"/>
      <c r="K551" s="99"/>
      <c r="L551" s="99"/>
      <c r="M551" s="99"/>
      <c r="N551" s="43">
        <f t="shared" si="8"/>
        <v>0</v>
      </c>
    </row>
    <row r="552" spans="10:14" ht="1.5" customHeight="1">
      <c r="J552" s="99"/>
      <c r="K552" s="99"/>
      <c r="L552" s="99"/>
      <c r="M552" s="99"/>
      <c r="N552" s="43">
        <f t="shared" si="8"/>
        <v>0</v>
      </c>
    </row>
    <row r="553" spans="10:14" ht="1.5" customHeight="1">
      <c r="J553" s="99"/>
      <c r="K553" s="99"/>
      <c r="L553" s="99"/>
      <c r="M553" s="99"/>
      <c r="N553" s="43">
        <f t="shared" si="8"/>
        <v>0</v>
      </c>
    </row>
    <row r="554" spans="10:14" ht="1.5" customHeight="1">
      <c r="J554" s="99"/>
      <c r="K554" s="99"/>
      <c r="L554" s="99"/>
      <c r="M554" s="99"/>
      <c r="N554" s="43">
        <f t="shared" si="8"/>
        <v>0</v>
      </c>
    </row>
    <row r="555" spans="10:14" ht="1.5" customHeight="1">
      <c r="J555" s="99"/>
      <c r="K555" s="99"/>
      <c r="L555" s="99"/>
      <c r="M555" s="99"/>
      <c r="N555" s="43">
        <f t="shared" si="8"/>
        <v>0</v>
      </c>
    </row>
    <row r="556" spans="10:14" ht="1.5" customHeight="1">
      <c r="J556" s="99"/>
      <c r="K556" s="99"/>
      <c r="L556" s="99"/>
      <c r="M556" s="99"/>
      <c r="N556" s="43">
        <f t="shared" si="8"/>
        <v>0</v>
      </c>
    </row>
    <row r="557" spans="10:14" ht="1.5" customHeight="1">
      <c r="J557" s="99"/>
      <c r="K557" s="99"/>
      <c r="L557" s="99"/>
      <c r="M557" s="99"/>
      <c r="N557" s="43">
        <f t="shared" si="8"/>
        <v>0</v>
      </c>
    </row>
    <row r="558" spans="10:14" ht="1.5" customHeight="1">
      <c r="J558" s="99"/>
      <c r="K558" s="99"/>
      <c r="L558" s="99"/>
      <c r="M558" s="99"/>
      <c r="N558" s="43">
        <f t="shared" si="8"/>
        <v>0</v>
      </c>
    </row>
    <row r="559" spans="10:14" ht="1.5" customHeight="1">
      <c r="J559" s="99"/>
      <c r="K559" s="99"/>
      <c r="L559" s="99"/>
      <c r="M559" s="99"/>
      <c r="N559" s="43">
        <f t="shared" si="8"/>
        <v>0</v>
      </c>
    </row>
    <row r="560" spans="10:14" ht="1.5" customHeight="1">
      <c r="J560" s="99"/>
      <c r="K560" s="99"/>
      <c r="L560" s="99"/>
      <c r="M560" s="99"/>
      <c r="N560" s="43">
        <f t="shared" si="8"/>
        <v>0</v>
      </c>
    </row>
    <row r="561" spans="10:14" ht="1.5" customHeight="1">
      <c r="J561" s="99"/>
      <c r="K561" s="99"/>
      <c r="L561" s="99"/>
      <c r="M561" s="99"/>
      <c r="N561" s="43">
        <f t="shared" si="8"/>
        <v>0</v>
      </c>
    </row>
    <row r="562" spans="10:14" ht="1.5" customHeight="1">
      <c r="J562" s="99"/>
      <c r="K562" s="99"/>
      <c r="L562" s="99"/>
      <c r="M562" s="99"/>
      <c r="N562" s="43">
        <f t="shared" si="8"/>
        <v>0</v>
      </c>
    </row>
    <row r="563" spans="10:14" ht="1.5" customHeight="1">
      <c r="J563" s="99"/>
      <c r="K563" s="99"/>
      <c r="L563" s="99"/>
      <c r="M563" s="99"/>
      <c r="N563" s="43">
        <f t="shared" si="8"/>
        <v>0</v>
      </c>
    </row>
    <row r="564" spans="10:14" ht="1.5" customHeight="1">
      <c r="J564" s="99"/>
      <c r="K564" s="99"/>
      <c r="L564" s="99"/>
      <c r="M564" s="99"/>
      <c r="N564" s="43">
        <f t="shared" si="8"/>
        <v>0</v>
      </c>
    </row>
    <row r="565" spans="10:14" ht="1.5" customHeight="1">
      <c r="J565" s="99"/>
      <c r="K565" s="99"/>
      <c r="L565" s="99"/>
      <c r="M565" s="99"/>
      <c r="N565" s="43">
        <f t="shared" si="8"/>
        <v>0</v>
      </c>
    </row>
    <row r="566" spans="10:14" ht="1.5" customHeight="1">
      <c r="J566" s="99"/>
      <c r="K566" s="99"/>
      <c r="L566" s="99"/>
      <c r="M566" s="99"/>
      <c r="N566" s="43">
        <f t="shared" si="8"/>
        <v>0</v>
      </c>
    </row>
    <row r="567" spans="10:14" ht="1.5" customHeight="1">
      <c r="J567" s="99"/>
      <c r="K567" s="99"/>
      <c r="L567" s="99"/>
      <c r="M567" s="99"/>
      <c r="N567" s="43">
        <f t="shared" si="8"/>
        <v>0</v>
      </c>
    </row>
    <row r="568" spans="10:14" ht="1.5" customHeight="1">
      <c r="J568" s="99"/>
      <c r="K568" s="99"/>
      <c r="L568" s="99"/>
      <c r="M568" s="99"/>
      <c r="N568" s="43">
        <f t="shared" si="8"/>
        <v>0</v>
      </c>
    </row>
    <row r="569" spans="10:14" ht="1.5" customHeight="1">
      <c r="J569" s="99"/>
      <c r="K569" s="99"/>
      <c r="L569" s="99"/>
      <c r="M569" s="99"/>
      <c r="N569" s="43">
        <f t="shared" si="8"/>
        <v>0</v>
      </c>
    </row>
    <row r="570" spans="10:14" ht="1.5" customHeight="1">
      <c r="J570" s="99"/>
      <c r="K570" s="99"/>
      <c r="L570" s="99"/>
      <c r="M570" s="99"/>
      <c r="N570" s="43">
        <f t="shared" si="8"/>
        <v>0</v>
      </c>
    </row>
    <row r="571" spans="10:14" ht="1.5" customHeight="1">
      <c r="J571" s="99"/>
      <c r="K571" s="99"/>
      <c r="L571" s="99"/>
      <c r="M571" s="99"/>
      <c r="N571" s="43">
        <f t="shared" si="8"/>
        <v>0</v>
      </c>
    </row>
    <row r="572" spans="10:14" ht="1.5" customHeight="1">
      <c r="J572" s="99"/>
      <c r="K572" s="99"/>
      <c r="L572" s="99"/>
      <c r="M572" s="99"/>
      <c r="N572" s="43">
        <f t="shared" si="8"/>
        <v>0</v>
      </c>
    </row>
    <row r="573" spans="10:14" ht="1.5" customHeight="1">
      <c r="J573" s="99"/>
      <c r="K573" s="99"/>
      <c r="L573" s="99"/>
      <c r="M573" s="99"/>
      <c r="N573" s="43">
        <f t="shared" si="8"/>
        <v>0</v>
      </c>
    </row>
    <row r="574" spans="10:14" ht="1.5" customHeight="1">
      <c r="J574" s="99"/>
      <c r="K574" s="99"/>
      <c r="L574" s="99"/>
      <c r="M574" s="99"/>
      <c r="N574" s="43">
        <f t="shared" si="8"/>
        <v>0</v>
      </c>
    </row>
    <row r="575" spans="10:14" ht="1.5" customHeight="1">
      <c r="J575" s="99"/>
      <c r="K575" s="99"/>
      <c r="L575" s="99"/>
      <c r="M575" s="99"/>
      <c r="N575" s="43">
        <f t="shared" si="8"/>
        <v>0</v>
      </c>
    </row>
    <row r="576" spans="10:14" ht="1.5" customHeight="1">
      <c r="J576" s="99"/>
      <c r="K576" s="99"/>
      <c r="L576" s="99"/>
      <c r="M576" s="99"/>
      <c r="N576" s="43">
        <f t="shared" si="8"/>
        <v>0</v>
      </c>
    </row>
    <row r="577" spans="10:14" ht="1.5" customHeight="1">
      <c r="J577" s="99"/>
      <c r="K577" s="99"/>
      <c r="L577" s="99"/>
      <c r="M577" s="99"/>
      <c r="N577" s="43">
        <f t="shared" si="8"/>
        <v>0</v>
      </c>
    </row>
    <row r="578" spans="10:14" ht="1.5" customHeight="1">
      <c r="J578" s="99"/>
      <c r="K578" s="99"/>
      <c r="L578" s="99"/>
      <c r="M578" s="99"/>
      <c r="N578" s="43">
        <f t="shared" si="8"/>
        <v>0</v>
      </c>
    </row>
    <row r="579" spans="10:14" ht="1.5" customHeight="1">
      <c r="J579" s="99"/>
      <c r="K579" s="99"/>
      <c r="L579" s="99"/>
      <c r="M579" s="99"/>
      <c r="N579" s="43">
        <f t="shared" si="8"/>
        <v>0</v>
      </c>
    </row>
    <row r="580" spans="10:14" ht="1.5" customHeight="1">
      <c r="J580" s="99"/>
      <c r="K580" s="99"/>
      <c r="L580" s="99"/>
      <c r="M580" s="99"/>
      <c r="N580" s="43">
        <f t="shared" si="8"/>
        <v>0</v>
      </c>
    </row>
    <row r="581" spans="10:14" ht="1.5" customHeight="1">
      <c r="J581" s="99"/>
      <c r="K581" s="99"/>
      <c r="L581" s="99"/>
      <c r="M581" s="99"/>
      <c r="N581" s="43">
        <f t="shared" si="8"/>
        <v>0</v>
      </c>
    </row>
    <row r="582" spans="10:14" ht="1.5" customHeight="1">
      <c r="J582" s="99"/>
      <c r="K582" s="99"/>
      <c r="L582" s="99"/>
      <c r="M582" s="99"/>
      <c r="N582" s="43">
        <f t="shared" si="8"/>
        <v>0</v>
      </c>
    </row>
    <row r="583" spans="10:14" ht="1.5" customHeight="1">
      <c r="J583" s="99"/>
      <c r="K583" s="99"/>
      <c r="L583" s="99"/>
      <c r="M583" s="99"/>
      <c r="N583" s="43">
        <f t="shared" si="8"/>
        <v>0</v>
      </c>
    </row>
    <row r="584" spans="10:14" ht="1.5" customHeight="1">
      <c r="J584" s="99"/>
      <c r="K584" s="99"/>
      <c r="L584" s="99"/>
      <c r="M584" s="99"/>
      <c r="N584" s="43">
        <f t="shared" si="8"/>
        <v>0</v>
      </c>
    </row>
    <row r="585" spans="10:14" ht="1.5" customHeight="1">
      <c r="J585" s="99"/>
      <c r="K585" s="99"/>
      <c r="L585" s="99"/>
      <c r="M585" s="99"/>
      <c r="N585" s="43">
        <f t="shared" si="8"/>
        <v>0</v>
      </c>
    </row>
    <row r="586" spans="10:14" ht="1.5" customHeight="1">
      <c r="J586" s="99"/>
      <c r="K586" s="99"/>
      <c r="L586" s="99"/>
      <c r="M586" s="99"/>
      <c r="N586" s="43">
        <f t="shared" si="8"/>
        <v>0</v>
      </c>
    </row>
    <row r="587" spans="10:14" ht="1.5" customHeight="1">
      <c r="J587" s="99"/>
      <c r="K587" s="99"/>
      <c r="L587" s="99"/>
      <c r="M587" s="99"/>
      <c r="N587" s="43">
        <f t="shared" ref="N587:N650" si="9">IF($L$4=$C$10,C587,IF(D587="","",B587))</f>
        <v>0</v>
      </c>
    </row>
    <row r="588" spans="10:14" ht="1.5" customHeight="1">
      <c r="J588" s="99"/>
      <c r="K588" s="99"/>
      <c r="L588" s="99"/>
      <c r="M588" s="99"/>
      <c r="N588" s="43">
        <f t="shared" si="9"/>
        <v>0</v>
      </c>
    </row>
    <row r="589" spans="10:14" ht="1.5" customHeight="1">
      <c r="J589" s="99"/>
      <c r="K589" s="99"/>
      <c r="L589" s="99"/>
      <c r="M589" s="99"/>
      <c r="N589" s="43">
        <f t="shared" si="9"/>
        <v>0</v>
      </c>
    </row>
    <row r="590" spans="10:14" ht="1.5" customHeight="1">
      <c r="J590" s="99"/>
      <c r="K590" s="99"/>
      <c r="L590" s="99"/>
      <c r="M590" s="99"/>
      <c r="N590" s="43">
        <f t="shared" si="9"/>
        <v>0</v>
      </c>
    </row>
    <row r="591" spans="10:14" ht="1.5" customHeight="1">
      <c r="J591" s="99"/>
      <c r="K591" s="99"/>
      <c r="L591" s="99"/>
      <c r="M591" s="99"/>
      <c r="N591" s="43">
        <f t="shared" si="9"/>
        <v>0</v>
      </c>
    </row>
    <row r="592" spans="10:14" ht="1.5" customHeight="1">
      <c r="J592" s="99"/>
      <c r="K592" s="99"/>
      <c r="L592" s="99"/>
      <c r="M592" s="99"/>
      <c r="N592" s="43">
        <f t="shared" si="9"/>
        <v>0</v>
      </c>
    </row>
    <row r="593" spans="10:14" ht="1.5" customHeight="1">
      <c r="J593" s="99"/>
      <c r="K593" s="99"/>
      <c r="L593" s="99"/>
      <c r="M593" s="99"/>
      <c r="N593" s="43">
        <f t="shared" si="9"/>
        <v>0</v>
      </c>
    </row>
    <row r="594" spans="10:14" ht="1.5" customHeight="1">
      <c r="J594" s="99"/>
      <c r="K594" s="99"/>
      <c r="L594" s="99"/>
      <c r="M594" s="99"/>
      <c r="N594" s="43">
        <f t="shared" si="9"/>
        <v>0</v>
      </c>
    </row>
    <row r="595" spans="10:14" ht="1.5" customHeight="1">
      <c r="J595" s="99"/>
      <c r="K595" s="99"/>
      <c r="L595" s="99"/>
      <c r="M595" s="99"/>
      <c r="N595" s="43">
        <f t="shared" si="9"/>
        <v>0</v>
      </c>
    </row>
    <row r="596" spans="10:14" ht="1.5" customHeight="1">
      <c r="J596" s="99"/>
      <c r="K596" s="99"/>
      <c r="L596" s="99"/>
      <c r="M596" s="99"/>
      <c r="N596" s="43">
        <f t="shared" si="9"/>
        <v>0</v>
      </c>
    </row>
    <row r="597" spans="10:14" ht="1.5" customHeight="1">
      <c r="J597" s="99"/>
      <c r="K597" s="99"/>
      <c r="L597" s="99"/>
      <c r="M597" s="99"/>
      <c r="N597" s="43">
        <f t="shared" si="9"/>
        <v>0</v>
      </c>
    </row>
    <row r="598" spans="10:14" ht="1.5" customHeight="1">
      <c r="J598" s="99"/>
      <c r="K598" s="99"/>
      <c r="L598" s="99"/>
      <c r="M598" s="99"/>
      <c r="N598" s="43">
        <f t="shared" si="9"/>
        <v>0</v>
      </c>
    </row>
    <row r="599" spans="10:14" ht="1.5" customHeight="1">
      <c r="J599" s="99"/>
      <c r="K599" s="99"/>
      <c r="L599" s="99"/>
      <c r="M599" s="99"/>
      <c r="N599" s="43">
        <f t="shared" si="9"/>
        <v>0</v>
      </c>
    </row>
    <row r="600" spans="10:14" ht="1.5" customHeight="1">
      <c r="J600" s="99"/>
      <c r="K600" s="99"/>
      <c r="L600" s="99"/>
      <c r="M600" s="99"/>
      <c r="N600" s="43">
        <f t="shared" si="9"/>
        <v>0</v>
      </c>
    </row>
    <row r="601" spans="10:14" ht="1.5" customHeight="1">
      <c r="J601" s="99"/>
      <c r="K601" s="99"/>
      <c r="L601" s="99"/>
      <c r="M601" s="99"/>
      <c r="N601" s="43">
        <f t="shared" si="9"/>
        <v>0</v>
      </c>
    </row>
    <row r="602" spans="10:14" ht="1.5" customHeight="1">
      <c r="J602" s="99"/>
      <c r="K602" s="99"/>
      <c r="L602" s="99"/>
      <c r="M602" s="99"/>
      <c r="N602" s="43">
        <f t="shared" si="9"/>
        <v>0</v>
      </c>
    </row>
    <row r="603" spans="10:14" ht="1.5" customHeight="1">
      <c r="J603" s="99"/>
      <c r="K603" s="99"/>
      <c r="L603" s="99"/>
      <c r="M603" s="99"/>
      <c r="N603" s="43">
        <f t="shared" si="9"/>
        <v>0</v>
      </c>
    </row>
    <row r="604" spans="10:14" ht="1.5" customHeight="1">
      <c r="J604" s="99"/>
      <c r="K604" s="99"/>
      <c r="L604" s="99"/>
      <c r="M604" s="99"/>
      <c r="N604" s="43">
        <f t="shared" si="9"/>
        <v>0</v>
      </c>
    </row>
    <row r="605" spans="10:14" ht="1.5" customHeight="1">
      <c r="J605" s="99"/>
      <c r="K605" s="99"/>
      <c r="L605" s="99"/>
      <c r="M605" s="99"/>
      <c r="N605" s="43">
        <f t="shared" si="9"/>
        <v>0</v>
      </c>
    </row>
    <row r="606" spans="10:14" ht="1.5" customHeight="1">
      <c r="J606" s="99"/>
      <c r="K606" s="99"/>
      <c r="L606" s="99"/>
      <c r="M606" s="99"/>
      <c r="N606" s="43">
        <f t="shared" si="9"/>
        <v>0</v>
      </c>
    </row>
    <row r="607" spans="10:14" ht="1.5" customHeight="1">
      <c r="J607" s="99"/>
      <c r="K607" s="99"/>
      <c r="L607" s="99"/>
      <c r="M607" s="99"/>
      <c r="N607" s="43">
        <f t="shared" si="9"/>
        <v>0</v>
      </c>
    </row>
    <row r="608" spans="10:14" ht="1.5" customHeight="1">
      <c r="J608" s="99"/>
      <c r="K608" s="99"/>
      <c r="L608" s="99"/>
      <c r="M608" s="99"/>
      <c r="N608" s="43">
        <f t="shared" si="9"/>
        <v>0</v>
      </c>
    </row>
    <row r="609" spans="10:14" ht="1.5" customHeight="1">
      <c r="J609" s="99"/>
      <c r="K609" s="99"/>
      <c r="L609" s="99"/>
      <c r="M609" s="99"/>
      <c r="N609" s="43">
        <f t="shared" si="9"/>
        <v>0</v>
      </c>
    </row>
    <row r="610" spans="10:14" ht="1.5" customHeight="1">
      <c r="J610" s="99"/>
      <c r="K610" s="99"/>
      <c r="L610" s="99"/>
      <c r="M610" s="99"/>
      <c r="N610" s="43">
        <f t="shared" si="9"/>
        <v>0</v>
      </c>
    </row>
    <row r="611" spans="10:14" ht="1.5" customHeight="1">
      <c r="J611" s="99"/>
      <c r="K611" s="99"/>
      <c r="L611" s="99"/>
      <c r="M611" s="99"/>
      <c r="N611" s="43">
        <f t="shared" si="9"/>
        <v>0</v>
      </c>
    </row>
    <row r="612" spans="10:14" ht="1.5" customHeight="1">
      <c r="J612" s="99"/>
      <c r="K612" s="99"/>
      <c r="L612" s="99"/>
      <c r="M612" s="99"/>
      <c r="N612" s="43">
        <f t="shared" si="9"/>
        <v>0</v>
      </c>
    </row>
    <row r="613" spans="10:14" ht="1.5" customHeight="1">
      <c r="J613" s="99"/>
      <c r="K613" s="99"/>
      <c r="L613" s="99"/>
      <c r="M613" s="99"/>
      <c r="N613" s="43">
        <f t="shared" si="9"/>
        <v>0</v>
      </c>
    </row>
    <row r="614" spans="10:14" ht="1.5" customHeight="1">
      <c r="J614" s="99"/>
      <c r="K614" s="99"/>
      <c r="L614" s="99"/>
      <c r="M614" s="99"/>
      <c r="N614" s="43">
        <f t="shared" si="9"/>
        <v>0</v>
      </c>
    </row>
    <row r="615" spans="10:14" ht="1.5" customHeight="1">
      <c r="J615" s="99"/>
      <c r="K615" s="99"/>
      <c r="L615" s="99"/>
      <c r="M615" s="99"/>
      <c r="N615" s="43">
        <f t="shared" si="9"/>
        <v>0</v>
      </c>
    </row>
    <row r="616" spans="10:14" ht="1.5" customHeight="1">
      <c r="J616" s="99"/>
      <c r="K616" s="99"/>
      <c r="L616" s="99"/>
      <c r="M616" s="99"/>
      <c r="N616" s="43">
        <f t="shared" si="9"/>
        <v>0</v>
      </c>
    </row>
    <row r="617" spans="10:14" ht="1.5" customHeight="1">
      <c r="J617" s="99"/>
      <c r="K617" s="99"/>
      <c r="L617" s="99"/>
      <c r="M617" s="99"/>
      <c r="N617" s="43">
        <f t="shared" si="9"/>
        <v>0</v>
      </c>
    </row>
    <row r="618" spans="10:14" ht="1.5" customHeight="1">
      <c r="J618" s="99"/>
      <c r="K618" s="99"/>
      <c r="L618" s="99"/>
      <c r="M618" s="99"/>
      <c r="N618" s="43">
        <f t="shared" si="9"/>
        <v>0</v>
      </c>
    </row>
    <row r="619" spans="10:14" ht="1.5" customHeight="1">
      <c r="J619" s="99"/>
      <c r="K619" s="99"/>
      <c r="L619" s="99"/>
      <c r="M619" s="99"/>
      <c r="N619" s="43">
        <f t="shared" si="9"/>
        <v>0</v>
      </c>
    </row>
    <row r="620" spans="10:14" ht="1.5" customHeight="1">
      <c r="J620" s="99"/>
      <c r="K620" s="99"/>
      <c r="L620" s="99"/>
      <c r="M620" s="99"/>
      <c r="N620" s="43">
        <f t="shared" si="9"/>
        <v>0</v>
      </c>
    </row>
    <row r="621" spans="10:14" ht="1.5" customHeight="1">
      <c r="J621" s="99"/>
      <c r="K621" s="99"/>
      <c r="L621" s="99"/>
      <c r="M621" s="99"/>
      <c r="N621" s="43">
        <f t="shared" si="9"/>
        <v>0</v>
      </c>
    </row>
    <row r="622" spans="10:14" ht="1.5" customHeight="1">
      <c r="J622" s="99"/>
      <c r="K622" s="99"/>
      <c r="L622" s="99"/>
      <c r="M622" s="99"/>
      <c r="N622" s="43">
        <f t="shared" si="9"/>
        <v>0</v>
      </c>
    </row>
    <row r="623" spans="10:14" ht="1.5" customHeight="1">
      <c r="J623" s="99"/>
      <c r="K623" s="99"/>
      <c r="L623" s="99"/>
      <c r="M623" s="99"/>
      <c r="N623" s="43">
        <f t="shared" si="9"/>
        <v>0</v>
      </c>
    </row>
    <row r="624" spans="10:14" ht="1.5" customHeight="1">
      <c r="J624" s="99"/>
      <c r="K624" s="99"/>
      <c r="L624" s="99"/>
      <c r="M624" s="99"/>
      <c r="N624" s="43">
        <f t="shared" si="9"/>
        <v>0</v>
      </c>
    </row>
    <row r="625" spans="10:14" ht="1.5" customHeight="1">
      <c r="J625" s="99"/>
      <c r="K625" s="99"/>
      <c r="L625" s="99"/>
      <c r="M625" s="99"/>
      <c r="N625" s="43">
        <f t="shared" si="9"/>
        <v>0</v>
      </c>
    </row>
    <row r="626" spans="10:14" ht="1.5" customHeight="1">
      <c r="J626" s="99"/>
      <c r="K626" s="99"/>
      <c r="L626" s="99"/>
      <c r="M626" s="99"/>
      <c r="N626" s="43">
        <f t="shared" si="9"/>
        <v>0</v>
      </c>
    </row>
    <row r="627" spans="10:14" ht="1.5" customHeight="1">
      <c r="J627" s="99"/>
      <c r="K627" s="99"/>
      <c r="L627" s="99"/>
      <c r="M627" s="99"/>
      <c r="N627" s="43">
        <f t="shared" si="9"/>
        <v>0</v>
      </c>
    </row>
    <row r="628" spans="10:14" ht="1.5" customHeight="1">
      <c r="J628" s="99"/>
      <c r="K628" s="99"/>
      <c r="L628" s="99"/>
      <c r="M628" s="99"/>
      <c r="N628" s="43">
        <f t="shared" si="9"/>
        <v>0</v>
      </c>
    </row>
    <row r="629" spans="10:14" ht="1.5" customHeight="1">
      <c r="J629" s="99"/>
      <c r="K629" s="99"/>
      <c r="L629" s="99"/>
      <c r="M629" s="99"/>
      <c r="N629" s="43">
        <f t="shared" si="9"/>
        <v>0</v>
      </c>
    </row>
    <row r="630" spans="10:14" ht="1.5" customHeight="1">
      <c r="J630" s="99"/>
      <c r="K630" s="99"/>
      <c r="L630" s="99"/>
      <c r="M630" s="99"/>
      <c r="N630" s="43">
        <f t="shared" si="9"/>
        <v>0</v>
      </c>
    </row>
    <row r="631" spans="10:14" ht="1.5" customHeight="1">
      <c r="J631" s="99"/>
      <c r="K631" s="99"/>
      <c r="L631" s="99"/>
      <c r="M631" s="99"/>
      <c r="N631" s="43">
        <f t="shared" si="9"/>
        <v>0</v>
      </c>
    </row>
    <row r="632" spans="10:14" ht="1.5" customHeight="1">
      <c r="J632" s="99"/>
      <c r="K632" s="99"/>
      <c r="L632" s="99"/>
      <c r="M632" s="99"/>
      <c r="N632" s="43">
        <f t="shared" si="9"/>
        <v>0</v>
      </c>
    </row>
    <row r="633" spans="10:14" ht="1.5" customHeight="1">
      <c r="J633" s="99"/>
      <c r="K633" s="99"/>
      <c r="L633" s="99"/>
      <c r="M633" s="99"/>
      <c r="N633" s="43">
        <f t="shared" si="9"/>
        <v>0</v>
      </c>
    </row>
    <row r="634" spans="10:14" ht="1.5" customHeight="1">
      <c r="J634" s="99"/>
      <c r="K634" s="99"/>
      <c r="L634" s="99"/>
      <c r="M634" s="99"/>
      <c r="N634" s="43">
        <f t="shared" si="9"/>
        <v>0</v>
      </c>
    </row>
    <row r="635" spans="10:14" ht="1.5" customHeight="1">
      <c r="J635" s="99"/>
      <c r="K635" s="99"/>
      <c r="L635" s="99"/>
      <c r="M635" s="99"/>
      <c r="N635" s="43">
        <f t="shared" si="9"/>
        <v>0</v>
      </c>
    </row>
    <row r="636" spans="10:14" ht="1.5" customHeight="1">
      <c r="J636" s="99"/>
      <c r="K636" s="99"/>
      <c r="L636" s="99"/>
      <c r="M636" s="99"/>
      <c r="N636" s="43">
        <f t="shared" si="9"/>
        <v>0</v>
      </c>
    </row>
    <row r="637" spans="10:14" ht="1.5" customHeight="1">
      <c r="J637" s="99"/>
      <c r="K637" s="99"/>
      <c r="L637" s="99"/>
      <c r="M637" s="99"/>
      <c r="N637" s="43">
        <f t="shared" si="9"/>
        <v>0</v>
      </c>
    </row>
    <row r="638" spans="10:14" ht="1.5" customHeight="1">
      <c r="J638" s="99"/>
      <c r="K638" s="99"/>
      <c r="L638" s="99"/>
      <c r="M638" s="99"/>
      <c r="N638" s="43">
        <f t="shared" si="9"/>
        <v>0</v>
      </c>
    </row>
    <row r="639" spans="10:14" ht="1.5" customHeight="1">
      <c r="J639" s="99"/>
      <c r="K639" s="99"/>
      <c r="L639" s="99"/>
      <c r="M639" s="99"/>
      <c r="N639" s="43">
        <f t="shared" si="9"/>
        <v>0</v>
      </c>
    </row>
    <row r="640" spans="10:14" ht="1.5" customHeight="1">
      <c r="J640" s="99"/>
      <c r="K640" s="99"/>
      <c r="L640" s="99"/>
      <c r="M640" s="99"/>
      <c r="N640" s="43">
        <f t="shared" si="9"/>
        <v>0</v>
      </c>
    </row>
    <row r="641" spans="10:14" ht="1.5" customHeight="1">
      <c r="J641" s="99"/>
      <c r="K641" s="99"/>
      <c r="L641" s="99"/>
      <c r="M641" s="99"/>
      <c r="N641" s="43">
        <f t="shared" si="9"/>
        <v>0</v>
      </c>
    </row>
    <row r="642" spans="10:14" ht="1.5" customHeight="1">
      <c r="J642" s="99"/>
      <c r="K642" s="99"/>
      <c r="L642" s="99"/>
      <c r="M642" s="99"/>
      <c r="N642" s="43">
        <f t="shared" si="9"/>
        <v>0</v>
      </c>
    </row>
    <row r="643" spans="10:14" ht="1.5" customHeight="1">
      <c r="J643" s="99"/>
      <c r="K643" s="99"/>
      <c r="L643" s="99"/>
      <c r="M643" s="99"/>
      <c r="N643" s="43">
        <f t="shared" si="9"/>
        <v>0</v>
      </c>
    </row>
    <row r="644" spans="10:14" ht="1.5" customHeight="1">
      <c r="J644" s="99"/>
      <c r="K644" s="99"/>
      <c r="L644" s="99"/>
      <c r="M644" s="99"/>
      <c r="N644" s="43">
        <f t="shared" si="9"/>
        <v>0</v>
      </c>
    </row>
    <row r="645" spans="10:14" ht="1.5" customHeight="1">
      <c r="J645" s="99"/>
      <c r="K645" s="99"/>
      <c r="L645" s="99"/>
      <c r="M645" s="99"/>
      <c r="N645" s="43">
        <f t="shared" si="9"/>
        <v>0</v>
      </c>
    </row>
    <row r="646" spans="10:14" ht="1.5" customHeight="1">
      <c r="J646" s="99"/>
      <c r="K646" s="99"/>
      <c r="L646" s="99"/>
      <c r="M646" s="99"/>
      <c r="N646" s="43">
        <f t="shared" si="9"/>
        <v>0</v>
      </c>
    </row>
    <row r="647" spans="10:14" ht="1.5" customHeight="1">
      <c r="J647" s="99"/>
      <c r="K647" s="99"/>
      <c r="L647" s="99"/>
      <c r="M647" s="99"/>
      <c r="N647" s="43">
        <f t="shared" si="9"/>
        <v>0</v>
      </c>
    </row>
    <row r="648" spans="10:14" ht="1.5" customHeight="1">
      <c r="J648" s="99"/>
      <c r="K648" s="99"/>
      <c r="L648" s="99"/>
      <c r="M648" s="99"/>
      <c r="N648" s="43">
        <f t="shared" si="9"/>
        <v>0</v>
      </c>
    </row>
    <row r="649" spans="10:14" ht="1.5" customHeight="1">
      <c r="J649" s="99"/>
      <c r="K649" s="99"/>
      <c r="L649" s="99"/>
      <c r="M649" s="99"/>
      <c r="N649" s="43">
        <f t="shared" si="9"/>
        <v>0</v>
      </c>
    </row>
    <row r="650" spans="10:14" ht="1.5" customHeight="1">
      <c r="J650" s="99"/>
      <c r="K650" s="99"/>
      <c r="L650" s="99"/>
      <c r="M650" s="99"/>
      <c r="N650" s="43">
        <f t="shared" si="9"/>
        <v>0</v>
      </c>
    </row>
    <row r="651" spans="10:14" ht="1.5" customHeight="1">
      <c r="J651" s="99"/>
      <c r="K651" s="99"/>
      <c r="L651" s="99"/>
      <c r="M651" s="99"/>
      <c r="N651" s="43">
        <f t="shared" ref="N651:N714" si="10">IF($L$4=$C$10,C651,IF(D651="","",B651))</f>
        <v>0</v>
      </c>
    </row>
    <row r="652" spans="10:14" ht="1.5" customHeight="1">
      <c r="J652" s="99"/>
      <c r="K652" s="99"/>
      <c r="L652" s="99"/>
      <c r="M652" s="99"/>
      <c r="N652" s="43">
        <f t="shared" si="10"/>
        <v>0</v>
      </c>
    </row>
    <row r="653" spans="10:14" ht="1.5" customHeight="1">
      <c r="J653" s="99"/>
      <c r="K653" s="99"/>
      <c r="L653" s="99"/>
      <c r="M653" s="99"/>
      <c r="N653" s="43">
        <f t="shared" si="10"/>
        <v>0</v>
      </c>
    </row>
    <row r="654" spans="10:14" ht="1.5" customHeight="1">
      <c r="J654" s="99"/>
      <c r="K654" s="99"/>
      <c r="L654" s="99"/>
      <c r="M654" s="99"/>
      <c r="N654" s="43">
        <f t="shared" si="10"/>
        <v>0</v>
      </c>
    </row>
    <row r="655" spans="10:14" ht="1.5" customHeight="1">
      <c r="J655" s="99"/>
      <c r="K655" s="99"/>
      <c r="L655" s="99"/>
      <c r="M655" s="99"/>
      <c r="N655" s="43">
        <f t="shared" si="10"/>
        <v>0</v>
      </c>
    </row>
    <row r="656" spans="10:14" ht="1.5" customHeight="1">
      <c r="J656" s="99"/>
      <c r="K656" s="99"/>
      <c r="L656" s="99"/>
      <c r="M656" s="99"/>
      <c r="N656" s="43">
        <f t="shared" si="10"/>
        <v>0</v>
      </c>
    </row>
    <row r="657" spans="10:14" ht="1.5" customHeight="1">
      <c r="J657" s="99"/>
      <c r="K657" s="99"/>
      <c r="L657" s="99"/>
      <c r="M657" s="99"/>
      <c r="N657" s="43">
        <f t="shared" si="10"/>
        <v>0</v>
      </c>
    </row>
    <row r="658" spans="10:14" ht="1.5" customHeight="1">
      <c r="J658" s="99"/>
      <c r="K658" s="99"/>
      <c r="L658" s="99"/>
      <c r="M658" s="99"/>
      <c r="N658" s="43">
        <f t="shared" si="10"/>
        <v>0</v>
      </c>
    </row>
    <row r="659" spans="10:14" ht="1.5" customHeight="1">
      <c r="J659" s="99"/>
      <c r="K659" s="99"/>
      <c r="L659" s="99"/>
      <c r="M659" s="99"/>
      <c r="N659" s="43">
        <f t="shared" si="10"/>
        <v>0</v>
      </c>
    </row>
    <row r="660" spans="10:14" ht="1.5" customHeight="1">
      <c r="J660" s="99"/>
      <c r="K660" s="99"/>
      <c r="L660" s="99"/>
      <c r="M660" s="99"/>
      <c r="N660" s="43">
        <f t="shared" si="10"/>
        <v>0</v>
      </c>
    </row>
    <row r="661" spans="10:14" ht="1.5" customHeight="1">
      <c r="J661" s="99"/>
      <c r="K661" s="99"/>
      <c r="L661" s="99"/>
      <c r="M661" s="99"/>
      <c r="N661" s="43">
        <f t="shared" si="10"/>
        <v>0</v>
      </c>
    </row>
    <row r="662" spans="10:14" ht="1.5" customHeight="1">
      <c r="J662" s="99"/>
      <c r="K662" s="99"/>
      <c r="L662" s="99"/>
      <c r="M662" s="99"/>
      <c r="N662" s="43">
        <f t="shared" si="10"/>
        <v>0</v>
      </c>
    </row>
    <row r="663" spans="10:14" ht="1.5" customHeight="1">
      <c r="J663" s="99"/>
      <c r="K663" s="99"/>
      <c r="L663" s="99"/>
      <c r="M663" s="99"/>
      <c r="N663" s="43">
        <f t="shared" si="10"/>
        <v>0</v>
      </c>
    </row>
    <row r="664" spans="10:14" ht="1.5" customHeight="1">
      <c r="J664" s="99"/>
      <c r="K664" s="99"/>
      <c r="L664" s="99"/>
      <c r="M664" s="99"/>
      <c r="N664" s="43">
        <f t="shared" si="10"/>
        <v>0</v>
      </c>
    </row>
    <row r="665" spans="10:14" ht="1.5" customHeight="1">
      <c r="J665" s="99"/>
      <c r="K665" s="99"/>
      <c r="L665" s="99"/>
      <c r="M665" s="99"/>
      <c r="N665" s="43">
        <f t="shared" si="10"/>
        <v>0</v>
      </c>
    </row>
    <row r="666" spans="10:14" ht="1.5" customHeight="1">
      <c r="J666" s="99"/>
      <c r="K666" s="99"/>
      <c r="L666" s="99"/>
      <c r="M666" s="99"/>
      <c r="N666" s="43">
        <f t="shared" si="10"/>
        <v>0</v>
      </c>
    </row>
    <row r="667" spans="10:14" ht="1.5" customHeight="1">
      <c r="J667" s="99"/>
      <c r="K667" s="99"/>
      <c r="L667" s="99"/>
      <c r="M667" s="99"/>
      <c r="N667" s="43">
        <f t="shared" si="10"/>
        <v>0</v>
      </c>
    </row>
    <row r="668" spans="10:14" ht="1.5" customHeight="1">
      <c r="J668" s="99"/>
      <c r="K668" s="99"/>
      <c r="L668" s="99"/>
      <c r="M668" s="99"/>
      <c r="N668" s="43">
        <f t="shared" si="10"/>
        <v>0</v>
      </c>
    </row>
    <row r="669" spans="10:14" ht="1.5" customHeight="1">
      <c r="J669" s="99"/>
      <c r="K669" s="99"/>
      <c r="L669" s="99"/>
      <c r="M669" s="99"/>
      <c r="N669" s="43">
        <f t="shared" si="10"/>
        <v>0</v>
      </c>
    </row>
    <row r="670" spans="10:14" ht="1.5" customHeight="1">
      <c r="J670" s="99"/>
      <c r="K670" s="99"/>
      <c r="L670" s="99"/>
      <c r="M670" s="99"/>
      <c r="N670" s="43">
        <f t="shared" si="10"/>
        <v>0</v>
      </c>
    </row>
    <row r="671" spans="10:14" ht="1.5" customHeight="1">
      <c r="J671" s="99"/>
      <c r="K671" s="99"/>
      <c r="L671" s="99"/>
      <c r="M671" s="99"/>
      <c r="N671" s="43">
        <f t="shared" si="10"/>
        <v>0</v>
      </c>
    </row>
    <row r="672" spans="10:14" ht="1.5" customHeight="1">
      <c r="J672" s="99"/>
      <c r="K672" s="99"/>
      <c r="L672" s="99"/>
      <c r="M672" s="99"/>
      <c r="N672" s="43">
        <f t="shared" si="10"/>
        <v>0</v>
      </c>
    </row>
    <row r="673" spans="10:14" ht="1.5" customHeight="1">
      <c r="J673" s="99"/>
      <c r="K673" s="99"/>
      <c r="L673" s="99"/>
      <c r="M673" s="99"/>
      <c r="N673" s="43">
        <f t="shared" si="10"/>
        <v>0</v>
      </c>
    </row>
    <row r="674" spans="10:14" ht="1.5" customHeight="1">
      <c r="J674" s="99"/>
      <c r="K674" s="99"/>
      <c r="L674" s="99"/>
      <c r="M674" s="99"/>
      <c r="N674" s="43">
        <f t="shared" si="10"/>
        <v>0</v>
      </c>
    </row>
    <row r="675" spans="10:14" ht="1.5" customHeight="1">
      <c r="J675" s="99"/>
      <c r="K675" s="99"/>
      <c r="L675" s="99"/>
      <c r="M675" s="99"/>
      <c r="N675" s="43">
        <f t="shared" si="10"/>
        <v>0</v>
      </c>
    </row>
    <row r="676" spans="10:14" ht="1.5" customHeight="1">
      <c r="J676" s="99"/>
      <c r="K676" s="99"/>
      <c r="L676" s="99"/>
      <c r="M676" s="99"/>
      <c r="N676" s="43">
        <f t="shared" si="10"/>
        <v>0</v>
      </c>
    </row>
    <row r="677" spans="10:14" ht="1.5" customHeight="1">
      <c r="J677" s="99"/>
      <c r="K677" s="99"/>
      <c r="L677" s="99"/>
      <c r="M677" s="99"/>
      <c r="N677" s="43">
        <f t="shared" si="10"/>
        <v>0</v>
      </c>
    </row>
    <row r="678" spans="10:14" ht="1.5" customHeight="1">
      <c r="J678" s="99"/>
      <c r="K678" s="99"/>
      <c r="L678" s="99"/>
      <c r="M678" s="99"/>
      <c r="N678" s="43">
        <f t="shared" si="10"/>
        <v>0</v>
      </c>
    </row>
    <row r="679" spans="10:14" ht="1.5" customHeight="1">
      <c r="J679" s="99"/>
      <c r="K679" s="99"/>
      <c r="L679" s="99"/>
      <c r="M679" s="99"/>
      <c r="N679" s="43">
        <f t="shared" si="10"/>
        <v>0</v>
      </c>
    </row>
    <row r="680" spans="10:14" ht="1.5" customHeight="1">
      <c r="J680" s="99"/>
      <c r="K680" s="99"/>
      <c r="L680" s="99"/>
      <c r="M680" s="99"/>
      <c r="N680" s="43">
        <f t="shared" si="10"/>
        <v>0</v>
      </c>
    </row>
    <row r="681" spans="10:14" ht="1.5" customHeight="1">
      <c r="J681" s="99"/>
      <c r="K681" s="99"/>
      <c r="L681" s="99"/>
      <c r="M681" s="99"/>
      <c r="N681" s="43">
        <f t="shared" si="10"/>
        <v>0</v>
      </c>
    </row>
    <row r="682" spans="10:14" ht="1.5" customHeight="1">
      <c r="J682" s="99"/>
      <c r="K682" s="99"/>
      <c r="L682" s="99"/>
      <c r="M682" s="99"/>
      <c r="N682" s="43">
        <f t="shared" si="10"/>
        <v>0</v>
      </c>
    </row>
    <row r="683" spans="10:14" ht="1.5" customHeight="1">
      <c r="J683" s="99"/>
      <c r="K683" s="99"/>
      <c r="L683" s="99"/>
      <c r="M683" s="99"/>
      <c r="N683" s="43">
        <f t="shared" si="10"/>
        <v>0</v>
      </c>
    </row>
    <row r="684" spans="10:14" ht="1.5" customHeight="1">
      <c r="J684" s="99"/>
      <c r="K684" s="99"/>
      <c r="L684" s="99"/>
      <c r="M684" s="99"/>
      <c r="N684" s="43">
        <f t="shared" si="10"/>
        <v>0</v>
      </c>
    </row>
    <row r="685" spans="10:14" ht="1.5" customHeight="1">
      <c r="J685" s="99"/>
      <c r="K685" s="99"/>
      <c r="L685" s="99"/>
      <c r="M685" s="99"/>
      <c r="N685" s="43">
        <f t="shared" si="10"/>
        <v>0</v>
      </c>
    </row>
    <row r="686" spans="10:14" ht="1.5" customHeight="1">
      <c r="J686" s="99"/>
      <c r="K686" s="99"/>
      <c r="L686" s="99"/>
      <c r="M686" s="99"/>
      <c r="N686" s="43">
        <f t="shared" si="10"/>
        <v>0</v>
      </c>
    </row>
    <row r="687" spans="10:14" ht="1.5" customHeight="1">
      <c r="J687" s="99"/>
      <c r="K687" s="99"/>
      <c r="L687" s="99"/>
      <c r="M687" s="99"/>
      <c r="N687" s="43">
        <f t="shared" si="10"/>
        <v>0</v>
      </c>
    </row>
    <row r="688" spans="10:14" ht="1.5" customHeight="1">
      <c r="J688" s="99"/>
      <c r="K688" s="99"/>
      <c r="L688" s="99"/>
      <c r="M688" s="99"/>
      <c r="N688" s="43">
        <f t="shared" si="10"/>
        <v>0</v>
      </c>
    </row>
    <row r="689" spans="10:14" ht="1.5" customHeight="1">
      <c r="J689" s="99"/>
      <c r="K689" s="99"/>
      <c r="L689" s="99"/>
      <c r="M689" s="99"/>
      <c r="N689" s="43">
        <f t="shared" si="10"/>
        <v>0</v>
      </c>
    </row>
    <row r="690" spans="10:14" ht="1.5" customHeight="1">
      <c r="J690" s="99"/>
      <c r="K690" s="99"/>
      <c r="L690" s="99"/>
      <c r="M690" s="99"/>
      <c r="N690" s="43">
        <f t="shared" si="10"/>
        <v>0</v>
      </c>
    </row>
    <row r="691" spans="10:14" ht="1.5" customHeight="1">
      <c r="J691" s="99"/>
      <c r="K691" s="99"/>
      <c r="L691" s="99"/>
      <c r="M691" s="99"/>
      <c r="N691" s="43">
        <f t="shared" si="10"/>
        <v>0</v>
      </c>
    </row>
    <row r="692" spans="10:14" ht="1.5" customHeight="1">
      <c r="J692" s="99"/>
      <c r="K692" s="99"/>
      <c r="L692" s="99"/>
      <c r="M692" s="99"/>
      <c r="N692" s="43">
        <f t="shared" si="10"/>
        <v>0</v>
      </c>
    </row>
    <row r="693" spans="10:14" ht="1.5" customHeight="1">
      <c r="J693" s="99"/>
      <c r="K693" s="99"/>
      <c r="L693" s="99"/>
      <c r="M693" s="99"/>
      <c r="N693" s="43">
        <f t="shared" si="10"/>
        <v>0</v>
      </c>
    </row>
    <row r="694" spans="10:14" ht="1.5" customHeight="1">
      <c r="J694" s="99"/>
      <c r="K694" s="99"/>
      <c r="L694" s="99"/>
      <c r="M694" s="99"/>
      <c r="N694" s="43">
        <f t="shared" si="10"/>
        <v>0</v>
      </c>
    </row>
    <row r="695" spans="10:14" ht="1.5" customHeight="1">
      <c r="J695" s="99"/>
      <c r="K695" s="99"/>
      <c r="L695" s="99"/>
      <c r="M695" s="99"/>
      <c r="N695" s="43">
        <f t="shared" si="10"/>
        <v>0</v>
      </c>
    </row>
    <row r="696" spans="10:14" ht="1.5" customHeight="1">
      <c r="J696" s="99"/>
      <c r="K696" s="99"/>
      <c r="L696" s="99"/>
      <c r="M696" s="99"/>
      <c r="N696" s="43">
        <f t="shared" si="10"/>
        <v>0</v>
      </c>
    </row>
    <row r="697" spans="10:14" ht="1.5" customHeight="1">
      <c r="J697" s="99"/>
      <c r="K697" s="99"/>
      <c r="L697" s="99"/>
      <c r="M697" s="99"/>
      <c r="N697" s="43">
        <f t="shared" si="10"/>
        <v>0</v>
      </c>
    </row>
    <row r="698" spans="10:14" ht="1.5" customHeight="1">
      <c r="J698" s="99"/>
      <c r="K698" s="99"/>
      <c r="L698" s="99"/>
      <c r="M698" s="99"/>
      <c r="N698" s="43">
        <f t="shared" si="10"/>
        <v>0</v>
      </c>
    </row>
    <row r="699" spans="10:14" ht="1.5" customHeight="1">
      <c r="J699" s="99"/>
      <c r="K699" s="99"/>
      <c r="L699" s="99"/>
      <c r="M699" s="99"/>
      <c r="N699" s="43">
        <f t="shared" si="10"/>
        <v>0</v>
      </c>
    </row>
    <row r="700" spans="10:14" ht="1.5" customHeight="1">
      <c r="J700" s="99"/>
      <c r="K700" s="99"/>
      <c r="L700" s="99"/>
      <c r="M700" s="99"/>
      <c r="N700" s="43">
        <f t="shared" si="10"/>
        <v>0</v>
      </c>
    </row>
    <row r="701" spans="10:14" ht="1.5" customHeight="1">
      <c r="J701" s="99"/>
      <c r="K701" s="99"/>
      <c r="L701" s="99"/>
      <c r="M701" s="99"/>
      <c r="N701" s="43">
        <f t="shared" si="10"/>
        <v>0</v>
      </c>
    </row>
    <row r="702" spans="10:14" ht="1.5" customHeight="1">
      <c r="J702" s="99"/>
      <c r="K702" s="99"/>
      <c r="L702" s="99"/>
      <c r="M702" s="99"/>
      <c r="N702" s="43">
        <f t="shared" si="10"/>
        <v>0</v>
      </c>
    </row>
    <row r="703" spans="10:14" ht="1.5" customHeight="1">
      <c r="J703" s="99"/>
      <c r="K703" s="99"/>
      <c r="L703" s="99"/>
      <c r="M703" s="99"/>
      <c r="N703" s="43">
        <f t="shared" si="10"/>
        <v>0</v>
      </c>
    </row>
    <row r="704" spans="10:14" ht="1.5" customHeight="1">
      <c r="J704" s="99"/>
      <c r="K704" s="99"/>
      <c r="L704" s="99"/>
      <c r="M704" s="99"/>
      <c r="N704" s="43">
        <f t="shared" si="10"/>
        <v>0</v>
      </c>
    </row>
    <row r="705" spans="10:14" ht="1.5" customHeight="1">
      <c r="J705" s="99"/>
      <c r="K705" s="99"/>
      <c r="L705" s="99"/>
      <c r="M705" s="99"/>
      <c r="N705" s="43">
        <f t="shared" si="10"/>
        <v>0</v>
      </c>
    </row>
    <row r="706" spans="10:14" ht="1.5" customHeight="1">
      <c r="J706" s="99"/>
      <c r="K706" s="99"/>
      <c r="L706" s="99"/>
      <c r="M706" s="99"/>
      <c r="N706" s="43">
        <f t="shared" si="10"/>
        <v>0</v>
      </c>
    </row>
    <row r="707" spans="10:14" ht="1.5" customHeight="1">
      <c r="J707" s="99"/>
      <c r="K707" s="99"/>
      <c r="L707" s="99"/>
      <c r="M707" s="99"/>
      <c r="N707" s="43">
        <f t="shared" si="10"/>
        <v>0</v>
      </c>
    </row>
    <row r="708" spans="10:14" ht="1.5" customHeight="1">
      <c r="J708" s="99"/>
      <c r="K708" s="99"/>
      <c r="L708" s="99"/>
      <c r="M708" s="99"/>
      <c r="N708" s="43">
        <f t="shared" si="10"/>
        <v>0</v>
      </c>
    </row>
    <row r="709" spans="10:14" ht="1.5" customHeight="1">
      <c r="J709" s="99"/>
      <c r="K709" s="99"/>
      <c r="L709" s="99"/>
      <c r="M709" s="99"/>
      <c r="N709" s="43">
        <f t="shared" si="10"/>
        <v>0</v>
      </c>
    </row>
    <row r="710" spans="10:14" ht="1.5" customHeight="1">
      <c r="J710" s="99"/>
      <c r="K710" s="99"/>
      <c r="L710" s="99"/>
      <c r="M710" s="99"/>
      <c r="N710" s="43">
        <f t="shared" si="10"/>
        <v>0</v>
      </c>
    </row>
    <row r="711" spans="10:14" ht="1.5" customHeight="1">
      <c r="J711" s="99"/>
      <c r="K711" s="99"/>
      <c r="L711" s="99"/>
      <c r="M711" s="99"/>
      <c r="N711" s="43">
        <f t="shared" si="10"/>
        <v>0</v>
      </c>
    </row>
    <row r="712" spans="10:14" ht="1.5" customHeight="1">
      <c r="J712" s="99"/>
      <c r="K712" s="99"/>
      <c r="L712" s="99"/>
      <c r="M712" s="99"/>
      <c r="N712" s="43">
        <f t="shared" si="10"/>
        <v>0</v>
      </c>
    </row>
    <row r="713" spans="10:14" ht="1.5" customHeight="1">
      <c r="J713" s="99"/>
      <c r="K713" s="99"/>
      <c r="L713" s="99"/>
      <c r="M713" s="99"/>
      <c r="N713" s="43">
        <f t="shared" si="10"/>
        <v>0</v>
      </c>
    </row>
    <row r="714" spans="10:14" ht="1.5" customHeight="1">
      <c r="J714" s="99"/>
      <c r="K714" s="99"/>
      <c r="L714" s="99"/>
      <c r="M714" s="99"/>
      <c r="N714" s="43">
        <f t="shared" si="10"/>
        <v>0</v>
      </c>
    </row>
    <row r="715" spans="10:14" ht="1.5" customHeight="1">
      <c r="J715" s="99"/>
      <c r="K715" s="99"/>
      <c r="L715" s="99"/>
      <c r="M715" s="99"/>
      <c r="N715" s="43">
        <f t="shared" ref="N715:N778" si="11">IF($L$4=$C$10,C715,IF(D715="","",B715))</f>
        <v>0</v>
      </c>
    </row>
    <row r="716" spans="10:14" ht="1.5" customHeight="1">
      <c r="J716" s="99"/>
      <c r="K716" s="99"/>
      <c r="L716" s="99"/>
      <c r="M716" s="99"/>
      <c r="N716" s="43">
        <f t="shared" si="11"/>
        <v>0</v>
      </c>
    </row>
    <row r="717" spans="10:14" ht="1.5" customHeight="1">
      <c r="J717" s="99"/>
      <c r="K717" s="99"/>
      <c r="L717" s="99"/>
      <c r="M717" s="99"/>
      <c r="N717" s="43">
        <f t="shared" si="11"/>
        <v>0</v>
      </c>
    </row>
    <row r="718" spans="10:14" ht="1.5" customHeight="1">
      <c r="J718" s="99"/>
      <c r="K718" s="99"/>
      <c r="L718" s="99"/>
      <c r="M718" s="99"/>
      <c r="N718" s="43">
        <f t="shared" si="11"/>
        <v>0</v>
      </c>
    </row>
    <row r="719" spans="10:14" ht="1.5" customHeight="1">
      <c r="J719" s="99"/>
      <c r="K719" s="99"/>
      <c r="L719" s="99"/>
      <c r="M719" s="99"/>
      <c r="N719" s="43">
        <f t="shared" si="11"/>
        <v>0</v>
      </c>
    </row>
    <row r="720" spans="10:14" ht="1.5" customHeight="1">
      <c r="J720" s="99"/>
      <c r="K720" s="99"/>
      <c r="L720" s="99"/>
      <c r="M720" s="99"/>
      <c r="N720" s="43">
        <f t="shared" si="11"/>
        <v>0</v>
      </c>
    </row>
    <row r="721" spans="10:14" ht="1.5" customHeight="1">
      <c r="J721" s="99"/>
      <c r="K721" s="99"/>
      <c r="L721" s="99"/>
      <c r="M721" s="99"/>
      <c r="N721" s="43">
        <f t="shared" si="11"/>
        <v>0</v>
      </c>
    </row>
    <row r="722" spans="10:14" ht="1.5" customHeight="1">
      <c r="J722" s="99"/>
      <c r="K722" s="99"/>
      <c r="L722" s="99"/>
      <c r="M722" s="99"/>
      <c r="N722" s="43">
        <f t="shared" si="11"/>
        <v>0</v>
      </c>
    </row>
    <row r="723" spans="10:14" ht="1.5" customHeight="1">
      <c r="J723" s="99"/>
      <c r="K723" s="99"/>
      <c r="L723" s="99"/>
      <c r="M723" s="99"/>
      <c r="N723" s="43">
        <f t="shared" si="11"/>
        <v>0</v>
      </c>
    </row>
    <row r="724" spans="10:14" ht="1.5" customHeight="1">
      <c r="J724" s="99"/>
      <c r="K724" s="99"/>
      <c r="L724" s="99"/>
      <c r="M724" s="99"/>
      <c r="N724" s="43">
        <f t="shared" si="11"/>
        <v>0</v>
      </c>
    </row>
    <row r="725" spans="10:14" ht="1.5" customHeight="1">
      <c r="J725" s="99"/>
      <c r="K725" s="99"/>
      <c r="L725" s="99"/>
      <c r="M725" s="99"/>
      <c r="N725" s="43">
        <f t="shared" si="11"/>
        <v>0</v>
      </c>
    </row>
    <row r="726" spans="10:14" ht="1.5" customHeight="1">
      <c r="J726" s="99"/>
      <c r="K726" s="99"/>
      <c r="L726" s="99"/>
      <c r="M726" s="99"/>
      <c r="N726" s="43">
        <f t="shared" si="11"/>
        <v>0</v>
      </c>
    </row>
    <row r="727" spans="10:14" ht="1.5" customHeight="1">
      <c r="J727" s="99"/>
      <c r="K727" s="99"/>
      <c r="L727" s="99"/>
      <c r="M727" s="99"/>
      <c r="N727" s="43">
        <f t="shared" si="11"/>
        <v>0</v>
      </c>
    </row>
    <row r="728" spans="10:14" ht="1.5" customHeight="1">
      <c r="J728" s="99"/>
      <c r="K728" s="99"/>
      <c r="L728" s="99"/>
      <c r="M728" s="99"/>
      <c r="N728" s="43">
        <f t="shared" si="11"/>
        <v>0</v>
      </c>
    </row>
    <row r="729" spans="10:14" ht="1.5" customHeight="1">
      <c r="J729" s="99"/>
      <c r="K729" s="99"/>
      <c r="L729" s="99"/>
      <c r="M729" s="99"/>
      <c r="N729" s="43">
        <f t="shared" si="11"/>
        <v>0</v>
      </c>
    </row>
    <row r="730" spans="10:14" ht="1.5" customHeight="1">
      <c r="J730" s="99"/>
      <c r="K730" s="99"/>
      <c r="L730" s="99"/>
      <c r="M730" s="99"/>
      <c r="N730" s="43">
        <f t="shared" si="11"/>
        <v>0</v>
      </c>
    </row>
    <row r="731" spans="10:14" ht="1.5" customHeight="1">
      <c r="J731" s="99"/>
      <c r="K731" s="99"/>
      <c r="L731" s="99"/>
      <c r="M731" s="99"/>
      <c r="N731" s="43">
        <f t="shared" si="11"/>
        <v>0</v>
      </c>
    </row>
    <row r="732" spans="10:14" ht="1.5" customHeight="1">
      <c r="J732" s="99"/>
      <c r="K732" s="99"/>
      <c r="L732" s="99"/>
      <c r="M732" s="99"/>
      <c r="N732" s="43">
        <f t="shared" si="11"/>
        <v>0</v>
      </c>
    </row>
    <row r="733" spans="10:14" ht="1.5" customHeight="1">
      <c r="J733" s="99"/>
      <c r="K733" s="99"/>
      <c r="L733" s="99"/>
      <c r="M733" s="99"/>
      <c r="N733" s="43">
        <f t="shared" si="11"/>
        <v>0</v>
      </c>
    </row>
    <row r="734" spans="10:14" ht="1.5" customHeight="1">
      <c r="J734" s="99"/>
      <c r="K734" s="99"/>
      <c r="L734" s="99"/>
      <c r="M734" s="99"/>
      <c r="N734" s="43">
        <f t="shared" si="11"/>
        <v>0</v>
      </c>
    </row>
    <row r="735" spans="10:14" ht="1.5" customHeight="1">
      <c r="J735" s="99"/>
      <c r="K735" s="99"/>
      <c r="L735" s="99"/>
      <c r="M735" s="99"/>
      <c r="N735" s="43">
        <f t="shared" si="11"/>
        <v>0</v>
      </c>
    </row>
    <row r="736" spans="10:14" ht="1.5" customHeight="1">
      <c r="J736" s="99"/>
      <c r="K736" s="99"/>
      <c r="L736" s="99"/>
      <c r="M736" s="99"/>
      <c r="N736" s="43">
        <f t="shared" si="11"/>
        <v>0</v>
      </c>
    </row>
    <row r="737" spans="10:14" ht="1.5" customHeight="1">
      <c r="J737" s="99"/>
      <c r="K737" s="99"/>
      <c r="L737" s="99"/>
      <c r="M737" s="99"/>
      <c r="N737" s="43">
        <f t="shared" si="11"/>
        <v>0</v>
      </c>
    </row>
    <row r="738" spans="10:14" ht="1.5" customHeight="1">
      <c r="J738" s="99"/>
      <c r="K738" s="99"/>
      <c r="L738" s="99"/>
      <c r="M738" s="99"/>
      <c r="N738" s="43">
        <f t="shared" si="11"/>
        <v>0</v>
      </c>
    </row>
    <row r="739" spans="10:14" ht="1.5" customHeight="1">
      <c r="J739" s="99"/>
      <c r="K739" s="99"/>
      <c r="L739" s="99"/>
      <c r="M739" s="99"/>
      <c r="N739" s="43">
        <f t="shared" si="11"/>
        <v>0</v>
      </c>
    </row>
    <row r="740" spans="10:14" ht="1.5" customHeight="1">
      <c r="J740" s="99"/>
      <c r="K740" s="99"/>
      <c r="L740" s="99"/>
      <c r="M740" s="99"/>
      <c r="N740" s="43">
        <f t="shared" si="11"/>
        <v>0</v>
      </c>
    </row>
    <row r="741" spans="10:14" ht="1.5" customHeight="1">
      <c r="J741" s="99"/>
      <c r="K741" s="99"/>
      <c r="L741" s="99"/>
      <c r="M741" s="99"/>
      <c r="N741" s="43">
        <f t="shared" si="11"/>
        <v>0</v>
      </c>
    </row>
    <row r="742" spans="10:14" ht="1.5" customHeight="1">
      <c r="J742" s="99"/>
      <c r="K742" s="99"/>
      <c r="L742" s="99"/>
      <c r="M742" s="99"/>
      <c r="N742" s="43">
        <f t="shared" si="11"/>
        <v>0</v>
      </c>
    </row>
    <row r="743" spans="10:14" ht="1.5" customHeight="1">
      <c r="J743" s="99"/>
      <c r="K743" s="99"/>
      <c r="L743" s="99"/>
      <c r="M743" s="99"/>
      <c r="N743" s="43">
        <f t="shared" si="11"/>
        <v>0</v>
      </c>
    </row>
    <row r="744" spans="10:14" ht="1.5" customHeight="1">
      <c r="J744" s="99"/>
      <c r="K744" s="99"/>
      <c r="L744" s="99"/>
      <c r="M744" s="99"/>
      <c r="N744" s="43">
        <f t="shared" si="11"/>
        <v>0</v>
      </c>
    </row>
    <row r="745" spans="10:14" ht="1.5" customHeight="1">
      <c r="J745" s="99"/>
      <c r="K745" s="99"/>
      <c r="L745" s="99"/>
      <c r="M745" s="99"/>
      <c r="N745" s="43">
        <f t="shared" si="11"/>
        <v>0</v>
      </c>
    </row>
    <row r="746" spans="10:14" ht="1.5" customHeight="1">
      <c r="J746" s="99"/>
      <c r="K746" s="99"/>
      <c r="L746" s="99"/>
      <c r="M746" s="99"/>
      <c r="N746" s="43">
        <f t="shared" si="11"/>
        <v>0</v>
      </c>
    </row>
    <row r="747" spans="10:14" ht="1.5" customHeight="1">
      <c r="J747" s="99"/>
      <c r="K747" s="99"/>
      <c r="L747" s="99"/>
      <c r="M747" s="99"/>
      <c r="N747" s="43">
        <f t="shared" si="11"/>
        <v>0</v>
      </c>
    </row>
    <row r="748" spans="10:14" ht="1.5" customHeight="1">
      <c r="J748" s="99"/>
      <c r="K748" s="99"/>
      <c r="L748" s="99"/>
      <c r="M748" s="99"/>
      <c r="N748" s="43">
        <f t="shared" si="11"/>
        <v>0</v>
      </c>
    </row>
    <row r="749" spans="10:14" ht="1.5" customHeight="1">
      <c r="J749" s="99"/>
      <c r="K749" s="99"/>
      <c r="L749" s="99"/>
      <c r="M749" s="99"/>
      <c r="N749" s="43">
        <f t="shared" si="11"/>
        <v>0</v>
      </c>
    </row>
    <row r="750" spans="10:14" ht="1.5" customHeight="1">
      <c r="J750" s="99"/>
      <c r="K750" s="99"/>
      <c r="L750" s="99"/>
      <c r="M750" s="99"/>
      <c r="N750" s="43">
        <f t="shared" si="11"/>
        <v>0</v>
      </c>
    </row>
    <row r="751" spans="10:14" ht="1.5" customHeight="1">
      <c r="J751" s="99"/>
      <c r="K751" s="99"/>
      <c r="L751" s="99"/>
      <c r="M751" s="99"/>
      <c r="N751" s="43">
        <f t="shared" si="11"/>
        <v>0</v>
      </c>
    </row>
    <row r="752" spans="10:14" ht="1.5" customHeight="1">
      <c r="J752" s="99"/>
      <c r="K752" s="99"/>
      <c r="L752" s="99"/>
      <c r="M752" s="99"/>
      <c r="N752" s="43">
        <f t="shared" si="11"/>
        <v>0</v>
      </c>
    </row>
    <row r="753" spans="10:14" ht="1.5" customHeight="1">
      <c r="J753" s="99"/>
      <c r="K753" s="99"/>
      <c r="L753" s="99"/>
      <c r="M753" s="99"/>
      <c r="N753" s="43">
        <f t="shared" si="11"/>
        <v>0</v>
      </c>
    </row>
    <row r="754" spans="10:14" ht="1.5" customHeight="1">
      <c r="J754" s="99"/>
      <c r="K754" s="99"/>
      <c r="L754" s="99"/>
      <c r="M754" s="99"/>
      <c r="N754" s="43">
        <f t="shared" si="11"/>
        <v>0</v>
      </c>
    </row>
    <row r="755" spans="10:14" ht="1.5" customHeight="1">
      <c r="J755" s="99"/>
      <c r="K755" s="99"/>
      <c r="L755" s="99"/>
      <c r="M755" s="99"/>
      <c r="N755" s="43">
        <f t="shared" si="11"/>
        <v>0</v>
      </c>
    </row>
    <row r="756" spans="10:14" ht="1.5" customHeight="1">
      <c r="J756" s="99"/>
      <c r="K756" s="99"/>
      <c r="L756" s="99"/>
      <c r="M756" s="99"/>
      <c r="N756" s="43">
        <f t="shared" si="11"/>
        <v>0</v>
      </c>
    </row>
    <row r="757" spans="10:14" ht="1.5" customHeight="1">
      <c r="J757" s="99"/>
      <c r="K757" s="99"/>
      <c r="L757" s="99"/>
      <c r="M757" s="99"/>
      <c r="N757" s="43">
        <f t="shared" si="11"/>
        <v>0</v>
      </c>
    </row>
    <row r="758" spans="10:14" ht="1.5" customHeight="1">
      <c r="J758" s="99"/>
      <c r="K758" s="99"/>
      <c r="L758" s="99"/>
      <c r="M758" s="99"/>
      <c r="N758" s="43">
        <f t="shared" si="11"/>
        <v>0</v>
      </c>
    </row>
    <row r="759" spans="10:14" ht="1.5" customHeight="1">
      <c r="J759" s="99"/>
      <c r="K759" s="99"/>
      <c r="L759" s="99"/>
      <c r="M759" s="99"/>
      <c r="N759" s="43">
        <f t="shared" si="11"/>
        <v>0</v>
      </c>
    </row>
    <row r="760" spans="10:14" ht="1.5" customHeight="1">
      <c r="J760" s="99"/>
      <c r="K760" s="99"/>
      <c r="L760" s="99"/>
      <c r="M760" s="99"/>
      <c r="N760" s="43">
        <f t="shared" si="11"/>
        <v>0</v>
      </c>
    </row>
    <row r="761" spans="10:14" ht="1.5" customHeight="1">
      <c r="J761" s="99"/>
      <c r="K761" s="99"/>
      <c r="L761" s="99"/>
      <c r="M761" s="99"/>
      <c r="N761" s="43">
        <f t="shared" si="11"/>
        <v>0</v>
      </c>
    </row>
    <row r="762" spans="10:14" ht="1.5" customHeight="1">
      <c r="J762" s="99"/>
      <c r="K762" s="99"/>
      <c r="L762" s="99"/>
      <c r="M762" s="99"/>
      <c r="N762" s="43">
        <f t="shared" si="11"/>
        <v>0</v>
      </c>
    </row>
    <row r="763" spans="10:14" ht="1.5" customHeight="1">
      <c r="J763" s="99"/>
      <c r="K763" s="99"/>
      <c r="L763" s="99"/>
      <c r="M763" s="99"/>
      <c r="N763" s="43">
        <f t="shared" si="11"/>
        <v>0</v>
      </c>
    </row>
    <row r="764" spans="10:14" ht="1.5" customHeight="1">
      <c r="J764" s="99"/>
      <c r="K764" s="99"/>
      <c r="L764" s="99"/>
      <c r="M764" s="99"/>
      <c r="N764" s="43">
        <f t="shared" si="11"/>
        <v>0</v>
      </c>
    </row>
    <row r="765" spans="10:14" ht="1.5" customHeight="1">
      <c r="J765" s="99"/>
      <c r="K765" s="99"/>
      <c r="L765" s="99"/>
      <c r="M765" s="99"/>
      <c r="N765" s="43">
        <f t="shared" si="11"/>
        <v>0</v>
      </c>
    </row>
    <row r="766" spans="10:14" ht="1.5" customHeight="1">
      <c r="J766" s="99"/>
      <c r="K766" s="99"/>
      <c r="L766" s="99"/>
      <c r="M766" s="99"/>
      <c r="N766" s="43">
        <f t="shared" si="11"/>
        <v>0</v>
      </c>
    </row>
    <row r="767" spans="10:14" ht="1.5" customHeight="1">
      <c r="J767" s="99"/>
      <c r="K767" s="99"/>
      <c r="L767" s="99"/>
      <c r="M767" s="99"/>
      <c r="N767" s="43">
        <f t="shared" si="11"/>
        <v>0</v>
      </c>
    </row>
    <row r="768" spans="10:14" ht="1.5" customHeight="1">
      <c r="J768" s="99"/>
      <c r="K768" s="99"/>
      <c r="L768" s="99"/>
      <c r="M768" s="99"/>
      <c r="N768" s="43">
        <f t="shared" si="11"/>
        <v>0</v>
      </c>
    </row>
    <row r="769" spans="10:14" ht="1.5" customHeight="1">
      <c r="J769" s="99"/>
      <c r="K769" s="99"/>
      <c r="L769" s="99"/>
      <c r="M769" s="99"/>
      <c r="N769" s="43">
        <f t="shared" si="11"/>
        <v>0</v>
      </c>
    </row>
    <row r="770" spans="10:14" ht="1.5" customHeight="1">
      <c r="J770" s="99"/>
      <c r="K770" s="99"/>
      <c r="L770" s="99"/>
      <c r="M770" s="99"/>
      <c r="N770" s="43">
        <f t="shared" si="11"/>
        <v>0</v>
      </c>
    </row>
    <row r="771" spans="10:14" ht="1.5" customHeight="1">
      <c r="J771" s="99"/>
      <c r="K771" s="99"/>
      <c r="L771" s="99"/>
      <c r="M771" s="99"/>
      <c r="N771" s="43">
        <f t="shared" si="11"/>
        <v>0</v>
      </c>
    </row>
    <row r="772" spans="10:14" ht="1.5" customHeight="1">
      <c r="J772" s="99"/>
      <c r="K772" s="99"/>
      <c r="L772" s="99"/>
      <c r="M772" s="99"/>
      <c r="N772" s="43">
        <f t="shared" si="11"/>
        <v>0</v>
      </c>
    </row>
    <row r="773" spans="10:14" ht="1.5" customHeight="1">
      <c r="J773" s="99"/>
      <c r="K773" s="99"/>
      <c r="L773" s="99"/>
      <c r="M773" s="99"/>
      <c r="N773" s="43">
        <f t="shared" si="11"/>
        <v>0</v>
      </c>
    </row>
    <row r="774" spans="10:14" ht="1.5" customHeight="1">
      <c r="J774" s="99"/>
      <c r="K774" s="99"/>
      <c r="L774" s="99"/>
      <c r="M774" s="99"/>
      <c r="N774" s="43">
        <f t="shared" si="11"/>
        <v>0</v>
      </c>
    </row>
    <row r="775" spans="10:14" ht="1.5" customHeight="1">
      <c r="J775" s="99"/>
      <c r="K775" s="99"/>
      <c r="L775" s="99"/>
      <c r="M775" s="99"/>
      <c r="N775" s="43">
        <f t="shared" si="11"/>
        <v>0</v>
      </c>
    </row>
    <row r="776" spans="10:14" ht="1.5" customHeight="1">
      <c r="J776" s="99"/>
      <c r="K776" s="99"/>
      <c r="L776" s="99"/>
      <c r="M776" s="99"/>
      <c r="N776" s="43">
        <f t="shared" si="11"/>
        <v>0</v>
      </c>
    </row>
    <row r="777" spans="10:14" ht="1.5" customHeight="1">
      <c r="J777" s="99"/>
      <c r="K777" s="99"/>
      <c r="L777" s="99"/>
      <c r="M777" s="99"/>
      <c r="N777" s="43">
        <f t="shared" si="11"/>
        <v>0</v>
      </c>
    </row>
    <row r="778" spans="10:14" ht="1.5" customHeight="1">
      <c r="J778" s="99"/>
      <c r="K778" s="99"/>
      <c r="L778" s="99"/>
      <c r="M778" s="99"/>
      <c r="N778" s="43">
        <f t="shared" si="11"/>
        <v>0</v>
      </c>
    </row>
    <row r="779" spans="10:14" ht="1.5" customHeight="1">
      <c r="J779" s="99"/>
      <c r="K779" s="99"/>
      <c r="L779" s="99"/>
      <c r="M779" s="99"/>
      <c r="N779" s="43">
        <f t="shared" ref="N779:N811" si="12">IF($L$4=$C$10,C779,IF(D779="","",B779))</f>
        <v>0</v>
      </c>
    </row>
    <row r="780" spans="10:14" ht="1.5" customHeight="1">
      <c r="J780" s="99"/>
      <c r="K780" s="99"/>
      <c r="L780" s="99"/>
      <c r="M780" s="99"/>
      <c r="N780" s="43">
        <f t="shared" si="12"/>
        <v>0</v>
      </c>
    </row>
    <row r="781" spans="10:14" ht="1.5" customHeight="1">
      <c r="J781" s="99"/>
      <c r="K781" s="99"/>
      <c r="L781" s="99"/>
      <c r="M781" s="99"/>
      <c r="N781" s="43">
        <f t="shared" si="12"/>
        <v>0</v>
      </c>
    </row>
    <row r="782" spans="10:14" ht="1.5" customHeight="1">
      <c r="J782" s="99"/>
      <c r="K782" s="99"/>
      <c r="L782" s="99"/>
      <c r="M782" s="99"/>
      <c r="N782" s="43">
        <f t="shared" si="12"/>
        <v>0</v>
      </c>
    </row>
    <row r="783" spans="10:14" ht="1.5" customHeight="1">
      <c r="J783" s="99"/>
      <c r="K783" s="99"/>
      <c r="L783" s="99"/>
      <c r="M783" s="99"/>
      <c r="N783" s="43">
        <f t="shared" si="12"/>
        <v>0</v>
      </c>
    </row>
    <row r="784" spans="10:14" ht="1.5" customHeight="1">
      <c r="J784" s="99"/>
      <c r="K784" s="99"/>
      <c r="L784" s="99"/>
      <c r="M784" s="99"/>
      <c r="N784" s="43">
        <f t="shared" si="12"/>
        <v>0</v>
      </c>
    </row>
    <row r="785" spans="10:14" ht="1.5" customHeight="1">
      <c r="J785" s="99"/>
      <c r="K785" s="99"/>
      <c r="L785" s="99"/>
      <c r="M785" s="99"/>
      <c r="N785" s="43">
        <f t="shared" si="12"/>
        <v>0</v>
      </c>
    </row>
    <row r="786" spans="10:14" ht="1.5" customHeight="1">
      <c r="J786" s="99"/>
      <c r="K786" s="99"/>
      <c r="L786" s="99"/>
      <c r="M786" s="99"/>
      <c r="N786" s="43">
        <f t="shared" si="12"/>
        <v>0</v>
      </c>
    </row>
    <row r="787" spans="10:14" ht="1.5" customHeight="1">
      <c r="J787" s="99"/>
      <c r="K787" s="99"/>
      <c r="L787" s="99"/>
      <c r="M787" s="99"/>
      <c r="N787" s="43">
        <f t="shared" si="12"/>
        <v>0</v>
      </c>
    </row>
    <row r="788" spans="10:14" ht="1.5" customHeight="1">
      <c r="J788" s="99"/>
      <c r="K788" s="99"/>
      <c r="L788" s="99"/>
      <c r="M788" s="99"/>
      <c r="N788" s="43">
        <f t="shared" si="12"/>
        <v>0</v>
      </c>
    </row>
    <row r="789" spans="10:14" ht="1.5" customHeight="1">
      <c r="J789" s="99"/>
      <c r="K789" s="99"/>
      <c r="L789" s="99"/>
      <c r="M789" s="99"/>
      <c r="N789" s="43">
        <f t="shared" si="12"/>
        <v>0</v>
      </c>
    </row>
    <row r="790" spans="10:14" ht="1.5" customHeight="1">
      <c r="J790" s="99"/>
      <c r="K790" s="99"/>
      <c r="L790" s="99"/>
      <c r="M790" s="99"/>
      <c r="N790" s="43">
        <f t="shared" si="12"/>
        <v>0</v>
      </c>
    </row>
    <row r="791" spans="10:14" ht="1.5" customHeight="1">
      <c r="J791" s="99"/>
      <c r="K791" s="99"/>
      <c r="L791" s="99"/>
      <c r="M791" s="99"/>
      <c r="N791" s="43">
        <f t="shared" si="12"/>
        <v>0</v>
      </c>
    </row>
    <row r="792" spans="10:14" ht="1.5" customHeight="1">
      <c r="J792" s="99"/>
      <c r="K792" s="99"/>
      <c r="L792" s="99"/>
      <c r="M792" s="99"/>
      <c r="N792" s="43">
        <f t="shared" si="12"/>
        <v>0</v>
      </c>
    </row>
    <row r="793" spans="10:14" ht="1.5" customHeight="1">
      <c r="J793" s="99"/>
      <c r="K793" s="99"/>
      <c r="L793" s="99"/>
      <c r="M793" s="99"/>
      <c r="N793" s="43">
        <f t="shared" si="12"/>
        <v>0</v>
      </c>
    </row>
    <row r="794" spans="10:14" ht="1.5" customHeight="1">
      <c r="J794" s="99"/>
      <c r="K794" s="99"/>
      <c r="L794" s="99"/>
      <c r="M794" s="99"/>
      <c r="N794" s="43">
        <f t="shared" si="12"/>
        <v>0</v>
      </c>
    </row>
    <row r="795" spans="10:14" ht="1.5" customHeight="1">
      <c r="J795" s="99"/>
      <c r="K795" s="99"/>
      <c r="L795" s="99"/>
      <c r="M795" s="99"/>
      <c r="N795" s="43">
        <f t="shared" si="12"/>
        <v>0</v>
      </c>
    </row>
    <row r="796" spans="10:14" ht="1.5" customHeight="1">
      <c r="J796" s="99"/>
      <c r="K796" s="99"/>
      <c r="L796" s="99"/>
      <c r="M796" s="99"/>
      <c r="N796" s="43">
        <f t="shared" si="12"/>
        <v>0</v>
      </c>
    </row>
    <row r="797" spans="10:14" ht="1.5" customHeight="1">
      <c r="J797" s="99"/>
      <c r="K797" s="99"/>
      <c r="L797" s="99"/>
      <c r="M797" s="99"/>
      <c r="N797" s="43">
        <f t="shared" si="12"/>
        <v>0</v>
      </c>
    </row>
    <row r="798" spans="10:14" ht="1.5" customHeight="1">
      <c r="J798" s="99"/>
      <c r="K798" s="99"/>
      <c r="L798" s="99"/>
      <c r="M798" s="99"/>
      <c r="N798" s="43">
        <f t="shared" si="12"/>
        <v>0</v>
      </c>
    </row>
    <row r="799" spans="10:14" ht="1.5" customHeight="1">
      <c r="J799" s="99"/>
      <c r="K799" s="99"/>
      <c r="L799" s="99"/>
      <c r="M799" s="99"/>
      <c r="N799" s="43">
        <f t="shared" si="12"/>
        <v>0</v>
      </c>
    </row>
    <row r="800" spans="10:14" ht="1.5" customHeight="1">
      <c r="J800" s="99"/>
      <c r="K800" s="99"/>
      <c r="L800" s="99"/>
      <c r="M800" s="99"/>
      <c r="N800" s="43">
        <f t="shared" si="12"/>
        <v>0</v>
      </c>
    </row>
    <row r="801" spans="10:14" ht="1.5" customHeight="1">
      <c r="J801" s="99"/>
      <c r="K801" s="99"/>
      <c r="L801" s="99"/>
      <c r="M801" s="99"/>
      <c r="N801" s="43">
        <f t="shared" si="12"/>
        <v>0</v>
      </c>
    </row>
    <row r="802" spans="10:14" ht="1.5" customHeight="1">
      <c r="J802" s="99"/>
      <c r="K802" s="99"/>
      <c r="L802" s="99"/>
      <c r="M802" s="99"/>
      <c r="N802" s="43">
        <f t="shared" si="12"/>
        <v>0</v>
      </c>
    </row>
    <row r="803" spans="10:14" ht="1.5" customHeight="1">
      <c r="J803" s="99"/>
      <c r="K803" s="99"/>
      <c r="L803" s="99"/>
      <c r="M803" s="99"/>
      <c r="N803" s="43">
        <f t="shared" si="12"/>
        <v>0</v>
      </c>
    </row>
    <row r="804" spans="10:14" ht="1.5" customHeight="1">
      <c r="J804" s="99"/>
      <c r="K804" s="99"/>
      <c r="L804" s="99"/>
      <c r="M804" s="99"/>
      <c r="N804" s="43">
        <f t="shared" si="12"/>
        <v>0</v>
      </c>
    </row>
    <row r="805" spans="10:14" ht="1.5" customHeight="1">
      <c r="J805" s="99"/>
      <c r="K805" s="99"/>
      <c r="L805" s="99"/>
      <c r="M805" s="99"/>
      <c r="N805" s="43">
        <f t="shared" si="12"/>
        <v>0</v>
      </c>
    </row>
    <row r="806" spans="10:14" ht="1.5" customHeight="1">
      <c r="J806" s="99"/>
      <c r="K806" s="99"/>
      <c r="L806" s="99"/>
      <c r="M806" s="99"/>
      <c r="N806" s="43">
        <f t="shared" si="12"/>
        <v>0</v>
      </c>
    </row>
    <row r="807" spans="10:14" ht="1.5" customHeight="1">
      <c r="J807" s="99"/>
      <c r="K807" s="99"/>
      <c r="L807" s="99"/>
      <c r="M807" s="99"/>
      <c r="N807" s="43">
        <f t="shared" si="12"/>
        <v>0</v>
      </c>
    </row>
    <row r="808" spans="10:14" ht="1.5" customHeight="1">
      <c r="J808" s="99"/>
      <c r="K808" s="99"/>
      <c r="L808" s="99"/>
      <c r="M808" s="99"/>
      <c r="N808" s="43">
        <f t="shared" si="12"/>
        <v>0</v>
      </c>
    </row>
    <row r="809" spans="10:14" ht="1.5" customHeight="1">
      <c r="J809" s="99"/>
      <c r="K809" s="99"/>
      <c r="L809" s="99"/>
      <c r="M809" s="99"/>
      <c r="N809" s="43">
        <f t="shared" si="12"/>
        <v>0</v>
      </c>
    </row>
    <row r="810" spans="10:14" ht="1.5" customHeight="1">
      <c r="J810" s="99"/>
      <c r="K810" s="99"/>
      <c r="L810" s="99"/>
      <c r="M810" s="99"/>
      <c r="N810" s="43">
        <f t="shared" si="12"/>
        <v>0</v>
      </c>
    </row>
    <row r="811" spans="10:14" ht="1.5" customHeight="1">
      <c r="J811" s="99"/>
      <c r="K811" s="99"/>
      <c r="L811" s="99"/>
      <c r="M811" s="99"/>
      <c r="N811" s="43">
        <f t="shared" si="12"/>
        <v>0</v>
      </c>
    </row>
    <row r="812" spans="10:14" ht="12.6" customHeight="1">
      <c r="J812" s="99"/>
      <c r="K812" s="99"/>
      <c r="L812" s="99"/>
      <c r="M812" s="99"/>
      <c r="N812" s="43"/>
    </row>
    <row r="813" spans="10:14" ht="12.6" customHeight="1"/>
  </sheetData>
  <mergeCells count="1641">
    <mergeCell ref="T3:Y3"/>
    <mergeCell ref="T4:Y4"/>
    <mergeCell ref="T5:Y5"/>
    <mergeCell ref="T6:Y6"/>
    <mergeCell ref="T7:Y7"/>
    <mergeCell ref="T8:Y8"/>
    <mergeCell ref="T9:Y9"/>
    <mergeCell ref="L812:M812"/>
    <mergeCell ref="L808:M808"/>
    <mergeCell ref="L809:M809"/>
    <mergeCell ref="L810:M810"/>
    <mergeCell ref="L811:M811"/>
    <mergeCell ref="L805:M805"/>
    <mergeCell ref="L806:M806"/>
    <mergeCell ref="L801:M801"/>
    <mergeCell ref="L802:M802"/>
    <mergeCell ref="L787:M787"/>
    <mergeCell ref="L788:M788"/>
    <mergeCell ref="L791:M791"/>
    <mergeCell ref="L792:M792"/>
    <mergeCell ref="L793:M793"/>
    <mergeCell ref="L794:M794"/>
    <mergeCell ref="L795:M795"/>
    <mergeCell ref="L796:M796"/>
    <mergeCell ref="L797:M797"/>
    <mergeCell ref="L798:M798"/>
    <mergeCell ref="L799:M799"/>
    <mergeCell ref="L800:M800"/>
    <mergeCell ref="L803:M803"/>
    <mergeCell ref="L804:M804"/>
    <mergeCell ref="L807:M807"/>
    <mergeCell ref="L769:M769"/>
    <mergeCell ref="L770:M770"/>
    <mergeCell ref="L755:M755"/>
    <mergeCell ref="L756:M756"/>
    <mergeCell ref="L759:M759"/>
    <mergeCell ref="L760:M760"/>
    <mergeCell ref="L761:M761"/>
    <mergeCell ref="L762:M762"/>
    <mergeCell ref="L763:M763"/>
    <mergeCell ref="L764:M764"/>
    <mergeCell ref="L765:M765"/>
    <mergeCell ref="L766:M766"/>
    <mergeCell ref="L767:M767"/>
    <mergeCell ref="L768:M768"/>
    <mergeCell ref="L789:M789"/>
    <mergeCell ref="L790:M790"/>
    <mergeCell ref="L775:M775"/>
    <mergeCell ref="L776:M776"/>
    <mergeCell ref="L777:M777"/>
    <mergeCell ref="L778:M778"/>
    <mergeCell ref="L779:M779"/>
    <mergeCell ref="L780:M780"/>
    <mergeCell ref="L785:M785"/>
    <mergeCell ref="L786:M786"/>
    <mergeCell ref="L771:M771"/>
    <mergeCell ref="L772:M772"/>
    <mergeCell ref="L773:M773"/>
    <mergeCell ref="L774:M774"/>
    <mergeCell ref="L781:M781"/>
    <mergeCell ref="L782:M782"/>
    <mergeCell ref="L783:M783"/>
    <mergeCell ref="L784:M784"/>
    <mergeCell ref="L737:M737"/>
    <mergeCell ref="L738:M738"/>
    <mergeCell ref="L723:M723"/>
    <mergeCell ref="L724:M724"/>
    <mergeCell ref="L727:M727"/>
    <mergeCell ref="L728:M728"/>
    <mergeCell ref="L729:M729"/>
    <mergeCell ref="L730:M730"/>
    <mergeCell ref="L731:M731"/>
    <mergeCell ref="L732:M732"/>
    <mergeCell ref="L733:M733"/>
    <mergeCell ref="L734:M734"/>
    <mergeCell ref="L735:M735"/>
    <mergeCell ref="L736:M736"/>
    <mergeCell ref="L757:M757"/>
    <mergeCell ref="L758:M758"/>
    <mergeCell ref="L743:M743"/>
    <mergeCell ref="L744:M744"/>
    <mergeCell ref="L745:M745"/>
    <mergeCell ref="L746:M746"/>
    <mergeCell ref="L747:M747"/>
    <mergeCell ref="L748:M748"/>
    <mergeCell ref="L753:M753"/>
    <mergeCell ref="L754:M754"/>
    <mergeCell ref="L739:M739"/>
    <mergeCell ref="L740:M740"/>
    <mergeCell ref="L741:M741"/>
    <mergeCell ref="L742:M742"/>
    <mergeCell ref="L749:M749"/>
    <mergeCell ref="L750:M750"/>
    <mergeCell ref="L751:M751"/>
    <mergeCell ref="L752:M752"/>
    <mergeCell ref="L705:M705"/>
    <mergeCell ref="L706:M706"/>
    <mergeCell ref="L691:M691"/>
    <mergeCell ref="L692:M692"/>
    <mergeCell ref="L695:M695"/>
    <mergeCell ref="L696:M696"/>
    <mergeCell ref="L697:M697"/>
    <mergeCell ref="L698:M698"/>
    <mergeCell ref="L699:M699"/>
    <mergeCell ref="L700:M700"/>
    <mergeCell ref="L701:M701"/>
    <mergeCell ref="L702:M702"/>
    <mergeCell ref="L703:M703"/>
    <mergeCell ref="L704:M704"/>
    <mergeCell ref="L725:M725"/>
    <mergeCell ref="L726:M726"/>
    <mergeCell ref="L711:M711"/>
    <mergeCell ref="L712:M712"/>
    <mergeCell ref="L713:M713"/>
    <mergeCell ref="L714:M714"/>
    <mergeCell ref="L715:M715"/>
    <mergeCell ref="L716:M716"/>
    <mergeCell ref="L721:M721"/>
    <mergeCell ref="L722:M722"/>
    <mergeCell ref="L707:M707"/>
    <mergeCell ref="L708:M708"/>
    <mergeCell ref="L709:M709"/>
    <mergeCell ref="L710:M710"/>
    <mergeCell ref="L717:M717"/>
    <mergeCell ref="L718:M718"/>
    <mergeCell ref="L719:M719"/>
    <mergeCell ref="L720:M720"/>
    <mergeCell ref="L673:M673"/>
    <mergeCell ref="L674:M674"/>
    <mergeCell ref="L659:M659"/>
    <mergeCell ref="L660:M660"/>
    <mergeCell ref="L663:M663"/>
    <mergeCell ref="L664:M664"/>
    <mergeCell ref="L665:M665"/>
    <mergeCell ref="L666:M666"/>
    <mergeCell ref="L667:M667"/>
    <mergeCell ref="L668:M668"/>
    <mergeCell ref="L669:M669"/>
    <mergeCell ref="L670:M670"/>
    <mergeCell ref="L671:M671"/>
    <mergeCell ref="L672:M672"/>
    <mergeCell ref="L693:M693"/>
    <mergeCell ref="L694:M694"/>
    <mergeCell ref="L679:M679"/>
    <mergeCell ref="L680:M680"/>
    <mergeCell ref="L681:M681"/>
    <mergeCell ref="L682:M682"/>
    <mergeCell ref="L683:M683"/>
    <mergeCell ref="L684:M684"/>
    <mergeCell ref="L689:M689"/>
    <mergeCell ref="L690:M690"/>
    <mergeCell ref="L675:M675"/>
    <mergeCell ref="L676:M676"/>
    <mergeCell ref="L677:M677"/>
    <mergeCell ref="L678:M678"/>
    <mergeCell ref="L685:M685"/>
    <mergeCell ref="L686:M686"/>
    <mergeCell ref="L687:M687"/>
    <mergeCell ref="L688:M688"/>
    <mergeCell ref="L641:M641"/>
    <mergeCell ref="L642:M642"/>
    <mergeCell ref="L627:M627"/>
    <mergeCell ref="L628:M628"/>
    <mergeCell ref="L631:M631"/>
    <mergeCell ref="L632:M632"/>
    <mergeCell ref="L633:M633"/>
    <mergeCell ref="L634:M634"/>
    <mergeCell ref="L635:M635"/>
    <mergeCell ref="L636:M636"/>
    <mergeCell ref="L637:M637"/>
    <mergeCell ref="L638:M638"/>
    <mergeCell ref="L639:M639"/>
    <mergeCell ref="L640:M640"/>
    <mergeCell ref="L661:M661"/>
    <mergeCell ref="L662:M662"/>
    <mergeCell ref="L647:M647"/>
    <mergeCell ref="L648:M648"/>
    <mergeCell ref="L649:M649"/>
    <mergeCell ref="L650:M650"/>
    <mergeCell ref="L651:M651"/>
    <mergeCell ref="L652:M652"/>
    <mergeCell ref="L657:M657"/>
    <mergeCell ref="L658:M658"/>
    <mergeCell ref="L643:M643"/>
    <mergeCell ref="L644:M644"/>
    <mergeCell ref="L645:M645"/>
    <mergeCell ref="L646:M646"/>
    <mergeCell ref="L653:M653"/>
    <mergeCell ref="L654:M654"/>
    <mergeCell ref="L655:M655"/>
    <mergeCell ref="L656:M656"/>
    <mergeCell ref="L609:M609"/>
    <mergeCell ref="L610:M610"/>
    <mergeCell ref="L595:M595"/>
    <mergeCell ref="L596:M596"/>
    <mergeCell ref="L599:M599"/>
    <mergeCell ref="L600:M600"/>
    <mergeCell ref="L601:M601"/>
    <mergeCell ref="L602:M602"/>
    <mergeCell ref="L603:M603"/>
    <mergeCell ref="L604:M604"/>
    <mergeCell ref="L605:M605"/>
    <mergeCell ref="L606:M606"/>
    <mergeCell ref="L607:M607"/>
    <mergeCell ref="L608:M608"/>
    <mergeCell ref="L629:M629"/>
    <mergeCell ref="L630:M630"/>
    <mergeCell ref="L615:M615"/>
    <mergeCell ref="L616:M616"/>
    <mergeCell ref="L617:M617"/>
    <mergeCell ref="L618:M618"/>
    <mergeCell ref="L619:M619"/>
    <mergeCell ref="L620:M620"/>
    <mergeCell ref="L625:M625"/>
    <mergeCell ref="L626:M626"/>
    <mergeCell ref="L611:M611"/>
    <mergeCell ref="L612:M612"/>
    <mergeCell ref="L613:M613"/>
    <mergeCell ref="L614:M614"/>
    <mergeCell ref="L621:M621"/>
    <mergeCell ref="L622:M622"/>
    <mergeCell ref="L623:M623"/>
    <mergeCell ref="L624:M624"/>
    <mergeCell ref="L577:M577"/>
    <mergeCell ref="L578:M578"/>
    <mergeCell ref="L563:M563"/>
    <mergeCell ref="L564:M564"/>
    <mergeCell ref="L567:M567"/>
    <mergeCell ref="L568:M568"/>
    <mergeCell ref="L569:M569"/>
    <mergeCell ref="L570:M570"/>
    <mergeCell ref="L571:M571"/>
    <mergeCell ref="L572:M572"/>
    <mergeCell ref="L573:M573"/>
    <mergeCell ref="L574:M574"/>
    <mergeCell ref="L575:M575"/>
    <mergeCell ref="L576:M576"/>
    <mergeCell ref="L597:M597"/>
    <mergeCell ref="L598:M598"/>
    <mergeCell ref="L583:M583"/>
    <mergeCell ref="L584:M584"/>
    <mergeCell ref="L585:M585"/>
    <mergeCell ref="L586:M586"/>
    <mergeCell ref="L587:M587"/>
    <mergeCell ref="L588:M588"/>
    <mergeCell ref="L593:M593"/>
    <mergeCell ref="L594:M594"/>
    <mergeCell ref="L579:M579"/>
    <mergeCell ref="L580:M580"/>
    <mergeCell ref="L581:M581"/>
    <mergeCell ref="L582:M582"/>
    <mergeCell ref="L589:M589"/>
    <mergeCell ref="L590:M590"/>
    <mergeCell ref="L591:M591"/>
    <mergeCell ref="L592:M592"/>
    <mergeCell ref="L545:M545"/>
    <mergeCell ref="L546:M546"/>
    <mergeCell ref="L531:M531"/>
    <mergeCell ref="L532:M532"/>
    <mergeCell ref="L535:M535"/>
    <mergeCell ref="L536:M536"/>
    <mergeCell ref="L537:M537"/>
    <mergeCell ref="L538:M538"/>
    <mergeCell ref="L539:M539"/>
    <mergeCell ref="L540:M540"/>
    <mergeCell ref="L541:M541"/>
    <mergeCell ref="L542:M542"/>
    <mergeCell ref="L543:M543"/>
    <mergeCell ref="L544:M544"/>
    <mergeCell ref="L565:M565"/>
    <mergeCell ref="L566:M566"/>
    <mergeCell ref="L551:M551"/>
    <mergeCell ref="L552:M552"/>
    <mergeCell ref="L553:M553"/>
    <mergeCell ref="L554:M554"/>
    <mergeCell ref="L555:M555"/>
    <mergeCell ref="L556:M556"/>
    <mergeCell ref="L561:M561"/>
    <mergeCell ref="L562:M562"/>
    <mergeCell ref="L547:M547"/>
    <mergeCell ref="L548:M548"/>
    <mergeCell ref="L549:M549"/>
    <mergeCell ref="L550:M550"/>
    <mergeCell ref="L557:M557"/>
    <mergeCell ref="L558:M558"/>
    <mergeCell ref="L559:M559"/>
    <mergeCell ref="L560:M560"/>
    <mergeCell ref="L513:M513"/>
    <mergeCell ref="L514:M514"/>
    <mergeCell ref="L499:M499"/>
    <mergeCell ref="L500:M500"/>
    <mergeCell ref="L503:M503"/>
    <mergeCell ref="L504:M504"/>
    <mergeCell ref="L505:M505"/>
    <mergeCell ref="L506:M506"/>
    <mergeCell ref="L507:M507"/>
    <mergeCell ref="L508:M508"/>
    <mergeCell ref="L509:M509"/>
    <mergeCell ref="L510:M510"/>
    <mergeCell ref="L511:M511"/>
    <mergeCell ref="L512:M512"/>
    <mergeCell ref="L533:M533"/>
    <mergeCell ref="L534:M534"/>
    <mergeCell ref="L519:M519"/>
    <mergeCell ref="L520:M520"/>
    <mergeCell ref="L521:M521"/>
    <mergeCell ref="L522:M522"/>
    <mergeCell ref="L523:M523"/>
    <mergeCell ref="L524:M524"/>
    <mergeCell ref="L529:M529"/>
    <mergeCell ref="L530:M530"/>
    <mergeCell ref="L515:M515"/>
    <mergeCell ref="L516:M516"/>
    <mergeCell ref="L517:M517"/>
    <mergeCell ref="L518:M518"/>
    <mergeCell ref="L525:M525"/>
    <mergeCell ref="L526:M526"/>
    <mergeCell ref="L527:M527"/>
    <mergeCell ref="L528:M528"/>
    <mergeCell ref="L481:M481"/>
    <mergeCell ref="L482:M482"/>
    <mergeCell ref="L467:M467"/>
    <mergeCell ref="L468:M468"/>
    <mergeCell ref="L471:M471"/>
    <mergeCell ref="L472:M472"/>
    <mergeCell ref="L473:M473"/>
    <mergeCell ref="L474:M474"/>
    <mergeCell ref="L475:M475"/>
    <mergeCell ref="L476:M476"/>
    <mergeCell ref="L477:M477"/>
    <mergeCell ref="L478:M478"/>
    <mergeCell ref="L479:M479"/>
    <mergeCell ref="L480:M480"/>
    <mergeCell ref="L501:M501"/>
    <mergeCell ref="L502:M502"/>
    <mergeCell ref="L487:M487"/>
    <mergeCell ref="L488:M488"/>
    <mergeCell ref="L489:M489"/>
    <mergeCell ref="L490:M490"/>
    <mergeCell ref="L491:M491"/>
    <mergeCell ref="L492:M492"/>
    <mergeCell ref="L497:M497"/>
    <mergeCell ref="L498:M498"/>
    <mergeCell ref="L483:M483"/>
    <mergeCell ref="L484:M484"/>
    <mergeCell ref="L485:M485"/>
    <mergeCell ref="L486:M486"/>
    <mergeCell ref="L493:M493"/>
    <mergeCell ref="L494:M494"/>
    <mergeCell ref="L495:M495"/>
    <mergeCell ref="L496:M496"/>
    <mergeCell ref="L449:M449"/>
    <mergeCell ref="L450:M450"/>
    <mergeCell ref="L435:M435"/>
    <mergeCell ref="L436:M436"/>
    <mergeCell ref="L439:M439"/>
    <mergeCell ref="L440:M440"/>
    <mergeCell ref="L441:M441"/>
    <mergeCell ref="L442:M442"/>
    <mergeCell ref="L443:M443"/>
    <mergeCell ref="L444:M444"/>
    <mergeCell ref="L445:M445"/>
    <mergeCell ref="L446:M446"/>
    <mergeCell ref="L447:M447"/>
    <mergeCell ref="L448:M448"/>
    <mergeCell ref="L469:M469"/>
    <mergeCell ref="L470:M470"/>
    <mergeCell ref="L455:M455"/>
    <mergeCell ref="L456:M456"/>
    <mergeCell ref="L457:M457"/>
    <mergeCell ref="L458:M458"/>
    <mergeCell ref="L459:M459"/>
    <mergeCell ref="L460:M460"/>
    <mergeCell ref="L465:M465"/>
    <mergeCell ref="L466:M466"/>
    <mergeCell ref="L451:M451"/>
    <mergeCell ref="L452:M452"/>
    <mergeCell ref="L453:M453"/>
    <mergeCell ref="L454:M454"/>
    <mergeCell ref="L461:M461"/>
    <mergeCell ref="L462:M462"/>
    <mergeCell ref="L463:M463"/>
    <mergeCell ref="L464:M464"/>
    <mergeCell ref="L417:M417"/>
    <mergeCell ref="L418:M418"/>
    <mergeCell ref="L403:M403"/>
    <mergeCell ref="L404:M404"/>
    <mergeCell ref="L407:M407"/>
    <mergeCell ref="L408:M408"/>
    <mergeCell ref="L409:M409"/>
    <mergeCell ref="L410:M410"/>
    <mergeCell ref="L411:M411"/>
    <mergeCell ref="L412:M412"/>
    <mergeCell ref="L413:M413"/>
    <mergeCell ref="L414:M414"/>
    <mergeCell ref="L415:M415"/>
    <mergeCell ref="L416:M416"/>
    <mergeCell ref="L437:M437"/>
    <mergeCell ref="L438:M438"/>
    <mergeCell ref="L423:M423"/>
    <mergeCell ref="L424:M424"/>
    <mergeCell ref="L425:M425"/>
    <mergeCell ref="L426:M426"/>
    <mergeCell ref="L427:M427"/>
    <mergeCell ref="L428:M428"/>
    <mergeCell ref="L433:M433"/>
    <mergeCell ref="L434:M434"/>
    <mergeCell ref="L419:M419"/>
    <mergeCell ref="L420:M420"/>
    <mergeCell ref="L421:M421"/>
    <mergeCell ref="L422:M422"/>
    <mergeCell ref="L429:M429"/>
    <mergeCell ref="L430:M430"/>
    <mergeCell ref="L431:M431"/>
    <mergeCell ref="L432:M432"/>
    <mergeCell ref="L385:M385"/>
    <mergeCell ref="L386:M386"/>
    <mergeCell ref="L371:M371"/>
    <mergeCell ref="L372:M372"/>
    <mergeCell ref="L375:M375"/>
    <mergeCell ref="L376:M376"/>
    <mergeCell ref="L377:M377"/>
    <mergeCell ref="L378:M378"/>
    <mergeCell ref="L379:M379"/>
    <mergeCell ref="L380:M380"/>
    <mergeCell ref="L381:M381"/>
    <mergeCell ref="L382:M382"/>
    <mergeCell ref="L383:M383"/>
    <mergeCell ref="L384:M384"/>
    <mergeCell ref="L405:M405"/>
    <mergeCell ref="L406:M406"/>
    <mergeCell ref="L391:M391"/>
    <mergeCell ref="L392:M392"/>
    <mergeCell ref="L393:M393"/>
    <mergeCell ref="L394:M394"/>
    <mergeCell ref="L395:M395"/>
    <mergeCell ref="L396:M396"/>
    <mergeCell ref="L401:M401"/>
    <mergeCell ref="L402:M402"/>
    <mergeCell ref="L387:M387"/>
    <mergeCell ref="L388:M388"/>
    <mergeCell ref="L389:M389"/>
    <mergeCell ref="L390:M390"/>
    <mergeCell ref="L397:M397"/>
    <mergeCell ref="L398:M398"/>
    <mergeCell ref="L399:M399"/>
    <mergeCell ref="L400:M400"/>
    <mergeCell ref="L353:M353"/>
    <mergeCell ref="L354:M354"/>
    <mergeCell ref="L339:M339"/>
    <mergeCell ref="L340:M340"/>
    <mergeCell ref="L343:M343"/>
    <mergeCell ref="L344:M344"/>
    <mergeCell ref="L345:M345"/>
    <mergeCell ref="L346:M346"/>
    <mergeCell ref="L347:M347"/>
    <mergeCell ref="L348:M348"/>
    <mergeCell ref="L349:M349"/>
    <mergeCell ref="L350:M350"/>
    <mergeCell ref="L351:M351"/>
    <mergeCell ref="L352:M352"/>
    <mergeCell ref="L373:M373"/>
    <mergeCell ref="L374:M374"/>
    <mergeCell ref="L359:M359"/>
    <mergeCell ref="L360:M360"/>
    <mergeCell ref="L361:M361"/>
    <mergeCell ref="L362:M362"/>
    <mergeCell ref="L363:M363"/>
    <mergeCell ref="L364:M364"/>
    <mergeCell ref="L369:M369"/>
    <mergeCell ref="L370:M370"/>
    <mergeCell ref="L355:M355"/>
    <mergeCell ref="L356:M356"/>
    <mergeCell ref="L357:M357"/>
    <mergeCell ref="L358:M358"/>
    <mergeCell ref="L365:M365"/>
    <mergeCell ref="L366:M366"/>
    <mergeCell ref="L367:M367"/>
    <mergeCell ref="L368:M368"/>
    <mergeCell ref="L321:M321"/>
    <mergeCell ref="L322:M322"/>
    <mergeCell ref="L307:M307"/>
    <mergeCell ref="L308:M308"/>
    <mergeCell ref="L311:M311"/>
    <mergeCell ref="L312:M312"/>
    <mergeCell ref="L313:M313"/>
    <mergeCell ref="L314:M314"/>
    <mergeCell ref="L315:M315"/>
    <mergeCell ref="L316:M316"/>
    <mergeCell ref="L317:M317"/>
    <mergeCell ref="L318:M318"/>
    <mergeCell ref="L319:M319"/>
    <mergeCell ref="L320:M320"/>
    <mergeCell ref="L341:M341"/>
    <mergeCell ref="L342:M342"/>
    <mergeCell ref="L327:M327"/>
    <mergeCell ref="L328:M328"/>
    <mergeCell ref="L329:M329"/>
    <mergeCell ref="L330:M330"/>
    <mergeCell ref="L331:M331"/>
    <mergeCell ref="L332:M332"/>
    <mergeCell ref="L337:M337"/>
    <mergeCell ref="L338:M338"/>
    <mergeCell ref="L323:M323"/>
    <mergeCell ref="L324:M324"/>
    <mergeCell ref="L325:M325"/>
    <mergeCell ref="L326:M326"/>
    <mergeCell ref="L333:M333"/>
    <mergeCell ref="L334:M334"/>
    <mergeCell ref="L335:M335"/>
    <mergeCell ref="L336:M336"/>
    <mergeCell ref="L289:M289"/>
    <mergeCell ref="L290:M290"/>
    <mergeCell ref="L275:M275"/>
    <mergeCell ref="L276:M276"/>
    <mergeCell ref="L279:M279"/>
    <mergeCell ref="L280:M280"/>
    <mergeCell ref="L281:M281"/>
    <mergeCell ref="L282:M282"/>
    <mergeCell ref="L283:M283"/>
    <mergeCell ref="L284:M284"/>
    <mergeCell ref="L285:M285"/>
    <mergeCell ref="L286:M286"/>
    <mergeCell ref="L287:M287"/>
    <mergeCell ref="L288:M288"/>
    <mergeCell ref="L309:M309"/>
    <mergeCell ref="L310:M310"/>
    <mergeCell ref="L295:M295"/>
    <mergeCell ref="L296:M296"/>
    <mergeCell ref="L297:M297"/>
    <mergeCell ref="L298:M298"/>
    <mergeCell ref="L299:M299"/>
    <mergeCell ref="L300:M300"/>
    <mergeCell ref="L305:M305"/>
    <mergeCell ref="L306:M306"/>
    <mergeCell ref="L291:M291"/>
    <mergeCell ref="L292:M292"/>
    <mergeCell ref="L293:M293"/>
    <mergeCell ref="L294:M294"/>
    <mergeCell ref="L301:M301"/>
    <mergeCell ref="L302:M302"/>
    <mergeCell ref="L303:M303"/>
    <mergeCell ref="L304:M304"/>
    <mergeCell ref="L257:M257"/>
    <mergeCell ref="L258:M258"/>
    <mergeCell ref="L243:M243"/>
    <mergeCell ref="L244:M244"/>
    <mergeCell ref="L247:M247"/>
    <mergeCell ref="L248:M248"/>
    <mergeCell ref="L249:M249"/>
    <mergeCell ref="L250:M250"/>
    <mergeCell ref="L251:M251"/>
    <mergeCell ref="L252:M252"/>
    <mergeCell ref="L253:M253"/>
    <mergeCell ref="L254:M254"/>
    <mergeCell ref="L255:M255"/>
    <mergeCell ref="L256:M256"/>
    <mergeCell ref="L277:M277"/>
    <mergeCell ref="L278:M278"/>
    <mergeCell ref="L263:M263"/>
    <mergeCell ref="L264:M264"/>
    <mergeCell ref="L265:M265"/>
    <mergeCell ref="L266:M266"/>
    <mergeCell ref="L267:M267"/>
    <mergeCell ref="L268:M268"/>
    <mergeCell ref="L273:M273"/>
    <mergeCell ref="L274:M274"/>
    <mergeCell ref="L259:M259"/>
    <mergeCell ref="L260:M260"/>
    <mergeCell ref="L261:M261"/>
    <mergeCell ref="L262:M262"/>
    <mergeCell ref="L269:M269"/>
    <mergeCell ref="L270:M270"/>
    <mergeCell ref="L271:M271"/>
    <mergeCell ref="L272:M272"/>
    <mergeCell ref="L225:M225"/>
    <mergeCell ref="L226:M226"/>
    <mergeCell ref="L211:M211"/>
    <mergeCell ref="L212:M212"/>
    <mergeCell ref="L215:M215"/>
    <mergeCell ref="L216:M216"/>
    <mergeCell ref="L217:M217"/>
    <mergeCell ref="L218:M218"/>
    <mergeCell ref="L219:M219"/>
    <mergeCell ref="L220:M220"/>
    <mergeCell ref="L221:M221"/>
    <mergeCell ref="L222:M222"/>
    <mergeCell ref="L223:M223"/>
    <mergeCell ref="L224:M224"/>
    <mergeCell ref="L245:M245"/>
    <mergeCell ref="L246:M246"/>
    <mergeCell ref="L231:M231"/>
    <mergeCell ref="L232:M232"/>
    <mergeCell ref="L233:M233"/>
    <mergeCell ref="L234:M234"/>
    <mergeCell ref="L235:M235"/>
    <mergeCell ref="L236:M236"/>
    <mergeCell ref="L241:M241"/>
    <mergeCell ref="L242:M242"/>
    <mergeCell ref="L227:M227"/>
    <mergeCell ref="L228:M228"/>
    <mergeCell ref="L229:M229"/>
    <mergeCell ref="L230:M230"/>
    <mergeCell ref="L237:M237"/>
    <mergeCell ref="L238:M238"/>
    <mergeCell ref="L239:M239"/>
    <mergeCell ref="L240:M240"/>
    <mergeCell ref="L193:M193"/>
    <mergeCell ref="L194:M194"/>
    <mergeCell ref="L179:M179"/>
    <mergeCell ref="L180:M180"/>
    <mergeCell ref="L183:M183"/>
    <mergeCell ref="L184:M184"/>
    <mergeCell ref="L185:M185"/>
    <mergeCell ref="L186:M186"/>
    <mergeCell ref="L187:M187"/>
    <mergeCell ref="L188:M188"/>
    <mergeCell ref="L189:M189"/>
    <mergeCell ref="L190:M190"/>
    <mergeCell ref="L191:M191"/>
    <mergeCell ref="L192:M192"/>
    <mergeCell ref="L213:M213"/>
    <mergeCell ref="L214:M214"/>
    <mergeCell ref="L199:M199"/>
    <mergeCell ref="L200:M200"/>
    <mergeCell ref="L201:M201"/>
    <mergeCell ref="L202:M202"/>
    <mergeCell ref="L203:M203"/>
    <mergeCell ref="L204:M204"/>
    <mergeCell ref="L209:M209"/>
    <mergeCell ref="L210:M210"/>
    <mergeCell ref="L195:M195"/>
    <mergeCell ref="L196:M196"/>
    <mergeCell ref="L197:M197"/>
    <mergeCell ref="L198:M198"/>
    <mergeCell ref="L205:M205"/>
    <mergeCell ref="L206:M206"/>
    <mergeCell ref="L207:M207"/>
    <mergeCell ref="L208:M208"/>
    <mergeCell ref="L161:M161"/>
    <mergeCell ref="L162:M162"/>
    <mergeCell ref="L147:M147"/>
    <mergeCell ref="L148:M148"/>
    <mergeCell ref="L151:M151"/>
    <mergeCell ref="L152:M152"/>
    <mergeCell ref="L153:M153"/>
    <mergeCell ref="L154:M154"/>
    <mergeCell ref="L155:M155"/>
    <mergeCell ref="L156:M156"/>
    <mergeCell ref="L157:M157"/>
    <mergeCell ref="L158:M158"/>
    <mergeCell ref="L159:M159"/>
    <mergeCell ref="L160:M160"/>
    <mergeCell ref="L181:M181"/>
    <mergeCell ref="L182:M182"/>
    <mergeCell ref="L167:M167"/>
    <mergeCell ref="L168:M168"/>
    <mergeCell ref="L169:M169"/>
    <mergeCell ref="L170:M170"/>
    <mergeCell ref="L171:M171"/>
    <mergeCell ref="L172:M172"/>
    <mergeCell ref="L177:M177"/>
    <mergeCell ref="L178:M178"/>
    <mergeCell ref="L163:M163"/>
    <mergeCell ref="L164:M164"/>
    <mergeCell ref="L165:M165"/>
    <mergeCell ref="L166:M166"/>
    <mergeCell ref="L173:M173"/>
    <mergeCell ref="L174:M174"/>
    <mergeCell ref="L175:M175"/>
    <mergeCell ref="L176:M176"/>
    <mergeCell ref="L129:M129"/>
    <mergeCell ref="L130:M130"/>
    <mergeCell ref="L115:M115"/>
    <mergeCell ref="L116:M116"/>
    <mergeCell ref="L119:M119"/>
    <mergeCell ref="L120:M120"/>
    <mergeCell ref="L121:M121"/>
    <mergeCell ref="L122:M122"/>
    <mergeCell ref="L123:M123"/>
    <mergeCell ref="L124:M124"/>
    <mergeCell ref="L125:M125"/>
    <mergeCell ref="L126:M126"/>
    <mergeCell ref="L127:M127"/>
    <mergeCell ref="L128:M128"/>
    <mergeCell ref="L149:M149"/>
    <mergeCell ref="L150:M150"/>
    <mergeCell ref="L135:M135"/>
    <mergeCell ref="L136:M136"/>
    <mergeCell ref="L137:M137"/>
    <mergeCell ref="L138:M138"/>
    <mergeCell ref="L139:M139"/>
    <mergeCell ref="L140:M140"/>
    <mergeCell ref="L145:M145"/>
    <mergeCell ref="L146:M146"/>
    <mergeCell ref="L131:M131"/>
    <mergeCell ref="L132:M132"/>
    <mergeCell ref="L133:M133"/>
    <mergeCell ref="L134:M134"/>
    <mergeCell ref="L141:M141"/>
    <mergeCell ref="L142:M142"/>
    <mergeCell ref="L143:M143"/>
    <mergeCell ref="L144:M144"/>
    <mergeCell ref="L97:M97"/>
    <mergeCell ref="L98:M98"/>
    <mergeCell ref="L83:M83"/>
    <mergeCell ref="L84:M84"/>
    <mergeCell ref="L87:M87"/>
    <mergeCell ref="L88:M88"/>
    <mergeCell ref="L89:M89"/>
    <mergeCell ref="L90:M90"/>
    <mergeCell ref="L91:M91"/>
    <mergeCell ref="L92:M92"/>
    <mergeCell ref="L93:M93"/>
    <mergeCell ref="L94:M94"/>
    <mergeCell ref="L95:M95"/>
    <mergeCell ref="L96:M96"/>
    <mergeCell ref="L117:M117"/>
    <mergeCell ref="L118:M118"/>
    <mergeCell ref="L103:M103"/>
    <mergeCell ref="L104:M104"/>
    <mergeCell ref="L105:M105"/>
    <mergeCell ref="L106:M106"/>
    <mergeCell ref="L107:M107"/>
    <mergeCell ref="L108:M108"/>
    <mergeCell ref="L113:M113"/>
    <mergeCell ref="L114:M114"/>
    <mergeCell ref="L99:M99"/>
    <mergeCell ref="L100:M100"/>
    <mergeCell ref="L101:M101"/>
    <mergeCell ref="L102:M102"/>
    <mergeCell ref="L109:M109"/>
    <mergeCell ref="L110:M110"/>
    <mergeCell ref="L111:M111"/>
    <mergeCell ref="L112:M112"/>
    <mergeCell ref="L59:M59"/>
    <mergeCell ref="L60:M60"/>
    <mergeCell ref="L61:M61"/>
    <mergeCell ref="L62:M62"/>
    <mergeCell ref="L63:M63"/>
    <mergeCell ref="L64:M64"/>
    <mergeCell ref="L85:M85"/>
    <mergeCell ref="L86:M86"/>
    <mergeCell ref="L71:M71"/>
    <mergeCell ref="L72:M72"/>
    <mergeCell ref="L73:M73"/>
    <mergeCell ref="L74:M74"/>
    <mergeCell ref="L75:M75"/>
    <mergeCell ref="L76:M76"/>
    <mergeCell ref="L81:M81"/>
    <mergeCell ref="L82:M82"/>
    <mergeCell ref="L67:M67"/>
    <mergeCell ref="L68:M68"/>
    <mergeCell ref="L69:M69"/>
    <mergeCell ref="L70:M70"/>
    <mergeCell ref="L77:M77"/>
    <mergeCell ref="L78:M78"/>
    <mergeCell ref="L79:M79"/>
    <mergeCell ref="L80:M80"/>
    <mergeCell ref="L30:M30"/>
    <mergeCell ref="L23:M23"/>
    <mergeCell ref="J811:K811"/>
    <mergeCell ref="J812:K812"/>
    <mergeCell ref="J799:K799"/>
    <mergeCell ref="J800:K800"/>
    <mergeCell ref="J801:K801"/>
    <mergeCell ref="J802:K802"/>
    <mergeCell ref="J807:K807"/>
    <mergeCell ref="J808:K808"/>
    <mergeCell ref="J809:K809"/>
    <mergeCell ref="J810:K810"/>
    <mergeCell ref="L28:M28"/>
    <mergeCell ref="L29:M29"/>
    <mergeCell ref="L36:M36"/>
    <mergeCell ref="L37:M37"/>
    <mergeCell ref="L38:M38"/>
    <mergeCell ref="L31:M31"/>
    <mergeCell ref="L32:M32"/>
    <mergeCell ref="L33:M33"/>
    <mergeCell ref="L53:M53"/>
    <mergeCell ref="L54:M54"/>
    <mergeCell ref="L39:M39"/>
    <mergeCell ref="L40:M40"/>
    <mergeCell ref="L41:M41"/>
    <mergeCell ref="L42:M42"/>
    <mergeCell ref="L43:M43"/>
    <mergeCell ref="L52:M52"/>
    <mergeCell ref="L55:M55"/>
    <mergeCell ref="L56:M56"/>
    <mergeCell ref="L57:M57"/>
    <mergeCell ref="L58:M58"/>
    <mergeCell ref="J790:K790"/>
    <mergeCell ref="J805:K805"/>
    <mergeCell ref="J806:K806"/>
    <mergeCell ref="J795:K795"/>
    <mergeCell ref="J796:K796"/>
    <mergeCell ref="J797:K797"/>
    <mergeCell ref="J798:K798"/>
    <mergeCell ref="J803:K803"/>
    <mergeCell ref="J804:K804"/>
    <mergeCell ref="J791:K791"/>
    <mergeCell ref="J792:K792"/>
    <mergeCell ref="J793:K793"/>
    <mergeCell ref="J794:K794"/>
    <mergeCell ref="L20:M20"/>
    <mergeCell ref="L21:M21"/>
    <mergeCell ref="L22:M22"/>
    <mergeCell ref="L27:M27"/>
    <mergeCell ref="L24:M24"/>
    <mergeCell ref="L25:M25"/>
    <mergeCell ref="L26:M26"/>
    <mergeCell ref="L44:M44"/>
    <mergeCell ref="L49:M49"/>
    <mergeCell ref="L50:M50"/>
    <mergeCell ref="L34:M34"/>
    <mergeCell ref="L35:M35"/>
    <mergeCell ref="L45:M45"/>
    <mergeCell ref="L46:M46"/>
    <mergeCell ref="L47:M47"/>
    <mergeCell ref="L48:M48"/>
    <mergeCell ref="L65:M65"/>
    <mergeCell ref="L66:M66"/>
    <mergeCell ref="L51:M51"/>
    <mergeCell ref="J779:K779"/>
    <mergeCell ref="J764:K764"/>
    <mergeCell ref="J781:K781"/>
    <mergeCell ref="J767:K767"/>
    <mergeCell ref="J768:K768"/>
    <mergeCell ref="J769:K769"/>
    <mergeCell ref="J770:K770"/>
    <mergeCell ref="J771:K771"/>
    <mergeCell ref="J772:K772"/>
    <mergeCell ref="J774:K774"/>
    <mergeCell ref="J775:K775"/>
    <mergeCell ref="J776:K776"/>
    <mergeCell ref="J777:K777"/>
    <mergeCell ref="J788:K788"/>
    <mergeCell ref="J789:K789"/>
    <mergeCell ref="J783:K783"/>
    <mergeCell ref="J784:K784"/>
    <mergeCell ref="J780:K780"/>
    <mergeCell ref="J785:K785"/>
    <mergeCell ref="J786:K786"/>
    <mergeCell ref="J787:K787"/>
    <mergeCell ref="J782:K782"/>
    <mergeCell ref="J765:K765"/>
    <mergeCell ref="J766:K766"/>
    <mergeCell ref="J751:K751"/>
    <mergeCell ref="J752:K752"/>
    <mergeCell ref="J753:K753"/>
    <mergeCell ref="J754:K754"/>
    <mergeCell ref="J755:K755"/>
    <mergeCell ref="J756:K756"/>
    <mergeCell ref="J757:K757"/>
    <mergeCell ref="J773:K773"/>
    <mergeCell ref="J758:K758"/>
    <mergeCell ref="J759:K759"/>
    <mergeCell ref="J760:K760"/>
    <mergeCell ref="J761:K761"/>
    <mergeCell ref="J762:K762"/>
    <mergeCell ref="J763:K763"/>
    <mergeCell ref="J778:K778"/>
    <mergeCell ref="J731:K731"/>
    <mergeCell ref="J716:K716"/>
    <mergeCell ref="J733:K733"/>
    <mergeCell ref="J719:K719"/>
    <mergeCell ref="J720:K720"/>
    <mergeCell ref="J721:K721"/>
    <mergeCell ref="J722:K722"/>
    <mergeCell ref="J723:K723"/>
    <mergeCell ref="J724:K724"/>
    <mergeCell ref="J726:K726"/>
    <mergeCell ref="J727:K727"/>
    <mergeCell ref="J728:K728"/>
    <mergeCell ref="J729:K729"/>
    <mergeCell ref="J750:K750"/>
    <mergeCell ref="J735:K735"/>
    <mergeCell ref="J736:K736"/>
    <mergeCell ref="J737:K737"/>
    <mergeCell ref="J738:K738"/>
    <mergeCell ref="J739:K739"/>
    <mergeCell ref="J740:K740"/>
    <mergeCell ref="J741:K741"/>
    <mergeCell ref="J746:K746"/>
    <mergeCell ref="J747:K747"/>
    <mergeCell ref="J732:K732"/>
    <mergeCell ref="J749:K749"/>
    <mergeCell ref="J734:K734"/>
    <mergeCell ref="J742:K742"/>
    <mergeCell ref="J743:K743"/>
    <mergeCell ref="J744:K744"/>
    <mergeCell ref="J745:K745"/>
    <mergeCell ref="J748:K748"/>
    <mergeCell ref="J717:K717"/>
    <mergeCell ref="J718:K718"/>
    <mergeCell ref="J703:K703"/>
    <mergeCell ref="J704:K704"/>
    <mergeCell ref="J705:K705"/>
    <mergeCell ref="J706:K706"/>
    <mergeCell ref="J707:K707"/>
    <mergeCell ref="J708:K708"/>
    <mergeCell ref="J709:K709"/>
    <mergeCell ref="J725:K725"/>
    <mergeCell ref="J710:K710"/>
    <mergeCell ref="J711:K711"/>
    <mergeCell ref="J712:K712"/>
    <mergeCell ref="J713:K713"/>
    <mergeCell ref="J714:K714"/>
    <mergeCell ref="J715:K715"/>
    <mergeCell ref="J730:K730"/>
    <mergeCell ref="J683:K683"/>
    <mergeCell ref="J668:K668"/>
    <mergeCell ref="J685:K685"/>
    <mergeCell ref="J671:K671"/>
    <mergeCell ref="J672:K672"/>
    <mergeCell ref="J673:K673"/>
    <mergeCell ref="J674:K674"/>
    <mergeCell ref="J675:K675"/>
    <mergeCell ref="J676:K676"/>
    <mergeCell ref="J678:K678"/>
    <mergeCell ref="J679:K679"/>
    <mergeCell ref="J680:K680"/>
    <mergeCell ref="J681:K681"/>
    <mergeCell ref="J702:K702"/>
    <mergeCell ref="J687:K687"/>
    <mergeCell ref="J688:K688"/>
    <mergeCell ref="J689:K689"/>
    <mergeCell ref="J690:K690"/>
    <mergeCell ref="J691:K691"/>
    <mergeCell ref="J692:K692"/>
    <mergeCell ref="J693:K693"/>
    <mergeCell ref="J698:K698"/>
    <mergeCell ref="J699:K699"/>
    <mergeCell ref="J684:K684"/>
    <mergeCell ref="J701:K701"/>
    <mergeCell ref="J686:K686"/>
    <mergeCell ref="J694:K694"/>
    <mergeCell ref="J695:K695"/>
    <mergeCell ref="J696:K696"/>
    <mergeCell ref="J697:K697"/>
    <mergeCell ref="J700:K700"/>
    <mergeCell ref="J669:K669"/>
    <mergeCell ref="J670:K670"/>
    <mergeCell ref="J655:K655"/>
    <mergeCell ref="J656:K656"/>
    <mergeCell ref="J657:K657"/>
    <mergeCell ref="J658:K658"/>
    <mergeCell ref="J659:K659"/>
    <mergeCell ref="J660:K660"/>
    <mergeCell ref="J661:K661"/>
    <mergeCell ref="J677:K677"/>
    <mergeCell ref="J662:K662"/>
    <mergeCell ref="J663:K663"/>
    <mergeCell ref="J664:K664"/>
    <mergeCell ref="J665:K665"/>
    <mergeCell ref="J666:K666"/>
    <mergeCell ref="J667:K667"/>
    <mergeCell ref="J682:K682"/>
    <mergeCell ref="J635:K635"/>
    <mergeCell ref="J620:K620"/>
    <mergeCell ref="J637:K637"/>
    <mergeCell ref="J623:K623"/>
    <mergeCell ref="J624:K624"/>
    <mergeCell ref="J625:K625"/>
    <mergeCell ref="J626:K626"/>
    <mergeCell ref="J627:K627"/>
    <mergeCell ref="J628:K628"/>
    <mergeCell ref="J630:K630"/>
    <mergeCell ref="J631:K631"/>
    <mergeCell ref="J632:K632"/>
    <mergeCell ref="J633:K633"/>
    <mergeCell ref="J654:K654"/>
    <mergeCell ref="J639:K639"/>
    <mergeCell ref="J640:K640"/>
    <mergeCell ref="J641:K641"/>
    <mergeCell ref="J642:K642"/>
    <mergeCell ref="J643:K643"/>
    <mergeCell ref="J644:K644"/>
    <mergeCell ref="J645:K645"/>
    <mergeCell ref="J650:K650"/>
    <mergeCell ref="J651:K651"/>
    <mergeCell ref="J636:K636"/>
    <mergeCell ref="J653:K653"/>
    <mergeCell ref="J638:K638"/>
    <mergeCell ref="J646:K646"/>
    <mergeCell ref="J647:K647"/>
    <mergeCell ref="J648:K648"/>
    <mergeCell ref="J649:K649"/>
    <mergeCell ref="J652:K652"/>
    <mergeCell ref="J621:K621"/>
    <mergeCell ref="J622:K622"/>
    <mergeCell ref="J607:K607"/>
    <mergeCell ref="J608:K608"/>
    <mergeCell ref="J609:K609"/>
    <mergeCell ref="J610:K610"/>
    <mergeCell ref="J611:K611"/>
    <mergeCell ref="J612:K612"/>
    <mergeCell ref="J613:K613"/>
    <mergeCell ref="J629:K629"/>
    <mergeCell ref="J614:K614"/>
    <mergeCell ref="J615:K615"/>
    <mergeCell ref="J616:K616"/>
    <mergeCell ref="J617:K617"/>
    <mergeCell ref="J618:K618"/>
    <mergeCell ref="J619:K619"/>
    <mergeCell ref="J634:K634"/>
    <mergeCell ref="J587:K587"/>
    <mergeCell ref="J572:K572"/>
    <mergeCell ref="J589:K589"/>
    <mergeCell ref="J575:K575"/>
    <mergeCell ref="J576:K576"/>
    <mergeCell ref="J577:K577"/>
    <mergeCell ref="J578:K578"/>
    <mergeCell ref="J579:K579"/>
    <mergeCell ref="J580:K580"/>
    <mergeCell ref="J582:K582"/>
    <mergeCell ref="J583:K583"/>
    <mergeCell ref="J584:K584"/>
    <mergeCell ref="J585:K585"/>
    <mergeCell ref="J606:K606"/>
    <mergeCell ref="J591:K591"/>
    <mergeCell ref="J592:K592"/>
    <mergeCell ref="J593:K593"/>
    <mergeCell ref="J594:K594"/>
    <mergeCell ref="J595:K595"/>
    <mergeCell ref="J596:K596"/>
    <mergeCell ref="J597:K597"/>
    <mergeCell ref="J602:K602"/>
    <mergeCell ref="J603:K603"/>
    <mergeCell ref="J588:K588"/>
    <mergeCell ref="J605:K605"/>
    <mergeCell ref="J590:K590"/>
    <mergeCell ref="J598:K598"/>
    <mergeCell ref="J599:K599"/>
    <mergeCell ref="J600:K600"/>
    <mergeCell ref="J601:K601"/>
    <mergeCell ref="J604:K604"/>
    <mergeCell ref="J573:K573"/>
    <mergeCell ref="J574:K574"/>
    <mergeCell ref="J559:K559"/>
    <mergeCell ref="J560:K560"/>
    <mergeCell ref="J561:K561"/>
    <mergeCell ref="J562:K562"/>
    <mergeCell ref="J563:K563"/>
    <mergeCell ref="J564:K564"/>
    <mergeCell ref="J565:K565"/>
    <mergeCell ref="J581:K581"/>
    <mergeCell ref="J566:K566"/>
    <mergeCell ref="J567:K567"/>
    <mergeCell ref="J568:K568"/>
    <mergeCell ref="J569:K569"/>
    <mergeCell ref="J570:K570"/>
    <mergeCell ref="J571:K571"/>
    <mergeCell ref="J586:K586"/>
    <mergeCell ref="J539:K539"/>
    <mergeCell ref="J524:K524"/>
    <mergeCell ref="J541:K541"/>
    <mergeCell ref="J527:K527"/>
    <mergeCell ref="J528:K528"/>
    <mergeCell ref="J529:K529"/>
    <mergeCell ref="J530:K530"/>
    <mergeCell ref="J531:K531"/>
    <mergeCell ref="J532:K532"/>
    <mergeCell ref="J534:K534"/>
    <mergeCell ref="J535:K535"/>
    <mergeCell ref="J536:K536"/>
    <mergeCell ref="J537:K537"/>
    <mergeCell ref="J558:K558"/>
    <mergeCell ref="J543:K543"/>
    <mergeCell ref="J544:K544"/>
    <mergeCell ref="J545:K545"/>
    <mergeCell ref="J546:K546"/>
    <mergeCell ref="J547:K547"/>
    <mergeCell ref="J548:K548"/>
    <mergeCell ref="J549:K549"/>
    <mergeCell ref="J554:K554"/>
    <mergeCell ref="J555:K555"/>
    <mergeCell ref="J540:K540"/>
    <mergeCell ref="J557:K557"/>
    <mergeCell ref="J542:K542"/>
    <mergeCell ref="J550:K550"/>
    <mergeCell ref="J551:K551"/>
    <mergeCell ref="J552:K552"/>
    <mergeCell ref="J553:K553"/>
    <mergeCell ref="J556:K556"/>
    <mergeCell ref="J525:K525"/>
    <mergeCell ref="J526:K526"/>
    <mergeCell ref="J511:K511"/>
    <mergeCell ref="J512:K512"/>
    <mergeCell ref="J513:K513"/>
    <mergeCell ref="J514:K514"/>
    <mergeCell ref="J515:K515"/>
    <mergeCell ref="J516:K516"/>
    <mergeCell ref="J517:K517"/>
    <mergeCell ref="J533:K533"/>
    <mergeCell ref="J518:K518"/>
    <mergeCell ref="J519:K519"/>
    <mergeCell ref="J520:K520"/>
    <mergeCell ref="J521:K521"/>
    <mergeCell ref="J522:K522"/>
    <mergeCell ref="J523:K523"/>
    <mergeCell ref="J538:K538"/>
    <mergeCell ref="J491:K491"/>
    <mergeCell ref="J476:K476"/>
    <mergeCell ref="J493:K493"/>
    <mergeCell ref="J479:K479"/>
    <mergeCell ref="J480:K480"/>
    <mergeCell ref="J481:K481"/>
    <mergeCell ref="J482:K482"/>
    <mergeCell ref="J483:K483"/>
    <mergeCell ref="J484:K484"/>
    <mergeCell ref="J486:K486"/>
    <mergeCell ref="J487:K487"/>
    <mergeCell ref="J488:K488"/>
    <mergeCell ref="J489:K489"/>
    <mergeCell ref="J510:K510"/>
    <mergeCell ref="J495:K495"/>
    <mergeCell ref="J496:K496"/>
    <mergeCell ref="J497:K497"/>
    <mergeCell ref="J498:K498"/>
    <mergeCell ref="J499:K499"/>
    <mergeCell ref="J500:K500"/>
    <mergeCell ref="J501:K501"/>
    <mergeCell ref="J506:K506"/>
    <mergeCell ref="J507:K507"/>
    <mergeCell ref="J492:K492"/>
    <mergeCell ref="J509:K509"/>
    <mergeCell ref="J494:K494"/>
    <mergeCell ref="J502:K502"/>
    <mergeCell ref="J503:K503"/>
    <mergeCell ref="J504:K504"/>
    <mergeCell ref="J505:K505"/>
    <mergeCell ref="J508:K508"/>
    <mergeCell ref="J477:K477"/>
    <mergeCell ref="J478:K478"/>
    <mergeCell ref="J463:K463"/>
    <mergeCell ref="J464:K464"/>
    <mergeCell ref="J465:K465"/>
    <mergeCell ref="J466:K466"/>
    <mergeCell ref="J467:K467"/>
    <mergeCell ref="J468:K468"/>
    <mergeCell ref="J469:K469"/>
    <mergeCell ref="J485:K485"/>
    <mergeCell ref="J470:K470"/>
    <mergeCell ref="J471:K471"/>
    <mergeCell ref="J472:K472"/>
    <mergeCell ref="J473:K473"/>
    <mergeCell ref="J474:K474"/>
    <mergeCell ref="J475:K475"/>
    <mergeCell ref="J490:K490"/>
    <mergeCell ref="J443:K443"/>
    <mergeCell ref="J428:K428"/>
    <mergeCell ref="J445:K445"/>
    <mergeCell ref="J431:K431"/>
    <mergeCell ref="J432:K432"/>
    <mergeCell ref="J433:K433"/>
    <mergeCell ref="J434:K434"/>
    <mergeCell ref="J435:K435"/>
    <mergeCell ref="J436:K436"/>
    <mergeCell ref="J438:K438"/>
    <mergeCell ref="J439:K439"/>
    <mergeCell ref="J440:K440"/>
    <mergeCell ref="J441:K441"/>
    <mergeCell ref="J462:K462"/>
    <mergeCell ref="J447:K447"/>
    <mergeCell ref="J448:K448"/>
    <mergeCell ref="J449:K449"/>
    <mergeCell ref="J450:K450"/>
    <mergeCell ref="J451:K451"/>
    <mergeCell ref="J452:K452"/>
    <mergeCell ref="J453:K453"/>
    <mergeCell ref="J458:K458"/>
    <mergeCell ref="J459:K459"/>
    <mergeCell ref="J444:K444"/>
    <mergeCell ref="J461:K461"/>
    <mergeCell ref="J446:K446"/>
    <mergeCell ref="J454:K454"/>
    <mergeCell ref="J455:K455"/>
    <mergeCell ref="J456:K456"/>
    <mergeCell ref="J457:K457"/>
    <mergeCell ref="J460:K460"/>
    <mergeCell ref="J429:K429"/>
    <mergeCell ref="J430:K430"/>
    <mergeCell ref="J415:K415"/>
    <mergeCell ref="J416:K416"/>
    <mergeCell ref="J417:K417"/>
    <mergeCell ref="J418:K418"/>
    <mergeCell ref="J419:K419"/>
    <mergeCell ref="J420:K420"/>
    <mergeCell ref="J421:K421"/>
    <mergeCell ref="J437:K437"/>
    <mergeCell ref="J422:K422"/>
    <mergeCell ref="J423:K423"/>
    <mergeCell ref="J424:K424"/>
    <mergeCell ref="J425:K425"/>
    <mergeCell ref="J426:K426"/>
    <mergeCell ref="J427:K427"/>
    <mergeCell ref="J442:K442"/>
    <mergeCell ref="J395:K395"/>
    <mergeCell ref="J380:K380"/>
    <mergeCell ref="J397:K397"/>
    <mergeCell ref="J383:K383"/>
    <mergeCell ref="J384:K384"/>
    <mergeCell ref="J385:K385"/>
    <mergeCell ref="J386:K386"/>
    <mergeCell ref="J387:K387"/>
    <mergeCell ref="J388:K388"/>
    <mergeCell ref="J390:K390"/>
    <mergeCell ref="J391:K391"/>
    <mergeCell ref="J392:K392"/>
    <mergeCell ref="J393:K393"/>
    <mergeCell ref="J414:K414"/>
    <mergeCell ref="J399:K399"/>
    <mergeCell ref="J400:K400"/>
    <mergeCell ref="J401:K401"/>
    <mergeCell ref="J402:K402"/>
    <mergeCell ref="J403:K403"/>
    <mergeCell ref="J404:K404"/>
    <mergeCell ref="J405:K405"/>
    <mergeCell ref="J410:K410"/>
    <mergeCell ref="J411:K411"/>
    <mergeCell ref="J396:K396"/>
    <mergeCell ref="J413:K413"/>
    <mergeCell ref="J398:K398"/>
    <mergeCell ref="J406:K406"/>
    <mergeCell ref="J407:K407"/>
    <mergeCell ref="J408:K408"/>
    <mergeCell ref="J409:K409"/>
    <mergeCell ref="J412:K412"/>
    <mergeCell ref="J381:K381"/>
    <mergeCell ref="J382:K382"/>
    <mergeCell ref="J367:K367"/>
    <mergeCell ref="J368:K368"/>
    <mergeCell ref="J369:K369"/>
    <mergeCell ref="J370:K370"/>
    <mergeCell ref="J371:K371"/>
    <mergeCell ref="J372:K372"/>
    <mergeCell ref="J373:K373"/>
    <mergeCell ref="J389:K389"/>
    <mergeCell ref="J374:K374"/>
    <mergeCell ref="J375:K375"/>
    <mergeCell ref="J376:K376"/>
    <mergeCell ref="J377:K377"/>
    <mergeCell ref="J378:K378"/>
    <mergeCell ref="J379:K379"/>
    <mergeCell ref="J394:K394"/>
    <mergeCell ref="J347:K347"/>
    <mergeCell ref="J332:K332"/>
    <mergeCell ref="J349:K349"/>
    <mergeCell ref="J335:K335"/>
    <mergeCell ref="J336:K336"/>
    <mergeCell ref="J337:K337"/>
    <mergeCell ref="J338:K338"/>
    <mergeCell ref="J339:K339"/>
    <mergeCell ref="J340:K340"/>
    <mergeCell ref="J342:K342"/>
    <mergeCell ref="J343:K343"/>
    <mergeCell ref="J344:K344"/>
    <mergeCell ref="J345:K345"/>
    <mergeCell ref="J366:K366"/>
    <mergeCell ref="J351:K351"/>
    <mergeCell ref="J352:K352"/>
    <mergeCell ref="J353:K353"/>
    <mergeCell ref="J354:K354"/>
    <mergeCell ref="J355:K355"/>
    <mergeCell ref="J356:K356"/>
    <mergeCell ref="J357:K357"/>
    <mergeCell ref="J362:K362"/>
    <mergeCell ref="J363:K363"/>
    <mergeCell ref="J348:K348"/>
    <mergeCell ref="J365:K365"/>
    <mergeCell ref="J350:K350"/>
    <mergeCell ref="J358:K358"/>
    <mergeCell ref="J359:K359"/>
    <mergeCell ref="J360:K360"/>
    <mergeCell ref="J361:K361"/>
    <mergeCell ref="J364:K364"/>
    <mergeCell ref="J333:K333"/>
    <mergeCell ref="J334:K334"/>
    <mergeCell ref="J319:K319"/>
    <mergeCell ref="J320:K320"/>
    <mergeCell ref="J321:K321"/>
    <mergeCell ref="J322:K322"/>
    <mergeCell ref="J323:K323"/>
    <mergeCell ref="J324:K324"/>
    <mergeCell ref="J325:K325"/>
    <mergeCell ref="J341:K341"/>
    <mergeCell ref="J326:K326"/>
    <mergeCell ref="J327:K327"/>
    <mergeCell ref="J328:K328"/>
    <mergeCell ref="J329:K329"/>
    <mergeCell ref="J330:K330"/>
    <mergeCell ref="J331:K331"/>
    <mergeCell ref="J346:K346"/>
    <mergeCell ref="J299:K299"/>
    <mergeCell ref="J284:K284"/>
    <mergeCell ref="J301:K301"/>
    <mergeCell ref="J287:K287"/>
    <mergeCell ref="J288:K288"/>
    <mergeCell ref="J289:K289"/>
    <mergeCell ref="J290:K290"/>
    <mergeCell ref="J291:K291"/>
    <mergeCell ref="J292:K292"/>
    <mergeCell ref="J294:K294"/>
    <mergeCell ref="J295:K295"/>
    <mergeCell ref="J296:K296"/>
    <mergeCell ref="J297:K297"/>
    <mergeCell ref="J318:K318"/>
    <mergeCell ref="J303:K303"/>
    <mergeCell ref="J304:K304"/>
    <mergeCell ref="J305:K305"/>
    <mergeCell ref="J306:K306"/>
    <mergeCell ref="J307:K307"/>
    <mergeCell ref="J308:K308"/>
    <mergeCell ref="J309:K309"/>
    <mergeCell ref="J314:K314"/>
    <mergeCell ref="J315:K315"/>
    <mergeCell ref="J300:K300"/>
    <mergeCell ref="J317:K317"/>
    <mergeCell ref="J302:K302"/>
    <mergeCell ref="J310:K310"/>
    <mergeCell ref="J311:K311"/>
    <mergeCell ref="J312:K312"/>
    <mergeCell ref="J313:K313"/>
    <mergeCell ref="J316:K316"/>
    <mergeCell ref="J285:K285"/>
    <mergeCell ref="J286:K286"/>
    <mergeCell ref="J271:K271"/>
    <mergeCell ref="J272:K272"/>
    <mergeCell ref="J273:K273"/>
    <mergeCell ref="J274:K274"/>
    <mergeCell ref="J275:K275"/>
    <mergeCell ref="J276:K276"/>
    <mergeCell ref="J277:K277"/>
    <mergeCell ref="J293:K293"/>
    <mergeCell ref="J278:K278"/>
    <mergeCell ref="J279:K279"/>
    <mergeCell ref="J280:K280"/>
    <mergeCell ref="J281:K281"/>
    <mergeCell ref="J282:K282"/>
    <mergeCell ref="J283:K283"/>
    <mergeCell ref="J298:K298"/>
    <mergeCell ref="J251:K251"/>
    <mergeCell ref="J236:K236"/>
    <mergeCell ref="J253:K253"/>
    <mergeCell ref="J239:K239"/>
    <mergeCell ref="J240:K240"/>
    <mergeCell ref="J241:K241"/>
    <mergeCell ref="J242:K242"/>
    <mergeCell ref="J243:K243"/>
    <mergeCell ref="J244:K244"/>
    <mergeCell ref="J246:K246"/>
    <mergeCell ref="J247:K247"/>
    <mergeCell ref="J248:K248"/>
    <mergeCell ref="J249:K249"/>
    <mergeCell ref="J270:K270"/>
    <mergeCell ref="J255:K255"/>
    <mergeCell ref="J256:K256"/>
    <mergeCell ref="J257:K257"/>
    <mergeCell ref="J258:K258"/>
    <mergeCell ref="J259:K259"/>
    <mergeCell ref="J260:K260"/>
    <mergeCell ref="J261:K261"/>
    <mergeCell ref="J266:K266"/>
    <mergeCell ref="J267:K267"/>
    <mergeCell ref="J252:K252"/>
    <mergeCell ref="J269:K269"/>
    <mergeCell ref="J254:K254"/>
    <mergeCell ref="J262:K262"/>
    <mergeCell ref="J263:K263"/>
    <mergeCell ref="J264:K264"/>
    <mergeCell ref="J265:K265"/>
    <mergeCell ref="J268:K268"/>
    <mergeCell ref="J237:K237"/>
    <mergeCell ref="J238:K238"/>
    <mergeCell ref="J223:K223"/>
    <mergeCell ref="J224:K224"/>
    <mergeCell ref="J225:K225"/>
    <mergeCell ref="J226:K226"/>
    <mergeCell ref="J227:K227"/>
    <mergeCell ref="J228:K228"/>
    <mergeCell ref="J229:K229"/>
    <mergeCell ref="J245:K245"/>
    <mergeCell ref="J230:K230"/>
    <mergeCell ref="J231:K231"/>
    <mergeCell ref="J232:K232"/>
    <mergeCell ref="J233:K233"/>
    <mergeCell ref="J234:K234"/>
    <mergeCell ref="J235:K235"/>
    <mergeCell ref="J250:K250"/>
    <mergeCell ref="J203:K203"/>
    <mergeCell ref="J188:K188"/>
    <mergeCell ref="J205:K205"/>
    <mergeCell ref="J191:K191"/>
    <mergeCell ref="J192:K192"/>
    <mergeCell ref="J193:K193"/>
    <mergeCell ref="J194:K194"/>
    <mergeCell ref="J195:K195"/>
    <mergeCell ref="J196:K196"/>
    <mergeCell ref="J198:K198"/>
    <mergeCell ref="J199:K199"/>
    <mergeCell ref="J200:K200"/>
    <mergeCell ref="J201:K201"/>
    <mergeCell ref="J222:K222"/>
    <mergeCell ref="J207:K207"/>
    <mergeCell ref="J208:K208"/>
    <mergeCell ref="J209:K209"/>
    <mergeCell ref="J210:K210"/>
    <mergeCell ref="J211:K211"/>
    <mergeCell ref="J212:K212"/>
    <mergeCell ref="J213:K213"/>
    <mergeCell ref="J218:K218"/>
    <mergeCell ref="J219:K219"/>
    <mergeCell ref="J204:K204"/>
    <mergeCell ref="J221:K221"/>
    <mergeCell ref="J206:K206"/>
    <mergeCell ref="J214:K214"/>
    <mergeCell ref="J215:K215"/>
    <mergeCell ref="J216:K216"/>
    <mergeCell ref="J217:K217"/>
    <mergeCell ref="J220:K220"/>
    <mergeCell ref="J189:K189"/>
    <mergeCell ref="J190:K190"/>
    <mergeCell ref="J175:K175"/>
    <mergeCell ref="J176:K176"/>
    <mergeCell ref="J177:K177"/>
    <mergeCell ref="J178:K178"/>
    <mergeCell ref="J179:K179"/>
    <mergeCell ref="J180:K180"/>
    <mergeCell ref="J181:K181"/>
    <mergeCell ref="J197:K197"/>
    <mergeCell ref="J182:K182"/>
    <mergeCell ref="J183:K183"/>
    <mergeCell ref="J184:K184"/>
    <mergeCell ref="J185:K185"/>
    <mergeCell ref="J186:K186"/>
    <mergeCell ref="J187:K187"/>
    <mergeCell ref="J202:K202"/>
    <mergeCell ref="J155:K155"/>
    <mergeCell ref="J140:K140"/>
    <mergeCell ref="J157:K157"/>
    <mergeCell ref="J143:K143"/>
    <mergeCell ref="J144:K144"/>
    <mergeCell ref="J145:K145"/>
    <mergeCell ref="J146:K146"/>
    <mergeCell ref="J147:K147"/>
    <mergeCell ref="J148:K148"/>
    <mergeCell ref="J150:K150"/>
    <mergeCell ref="J151:K151"/>
    <mergeCell ref="J152:K152"/>
    <mergeCell ref="J153:K153"/>
    <mergeCell ref="J174:K174"/>
    <mergeCell ref="J159:K159"/>
    <mergeCell ref="J160:K160"/>
    <mergeCell ref="J161:K161"/>
    <mergeCell ref="J162:K162"/>
    <mergeCell ref="J163:K163"/>
    <mergeCell ref="J164:K164"/>
    <mergeCell ref="J165:K165"/>
    <mergeCell ref="J170:K170"/>
    <mergeCell ref="J171:K171"/>
    <mergeCell ref="J156:K156"/>
    <mergeCell ref="J173:K173"/>
    <mergeCell ref="J158:K158"/>
    <mergeCell ref="J166:K166"/>
    <mergeCell ref="J167:K167"/>
    <mergeCell ref="J168:K168"/>
    <mergeCell ref="J169:K169"/>
    <mergeCell ref="J172:K172"/>
    <mergeCell ref="J141:K141"/>
    <mergeCell ref="J142:K142"/>
    <mergeCell ref="J127:K127"/>
    <mergeCell ref="J128:K128"/>
    <mergeCell ref="J129:K129"/>
    <mergeCell ref="J130:K130"/>
    <mergeCell ref="J131:K131"/>
    <mergeCell ref="J132:K132"/>
    <mergeCell ref="J133:K133"/>
    <mergeCell ref="J149:K149"/>
    <mergeCell ref="J134:K134"/>
    <mergeCell ref="J135:K135"/>
    <mergeCell ref="J136:K136"/>
    <mergeCell ref="J137:K137"/>
    <mergeCell ref="J138:K138"/>
    <mergeCell ref="J139:K139"/>
    <mergeCell ref="J154:K154"/>
    <mergeCell ref="J126:K126"/>
    <mergeCell ref="J111:K111"/>
    <mergeCell ref="J112:K112"/>
    <mergeCell ref="J113:K113"/>
    <mergeCell ref="J114:K114"/>
    <mergeCell ref="J115:K115"/>
    <mergeCell ref="J116:K116"/>
    <mergeCell ref="J117:K117"/>
    <mergeCell ref="J122:K122"/>
    <mergeCell ref="J123:K123"/>
    <mergeCell ref="J108:K108"/>
    <mergeCell ref="J125:K125"/>
    <mergeCell ref="J110:K110"/>
    <mergeCell ref="J118:K118"/>
    <mergeCell ref="J119:K119"/>
    <mergeCell ref="J120:K120"/>
    <mergeCell ref="J121:K121"/>
    <mergeCell ref="J124:K124"/>
    <mergeCell ref="J101:K101"/>
    <mergeCell ref="J86:K86"/>
    <mergeCell ref="J87:K87"/>
    <mergeCell ref="J88:K88"/>
    <mergeCell ref="J89:K89"/>
    <mergeCell ref="J90:K90"/>
    <mergeCell ref="J91:K91"/>
    <mergeCell ref="J106:K106"/>
    <mergeCell ref="J78:K78"/>
    <mergeCell ref="J107:K107"/>
    <mergeCell ref="J92:K92"/>
    <mergeCell ref="J109:K109"/>
    <mergeCell ref="J95:K95"/>
    <mergeCell ref="J96:K96"/>
    <mergeCell ref="J97:K97"/>
    <mergeCell ref="J98:K98"/>
    <mergeCell ref="J99:K99"/>
    <mergeCell ref="J100:K100"/>
    <mergeCell ref="J102:K102"/>
    <mergeCell ref="J103:K103"/>
    <mergeCell ref="J104:K104"/>
    <mergeCell ref="J105:K105"/>
    <mergeCell ref="J93:K93"/>
    <mergeCell ref="J66:K66"/>
    <mergeCell ref="J67:K67"/>
    <mergeCell ref="J68:K68"/>
    <mergeCell ref="J69:K69"/>
    <mergeCell ref="J74:K74"/>
    <mergeCell ref="J75:K75"/>
    <mergeCell ref="J60:K60"/>
    <mergeCell ref="J77:K77"/>
    <mergeCell ref="J62:K62"/>
    <mergeCell ref="J70:K70"/>
    <mergeCell ref="J71:K71"/>
    <mergeCell ref="J72:K72"/>
    <mergeCell ref="J73:K73"/>
    <mergeCell ref="J76:K76"/>
    <mergeCell ref="J94:K94"/>
    <mergeCell ref="J79:K79"/>
    <mergeCell ref="J80:K80"/>
    <mergeCell ref="J81:K81"/>
    <mergeCell ref="J82:K82"/>
    <mergeCell ref="J83:K83"/>
    <mergeCell ref="J84:K84"/>
    <mergeCell ref="J85:K85"/>
    <mergeCell ref="J58:K58"/>
    <mergeCell ref="J59:K59"/>
    <mergeCell ref="J44:K44"/>
    <mergeCell ref="J61:K61"/>
    <mergeCell ref="J47:K47"/>
    <mergeCell ref="J48:K48"/>
    <mergeCell ref="J49:K49"/>
    <mergeCell ref="J50:K50"/>
    <mergeCell ref="J51:K51"/>
    <mergeCell ref="J52:K52"/>
    <mergeCell ref="J54:K54"/>
    <mergeCell ref="J55:K55"/>
    <mergeCell ref="J56:K56"/>
    <mergeCell ref="J57:K57"/>
    <mergeCell ref="J63:K63"/>
    <mergeCell ref="J64:K64"/>
    <mergeCell ref="J65:K65"/>
    <mergeCell ref="J37:K37"/>
    <mergeCell ref="J27:K27"/>
    <mergeCell ref="J16:K16"/>
    <mergeCell ref="J29:K29"/>
    <mergeCell ref="J30:K30"/>
    <mergeCell ref="J23:K23"/>
    <mergeCell ref="J24:K24"/>
    <mergeCell ref="J25:K25"/>
    <mergeCell ref="J26:K26"/>
    <mergeCell ref="J28:K28"/>
    <mergeCell ref="J31:K31"/>
    <mergeCell ref="J32:K32"/>
    <mergeCell ref="J33:K33"/>
    <mergeCell ref="J34:K34"/>
    <mergeCell ref="J35:K35"/>
    <mergeCell ref="J36:K36"/>
    <mergeCell ref="J53:K53"/>
    <mergeCell ref="J38:K38"/>
    <mergeCell ref="J39:K39"/>
    <mergeCell ref="J40:K40"/>
    <mergeCell ref="J41:K41"/>
    <mergeCell ref="J42:K42"/>
    <mergeCell ref="J43:K43"/>
    <mergeCell ref="J45:K45"/>
    <mergeCell ref="J46:K46"/>
    <mergeCell ref="J14:K14"/>
    <mergeCell ref="L14:M14"/>
    <mergeCell ref="B5:C5"/>
    <mergeCell ref="K3:L3"/>
    <mergeCell ref="J11:K11"/>
    <mergeCell ref="J12:K12"/>
    <mergeCell ref="D8:E8"/>
    <mergeCell ref="F8:G8"/>
    <mergeCell ref="D7:E7"/>
    <mergeCell ref="F4:G4"/>
    <mergeCell ref="H5:I5"/>
    <mergeCell ref="D5:E5"/>
    <mergeCell ref="J20:K20"/>
    <mergeCell ref="J21:K21"/>
    <mergeCell ref="J22:K22"/>
    <mergeCell ref="J19:K19"/>
    <mergeCell ref="J17:K17"/>
    <mergeCell ref="J18:K18"/>
    <mergeCell ref="J15:K15"/>
    <mergeCell ref="L15:M15"/>
    <mergeCell ref="L16:M16"/>
    <mergeCell ref="L19:M19"/>
    <mergeCell ref="L17:M17"/>
    <mergeCell ref="L18:M18"/>
    <mergeCell ref="H8:I8"/>
    <mergeCell ref="B1:C1"/>
    <mergeCell ref="H3:I3"/>
    <mergeCell ref="H4:I4"/>
    <mergeCell ref="D3:E3"/>
    <mergeCell ref="D4:E4"/>
    <mergeCell ref="F3:G3"/>
    <mergeCell ref="B2:C2"/>
    <mergeCell ref="B3:C3"/>
    <mergeCell ref="B4:C4"/>
    <mergeCell ref="N3:O3"/>
    <mergeCell ref="L11:M11"/>
    <mergeCell ref="F5:G5"/>
    <mergeCell ref="F6:G6"/>
    <mergeCell ref="F7:G7"/>
    <mergeCell ref="H7:I7"/>
    <mergeCell ref="L12:M12"/>
    <mergeCell ref="L13:M13"/>
    <mergeCell ref="B8:C8"/>
    <mergeCell ref="L10:M10"/>
    <mergeCell ref="J10:K10"/>
    <mergeCell ref="H6:I6"/>
    <mergeCell ref="B6:C6"/>
    <mergeCell ref="B7:C7"/>
    <mergeCell ref="J13:K13"/>
    <mergeCell ref="D6:E6"/>
  </mergeCells>
  <phoneticPr fontId="1"/>
  <dataValidations count="1">
    <dataValidation type="list" allowBlank="1" showInputMessage="1" showErrorMessage="1" sqref="L4" xr:uid="{00000000-0002-0000-0100-000000000000}">
      <formula1>$O$11:$O$12</formula1>
    </dataValidation>
  </dataValidations>
  <pageMargins left="0.25" right="0.25" top="0.75" bottom="0.75" header="0.3" footer="0.3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31D5C-FF6A-4673-ABED-BF864B04887B}">
  <sheetPr codeName="Sheet3"/>
  <dimension ref="A1:Y813"/>
  <sheetViews>
    <sheetView showGridLines="0" topLeftCell="A12" zoomScaleNormal="100" workbookViewId="0">
      <selection activeCell="R3" sqref="R3:Y4"/>
    </sheetView>
  </sheetViews>
  <sheetFormatPr defaultColWidth="9" defaultRowHeight="13.8"/>
  <cols>
    <col min="1" max="1" width="1.88671875" style="24" customWidth="1"/>
    <col min="2" max="9" width="9.6640625" style="24" customWidth="1"/>
    <col min="10" max="10" width="3.6640625" style="24" customWidth="1"/>
    <col min="11" max="11" width="6.6640625" style="24" customWidth="1"/>
    <col min="12" max="12" width="7.6640625" style="24" customWidth="1"/>
    <col min="13" max="13" width="3.6640625" style="24" customWidth="1"/>
    <col min="14" max="14" width="6.6640625" style="24" bestFit="1" customWidth="1"/>
    <col min="15" max="15" width="7.21875" style="24" bestFit="1" customWidth="1"/>
    <col min="16" max="16" width="4.33203125" style="24" customWidth="1"/>
    <col min="17" max="17" width="1.88671875" style="24" customWidth="1"/>
    <col min="18" max="16384" width="9" style="24"/>
  </cols>
  <sheetData>
    <row r="1" spans="1:25">
      <c r="A1" s="23"/>
      <c r="B1" s="88">
        <v>44767.511550925927</v>
      </c>
      <c r="C1" s="88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65" t="s">
        <v>70</v>
      </c>
    </row>
    <row r="2" spans="1:25">
      <c r="A2" s="23"/>
      <c r="B2" s="95" t="s">
        <v>50</v>
      </c>
      <c r="C2" s="9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4" t="s">
        <v>71</v>
      </c>
      <c r="S2" s="24" t="s">
        <v>69</v>
      </c>
      <c r="T2" s="24" t="s">
        <v>68</v>
      </c>
    </row>
    <row r="3" spans="1:25" ht="14.25" customHeight="1">
      <c r="A3" s="23"/>
      <c r="B3" s="89" t="s">
        <v>15</v>
      </c>
      <c r="C3" s="96"/>
      <c r="D3" s="93" t="s">
        <v>64</v>
      </c>
      <c r="E3" s="90"/>
      <c r="F3" s="89" t="s">
        <v>16</v>
      </c>
      <c r="G3" s="90"/>
      <c r="H3" s="89" t="s">
        <v>61</v>
      </c>
      <c r="I3" s="90"/>
      <c r="J3" s="25"/>
      <c r="K3" s="102" t="s">
        <v>17</v>
      </c>
      <c r="L3" s="103"/>
      <c r="M3" s="23"/>
      <c r="N3" s="98"/>
      <c r="O3" s="98"/>
      <c r="P3" s="23"/>
      <c r="Q3" s="23"/>
      <c r="R3" s="66" t="s">
        <v>63</v>
      </c>
      <c r="S3" s="66" t="s">
        <v>72</v>
      </c>
      <c r="T3" s="106"/>
      <c r="U3" s="107"/>
      <c r="V3" s="107"/>
      <c r="W3" s="107"/>
      <c r="X3" s="107"/>
      <c r="Y3" s="108"/>
    </row>
    <row r="4" spans="1:25" ht="13.5" customHeight="1">
      <c r="A4" s="23"/>
      <c r="B4" s="91" t="s">
        <v>18</v>
      </c>
      <c r="C4" s="97"/>
      <c r="D4" s="94" t="s">
        <v>55</v>
      </c>
      <c r="E4" s="92"/>
      <c r="F4" s="91" t="s">
        <v>19</v>
      </c>
      <c r="G4" s="92"/>
      <c r="H4" s="91" t="s">
        <v>59</v>
      </c>
      <c r="I4" s="92"/>
      <c r="J4" s="25"/>
      <c r="K4" s="26" t="s">
        <v>20</v>
      </c>
      <c r="L4" s="27" t="str">
        <f>C10</f>
        <v>Frequency</v>
      </c>
      <c r="M4" s="23"/>
      <c r="N4" s="28"/>
      <c r="O4" s="28"/>
      <c r="P4" s="23"/>
      <c r="Q4" s="23"/>
      <c r="R4" s="66" t="s">
        <v>62</v>
      </c>
      <c r="S4" s="66" t="s">
        <v>73</v>
      </c>
      <c r="T4" s="106" t="s">
        <v>74</v>
      </c>
      <c r="U4" s="107"/>
      <c r="V4" s="107"/>
      <c r="W4" s="107"/>
      <c r="X4" s="107"/>
      <c r="Y4" s="108"/>
    </row>
    <row r="5" spans="1:25" ht="13.5" customHeight="1">
      <c r="A5" s="23"/>
      <c r="B5" s="91" t="s">
        <v>21</v>
      </c>
      <c r="C5" s="97"/>
      <c r="D5" s="94" t="s">
        <v>56</v>
      </c>
      <c r="E5" s="92"/>
      <c r="F5" s="91" t="s">
        <v>22</v>
      </c>
      <c r="G5" s="92"/>
      <c r="H5" s="91">
        <v>5</v>
      </c>
      <c r="I5" s="92"/>
      <c r="J5" s="25"/>
      <c r="K5" s="29" t="s">
        <v>23</v>
      </c>
      <c r="L5" s="30" t="s">
        <v>65</v>
      </c>
      <c r="M5" s="23"/>
      <c r="N5" s="28"/>
      <c r="O5" s="28"/>
      <c r="P5" s="23"/>
      <c r="Q5" s="23"/>
      <c r="R5" s="66"/>
      <c r="S5" s="66"/>
      <c r="T5" s="106"/>
      <c r="U5" s="107"/>
      <c r="V5" s="107"/>
      <c r="W5" s="107"/>
      <c r="X5" s="107"/>
      <c r="Y5" s="108"/>
    </row>
    <row r="6" spans="1:25" ht="13.5" customHeight="1">
      <c r="A6" s="23"/>
      <c r="B6" s="91" t="s">
        <v>24</v>
      </c>
      <c r="C6" s="97"/>
      <c r="D6" s="94">
        <v>201</v>
      </c>
      <c r="E6" s="92"/>
      <c r="F6" s="91" t="s">
        <v>25</v>
      </c>
      <c r="G6" s="92"/>
      <c r="H6" s="91" t="s">
        <v>59</v>
      </c>
      <c r="I6" s="92"/>
      <c r="J6" s="25"/>
      <c r="K6" s="31" t="s">
        <v>14</v>
      </c>
      <c r="L6" s="32" t="s">
        <v>66</v>
      </c>
      <c r="M6" s="23"/>
      <c r="N6" s="28"/>
      <c r="O6" s="28"/>
      <c r="P6" s="23"/>
      <c r="Q6" s="23"/>
      <c r="R6" s="66"/>
      <c r="S6" s="66"/>
      <c r="T6" s="106"/>
      <c r="U6" s="107"/>
      <c r="V6" s="107"/>
      <c r="W6" s="107"/>
      <c r="X6" s="107"/>
      <c r="Y6" s="108"/>
    </row>
    <row r="7" spans="1:25" ht="13.5" customHeight="1">
      <c r="A7" s="23"/>
      <c r="B7" s="91" t="s">
        <v>26</v>
      </c>
      <c r="C7" s="97"/>
      <c r="D7" s="94" t="s">
        <v>57</v>
      </c>
      <c r="E7" s="92"/>
      <c r="F7" s="91" t="s">
        <v>27</v>
      </c>
      <c r="G7" s="92"/>
      <c r="H7" s="91" t="s">
        <v>59</v>
      </c>
      <c r="I7" s="92"/>
      <c r="J7" s="25"/>
      <c r="K7" s="33"/>
      <c r="L7" s="33"/>
      <c r="M7" s="23"/>
      <c r="N7" s="28"/>
      <c r="O7" s="28"/>
      <c r="P7" s="23"/>
      <c r="Q7" s="23"/>
      <c r="R7" s="66"/>
      <c r="S7" s="66"/>
      <c r="T7" s="106"/>
      <c r="U7" s="107"/>
      <c r="V7" s="107"/>
      <c r="W7" s="107"/>
      <c r="X7" s="107"/>
      <c r="Y7" s="108"/>
    </row>
    <row r="8" spans="1:25">
      <c r="A8" s="23"/>
      <c r="B8" s="100" t="s">
        <v>28</v>
      </c>
      <c r="C8" s="101"/>
      <c r="D8" s="104" t="s">
        <v>58</v>
      </c>
      <c r="E8" s="105"/>
      <c r="F8" s="100" t="s">
        <v>67</v>
      </c>
      <c r="G8" s="105"/>
      <c r="H8" s="91" t="s">
        <v>13</v>
      </c>
      <c r="I8" s="92"/>
      <c r="J8" s="34"/>
      <c r="K8" s="33"/>
      <c r="L8" s="33"/>
      <c r="M8" s="23"/>
      <c r="N8" s="28"/>
      <c r="O8" s="28"/>
      <c r="P8" s="23"/>
      <c r="Q8" s="23"/>
      <c r="R8" s="66"/>
      <c r="S8" s="66"/>
      <c r="T8" s="106"/>
      <c r="U8" s="107"/>
      <c r="V8" s="107"/>
      <c r="W8" s="107"/>
      <c r="X8" s="107"/>
      <c r="Y8" s="108"/>
    </row>
    <row r="9" spans="1:25">
      <c r="A9" s="23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23"/>
      <c r="N9" s="23"/>
      <c r="O9" s="23"/>
      <c r="P9" s="23"/>
      <c r="Q9" s="23"/>
      <c r="R9" s="66"/>
      <c r="S9" s="66"/>
      <c r="T9" s="106"/>
      <c r="U9" s="107"/>
      <c r="V9" s="107"/>
      <c r="W9" s="107"/>
      <c r="X9" s="107"/>
      <c r="Y9" s="108"/>
    </row>
    <row r="10" spans="1:25" ht="27.75" customHeight="1" thickBot="1">
      <c r="A10" s="23"/>
      <c r="B10" s="36" t="s">
        <v>30</v>
      </c>
      <c r="C10" s="36" t="s">
        <v>60</v>
      </c>
      <c r="D10" s="51" t="s">
        <v>51</v>
      </c>
      <c r="E10" s="51" t="s">
        <v>52</v>
      </c>
      <c r="F10" s="51" t="s">
        <v>53</v>
      </c>
      <c r="G10" s="51" t="s">
        <v>54</v>
      </c>
      <c r="H10" s="37"/>
      <c r="I10" s="37"/>
      <c r="J10" s="99"/>
      <c r="K10" s="99"/>
      <c r="L10" s="99"/>
      <c r="M10" s="99"/>
      <c r="N10" s="38" t="s">
        <v>32</v>
      </c>
      <c r="O10" s="39" t="s">
        <v>33</v>
      </c>
      <c r="P10" s="23"/>
      <c r="Q10" s="23"/>
    </row>
    <row r="11" spans="1:25" ht="14.4" thickTop="1">
      <c r="A11" s="23"/>
      <c r="B11" s="53">
        <v>1</v>
      </c>
      <c r="C11" s="58">
        <v>40</v>
      </c>
      <c r="D11" s="59">
        <v>10016.3701171875</v>
      </c>
      <c r="E11" s="59">
        <v>0</v>
      </c>
      <c r="F11" s="59">
        <v>4.2988188564777374E-2</v>
      </c>
      <c r="G11" s="42">
        <v>0</v>
      </c>
      <c r="H11" s="23"/>
      <c r="I11" s="23"/>
      <c r="J11" s="99"/>
      <c r="K11" s="99"/>
      <c r="L11" s="99"/>
      <c r="M11" s="99"/>
      <c r="N11" s="43">
        <f t="shared" ref="N11:N74" si="0">IF($L$4=$C$10,C11,IF(D11="","",B11))</f>
        <v>40</v>
      </c>
      <c r="O11" s="39" t="str">
        <f>B10</f>
        <v>Point#</v>
      </c>
      <c r="P11" s="23"/>
      <c r="Q11" s="23"/>
    </row>
    <row r="12" spans="1:25">
      <c r="A12" s="23"/>
      <c r="B12" s="53">
        <v>2</v>
      </c>
      <c r="C12" s="58">
        <v>42.759998321533203</v>
      </c>
      <c r="D12" s="59">
        <v>10016.2998046875</v>
      </c>
      <c r="E12" s="59">
        <v>0</v>
      </c>
      <c r="F12" s="59">
        <v>3.2133910804986954E-2</v>
      </c>
      <c r="G12" s="42">
        <v>0</v>
      </c>
      <c r="H12" s="23"/>
      <c r="I12" s="23"/>
      <c r="J12" s="99"/>
      <c r="K12" s="99"/>
      <c r="L12" s="99"/>
      <c r="M12" s="99"/>
      <c r="N12" s="43">
        <f t="shared" si="0"/>
        <v>42.759998321533203</v>
      </c>
      <c r="O12" s="39" t="str">
        <f>C10</f>
        <v>Frequency</v>
      </c>
      <c r="P12" s="23"/>
      <c r="Q12" s="23"/>
    </row>
    <row r="13" spans="1:25">
      <c r="A13" s="23"/>
      <c r="B13" s="53">
        <v>3</v>
      </c>
      <c r="C13" s="58">
        <v>45.71099853515625</v>
      </c>
      <c r="D13" s="59">
        <v>10016.1298828125</v>
      </c>
      <c r="E13" s="59">
        <v>0</v>
      </c>
      <c r="F13" s="59">
        <v>3.330669179558754E-2</v>
      </c>
      <c r="G13" s="42">
        <v>0</v>
      </c>
      <c r="H13" s="23"/>
      <c r="I13" s="23"/>
      <c r="J13" s="99"/>
      <c r="K13" s="99"/>
      <c r="L13" s="99"/>
      <c r="M13" s="99"/>
      <c r="N13" s="43">
        <f t="shared" si="0"/>
        <v>45.71099853515625</v>
      </c>
      <c r="O13" s="43"/>
      <c r="P13" s="23"/>
      <c r="Q13" s="23"/>
    </row>
    <row r="14" spans="1:25">
      <c r="A14" s="23"/>
      <c r="B14" s="53">
        <v>4</v>
      </c>
      <c r="C14" s="58">
        <v>48.865001678466797</v>
      </c>
      <c r="D14" s="59">
        <v>10015.599609375</v>
      </c>
      <c r="E14" s="59">
        <v>0</v>
      </c>
      <c r="F14" s="59">
        <v>2.4021590128540993E-2</v>
      </c>
      <c r="G14" s="42">
        <v>0</v>
      </c>
      <c r="H14" s="23"/>
      <c r="I14" s="23"/>
      <c r="J14" s="99"/>
      <c r="K14" s="99"/>
      <c r="L14" s="99"/>
      <c r="M14" s="99"/>
      <c r="N14" s="43">
        <f t="shared" si="0"/>
        <v>48.865001678466797</v>
      </c>
      <c r="O14" s="43"/>
      <c r="P14" s="23"/>
      <c r="Q14" s="23"/>
    </row>
    <row r="15" spans="1:25">
      <c r="A15" s="23"/>
      <c r="B15" s="53">
        <v>5</v>
      </c>
      <c r="C15" s="58">
        <v>52.23699951171875</v>
      </c>
      <c r="D15" s="59">
        <v>10015.8095703125</v>
      </c>
      <c r="E15" s="59">
        <v>0</v>
      </c>
      <c r="F15" s="59">
        <v>3.0928349122405052E-2</v>
      </c>
      <c r="G15" s="42">
        <v>0</v>
      </c>
      <c r="H15" s="23"/>
      <c r="I15" s="23"/>
      <c r="J15" s="99"/>
      <c r="K15" s="99"/>
      <c r="L15" s="99"/>
      <c r="M15" s="99"/>
      <c r="N15" s="43">
        <f t="shared" si="0"/>
        <v>52.23699951171875</v>
      </c>
      <c r="O15" s="43"/>
      <c r="P15" s="23"/>
      <c r="Q15" s="23"/>
    </row>
    <row r="16" spans="1:25">
      <c r="A16" s="23"/>
      <c r="B16" s="53">
        <v>6</v>
      </c>
      <c r="C16" s="58">
        <v>55.840999603271484</v>
      </c>
      <c r="D16" s="59">
        <v>10016.3603515625</v>
      </c>
      <c r="E16" s="59">
        <v>0</v>
      </c>
      <c r="F16" s="59">
        <v>2.3971820250153542E-2</v>
      </c>
      <c r="G16" s="42">
        <v>0</v>
      </c>
      <c r="H16" s="23"/>
      <c r="I16" s="23"/>
      <c r="J16" s="99"/>
      <c r="K16" s="99"/>
      <c r="L16" s="99"/>
      <c r="M16" s="99"/>
      <c r="N16" s="43">
        <f t="shared" si="0"/>
        <v>55.840999603271484</v>
      </c>
      <c r="O16" s="43"/>
      <c r="P16" s="23"/>
      <c r="Q16" s="23"/>
    </row>
    <row r="17" spans="1:17">
      <c r="A17" s="23"/>
      <c r="B17" s="53">
        <v>7</v>
      </c>
      <c r="C17" s="58">
        <v>59.694999694824219</v>
      </c>
      <c r="D17" s="59">
        <v>10016.26953125</v>
      </c>
      <c r="E17" s="59">
        <v>0</v>
      </c>
      <c r="F17" s="59">
        <v>1.8236860632896423E-2</v>
      </c>
      <c r="G17" s="42">
        <v>0</v>
      </c>
      <c r="H17" s="23"/>
      <c r="I17" s="23"/>
      <c r="J17" s="99"/>
      <c r="K17" s="99"/>
      <c r="L17" s="99"/>
      <c r="M17" s="99"/>
      <c r="N17" s="43">
        <f t="shared" si="0"/>
        <v>59.694999694824219</v>
      </c>
      <c r="O17" s="43"/>
      <c r="P17" s="23"/>
      <c r="Q17" s="23"/>
    </row>
    <row r="18" spans="1:17">
      <c r="A18" s="23"/>
      <c r="B18" s="53">
        <v>8</v>
      </c>
      <c r="C18" s="58">
        <v>63.813999176025391</v>
      </c>
      <c r="D18" s="59">
        <v>10016.16015625</v>
      </c>
      <c r="E18" s="59">
        <v>0</v>
      </c>
      <c r="F18" s="59">
        <v>1.8767759203910828E-2</v>
      </c>
      <c r="G18" s="42">
        <v>0</v>
      </c>
      <c r="H18" s="23"/>
      <c r="I18" s="23"/>
      <c r="J18" s="99"/>
      <c r="K18" s="99"/>
      <c r="L18" s="99"/>
      <c r="M18" s="99"/>
      <c r="N18" s="43">
        <f t="shared" si="0"/>
        <v>63.813999176025391</v>
      </c>
      <c r="O18" s="43"/>
      <c r="P18" s="23"/>
      <c r="Q18" s="23"/>
    </row>
    <row r="19" spans="1:17">
      <c r="A19" s="23"/>
      <c r="B19" s="53">
        <v>9</v>
      </c>
      <c r="C19" s="58">
        <v>68.217002868652344</v>
      </c>
      <c r="D19" s="59">
        <v>10016.2998046875</v>
      </c>
      <c r="E19" s="59">
        <v>0</v>
      </c>
      <c r="F19" s="59">
        <v>2.0185379311442375E-2</v>
      </c>
      <c r="G19" s="42">
        <v>0</v>
      </c>
      <c r="H19" s="23"/>
      <c r="I19" s="23"/>
      <c r="J19" s="99"/>
      <c r="K19" s="99"/>
      <c r="L19" s="99"/>
      <c r="M19" s="99"/>
      <c r="N19" s="43">
        <f t="shared" si="0"/>
        <v>68.217002868652344</v>
      </c>
      <c r="O19" s="43"/>
      <c r="P19" s="23"/>
      <c r="Q19" s="23"/>
    </row>
    <row r="20" spans="1:17">
      <c r="A20" s="23"/>
      <c r="B20" s="53">
        <v>10</v>
      </c>
      <c r="C20" s="58">
        <v>72.925003051757813</v>
      </c>
      <c r="D20" s="59">
        <v>10016.8203125</v>
      </c>
      <c r="E20" s="59">
        <v>0</v>
      </c>
      <c r="F20" s="59">
        <v>2.1755050867795944E-2</v>
      </c>
      <c r="G20" s="42">
        <v>0</v>
      </c>
      <c r="H20" s="23"/>
      <c r="I20" s="23"/>
      <c r="J20" s="99"/>
      <c r="K20" s="99"/>
      <c r="L20" s="99"/>
      <c r="M20" s="99"/>
      <c r="N20" s="43">
        <f t="shared" si="0"/>
        <v>72.925003051757813</v>
      </c>
      <c r="O20" s="43"/>
      <c r="P20" s="23"/>
      <c r="Q20" s="23"/>
    </row>
    <row r="21" spans="1:17">
      <c r="A21" s="23"/>
      <c r="B21" s="53">
        <v>11</v>
      </c>
      <c r="C21" s="58">
        <v>77.957000732421875</v>
      </c>
      <c r="D21" s="59">
        <v>10017.3701171875</v>
      </c>
      <c r="E21" s="59">
        <v>0</v>
      </c>
      <c r="F21" s="59">
        <v>1.7555639147758484E-2</v>
      </c>
      <c r="G21" s="42">
        <v>0</v>
      </c>
      <c r="H21" s="23"/>
      <c r="I21" s="23"/>
      <c r="J21" s="99"/>
      <c r="K21" s="99"/>
      <c r="L21" s="99"/>
      <c r="M21" s="99"/>
      <c r="N21" s="43">
        <f t="shared" si="0"/>
        <v>77.957000732421875</v>
      </c>
      <c r="O21" s="43"/>
      <c r="P21" s="23"/>
      <c r="Q21" s="23"/>
    </row>
    <row r="22" spans="1:17">
      <c r="A22" s="23"/>
      <c r="B22" s="53">
        <v>12</v>
      </c>
      <c r="C22" s="58">
        <v>83.33599853515625</v>
      </c>
      <c r="D22" s="59">
        <v>10017.7900390625</v>
      </c>
      <c r="E22" s="59">
        <v>0</v>
      </c>
      <c r="F22" s="59">
        <v>1.69268399477005E-2</v>
      </c>
      <c r="G22" s="42">
        <v>0</v>
      </c>
      <c r="H22" s="23"/>
      <c r="I22" s="23"/>
      <c r="J22" s="99"/>
      <c r="K22" s="99"/>
      <c r="L22" s="99"/>
      <c r="M22" s="99"/>
      <c r="N22" s="43">
        <f t="shared" si="0"/>
        <v>83.33599853515625</v>
      </c>
      <c r="O22" s="43"/>
      <c r="P22" s="23"/>
      <c r="Q22" s="23"/>
    </row>
    <row r="23" spans="1:17">
      <c r="A23" s="23"/>
      <c r="B23" s="53">
        <v>13</v>
      </c>
      <c r="C23" s="58">
        <v>89.086997985839844</v>
      </c>
      <c r="D23" s="59">
        <v>10017.4404296875</v>
      </c>
      <c r="E23" s="59">
        <v>0</v>
      </c>
      <c r="F23" s="59">
        <v>1.4413990080356598E-2</v>
      </c>
      <c r="G23" s="42">
        <v>0</v>
      </c>
      <c r="H23" s="23"/>
      <c r="I23" s="23"/>
      <c r="J23" s="99"/>
      <c r="K23" s="99"/>
      <c r="L23" s="99"/>
      <c r="M23" s="99"/>
      <c r="N23" s="43">
        <f t="shared" si="0"/>
        <v>89.086997985839844</v>
      </c>
      <c r="O23" s="43"/>
      <c r="P23" s="23"/>
      <c r="Q23" s="23"/>
    </row>
    <row r="24" spans="1:17">
      <c r="A24" s="23"/>
      <c r="B24" s="53">
        <v>14</v>
      </c>
      <c r="C24" s="58">
        <v>95.234001159667969</v>
      </c>
      <c r="D24" s="59">
        <v>10017.76953125</v>
      </c>
      <c r="E24" s="59">
        <v>0</v>
      </c>
      <c r="F24" s="59">
        <v>1.0931350290775299E-2</v>
      </c>
      <c r="G24" s="42">
        <v>0</v>
      </c>
      <c r="H24" s="23"/>
      <c r="I24" s="23"/>
      <c r="J24" s="99"/>
      <c r="K24" s="99"/>
      <c r="L24" s="99"/>
      <c r="M24" s="99"/>
      <c r="N24" s="43">
        <f t="shared" si="0"/>
        <v>95.234001159667969</v>
      </c>
      <c r="O24" s="43"/>
      <c r="P24" s="23"/>
      <c r="Q24" s="23"/>
    </row>
    <row r="25" spans="1:17">
      <c r="A25" s="23"/>
      <c r="B25" s="53">
        <v>15</v>
      </c>
      <c r="C25" s="58">
        <v>101.80599975585938</v>
      </c>
      <c r="D25" s="59">
        <v>10018.1298828125</v>
      </c>
      <c r="E25" s="59">
        <v>0</v>
      </c>
      <c r="F25" s="59">
        <v>1.0232100263237953E-2</v>
      </c>
      <c r="G25" s="42">
        <v>0</v>
      </c>
      <c r="H25" s="23"/>
      <c r="I25" s="23"/>
      <c r="J25" s="99"/>
      <c r="K25" s="99"/>
      <c r="L25" s="99"/>
      <c r="M25" s="99"/>
      <c r="N25" s="43">
        <f t="shared" si="0"/>
        <v>101.80599975585938</v>
      </c>
      <c r="O25" s="43"/>
      <c r="P25" s="23"/>
      <c r="Q25" s="23"/>
    </row>
    <row r="26" spans="1:17">
      <c r="A26" s="23"/>
      <c r="B26" s="53">
        <v>16</v>
      </c>
      <c r="C26" s="58">
        <v>108.83100128173828</v>
      </c>
      <c r="D26" s="59">
        <v>10018.16015625</v>
      </c>
      <c r="E26" s="59">
        <v>0</v>
      </c>
      <c r="F26" s="59">
        <v>1.1574259959161282E-2</v>
      </c>
      <c r="G26" s="42">
        <v>0</v>
      </c>
      <c r="H26" s="23"/>
      <c r="I26" s="23"/>
      <c r="J26" s="99"/>
      <c r="K26" s="99"/>
      <c r="L26" s="99"/>
      <c r="M26" s="99"/>
      <c r="N26" s="43">
        <f t="shared" si="0"/>
        <v>108.83100128173828</v>
      </c>
      <c r="O26" s="43"/>
      <c r="P26" s="23"/>
      <c r="Q26" s="23"/>
    </row>
    <row r="27" spans="1:17">
      <c r="A27" s="23"/>
      <c r="B27" s="53">
        <v>17</v>
      </c>
      <c r="C27" s="58">
        <v>116.33999633789063</v>
      </c>
      <c r="D27" s="59">
        <v>10017.6396484375</v>
      </c>
      <c r="E27" s="59">
        <v>0</v>
      </c>
      <c r="F27" s="59">
        <v>1.539015956223011E-2</v>
      </c>
      <c r="G27" s="42">
        <v>0</v>
      </c>
      <c r="H27" s="23"/>
      <c r="I27" s="23"/>
      <c r="J27" s="99"/>
      <c r="K27" s="99"/>
      <c r="L27" s="99"/>
      <c r="M27" s="99"/>
      <c r="N27" s="43">
        <f t="shared" si="0"/>
        <v>116.33999633789063</v>
      </c>
      <c r="O27" s="43"/>
      <c r="P27" s="23"/>
      <c r="Q27" s="23"/>
    </row>
    <row r="28" spans="1:17">
      <c r="A28" s="23"/>
      <c r="B28" s="53">
        <v>18</v>
      </c>
      <c r="C28" s="58">
        <v>124.36799621582031</v>
      </c>
      <c r="D28" s="59">
        <v>10017.7001953125</v>
      </c>
      <c r="E28" s="59">
        <v>0</v>
      </c>
      <c r="F28" s="59">
        <v>1.3488589785993099E-2</v>
      </c>
      <c r="G28" s="42">
        <v>0</v>
      </c>
      <c r="H28" s="23"/>
      <c r="I28" s="23"/>
      <c r="J28" s="99"/>
      <c r="K28" s="99"/>
      <c r="L28" s="99"/>
      <c r="M28" s="99"/>
      <c r="N28" s="43">
        <f t="shared" si="0"/>
        <v>124.36799621582031</v>
      </c>
      <c r="O28" s="43"/>
      <c r="P28" s="23"/>
      <c r="Q28" s="23"/>
    </row>
    <row r="29" spans="1:17">
      <c r="A29" s="23"/>
      <c r="B29" s="53">
        <v>19</v>
      </c>
      <c r="C29" s="58">
        <v>132.94999694824219</v>
      </c>
      <c r="D29" s="59">
        <v>10017.240234375</v>
      </c>
      <c r="E29" s="59">
        <v>0</v>
      </c>
      <c r="F29" s="59">
        <v>1.1634429916739464E-2</v>
      </c>
      <c r="G29" s="42">
        <v>0</v>
      </c>
      <c r="H29" s="23"/>
      <c r="I29" s="23"/>
      <c r="J29" s="99"/>
      <c r="K29" s="99"/>
      <c r="L29" s="99"/>
      <c r="M29" s="99"/>
      <c r="N29" s="43">
        <f t="shared" si="0"/>
        <v>132.94999694824219</v>
      </c>
      <c r="O29" s="43"/>
      <c r="P29" s="23"/>
      <c r="Q29" s="23"/>
    </row>
    <row r="30" spans="1:17">
      <c r="A30" s="23"/>
      <c r="B30" s="53">
        <v>20</v>
      </c>
      <c r="C30" s="58">
        <v>142.12399291992188</v>
      </c>
      <c r="D30" s="59">
        <v>10016.990234375</v>
      </c>
      <c r="E30" s="59">
        <v>0</v>
      </c>
      <c r="F30" s="59">
        <v>1.0914750397205353E-2</v>
      </c>
      <c r="G30" s="42">
        <v>0</v>
      </c>
      <c r="H30" s="23"/>
      <c r="I30" s="23"/>
      <c r="J30" s="99"/>
      <c r="K30" s="99"/>
      <c r="L30" s="99"/>
      <c r="M30" s="99"/>
      <c r="N30" s="43">
        <f t="shared" si="0"/>
        <v>142.12399291992188</v>
      </c>
      <c r="O30" s="43"/>
      <c r="P30" s="23"/>
      <c r="Q30" s="23"/>
    </row>
    <row r="31" spans="1:17">
      <c r="A31" s="23"/>
      <c r="B31" s="53">
        <v>21</v>
      </c>
      <c r="C31" s="58">
        <v>151.9320068359375</v>
      </c>
      <c r="D31" s="59">
        <v>10017.16015625</v>
      </c>
      <c r="E31" s="59">
        <v>0</v>
      </c>
      <c r="F31" s="59">
        <v>5.6731840595602989E-3</v>
      </c>
      <c r="G31" s="42">
        <v>0</v>
      </c>
      <c r="H31" s="23"/>
      <c r="I31" s="23"/>
      <c r="J31" s="99"/>
      <c r="K31" s="99"/>
      <c r="L31" s="99"/>
      <c r="M31" s="99"/>
      <c r="N31" s="43">
        <f t="shared" si="0"/>
        <v>151.9320068359375</v>
      </c>
      <c r="O31" s="43"/>
      <c r="P31" s="23"/>
      <c r="Q31" s="23"/>
    </row>
    <row r="32" spans="1:17">
      <c r="A32" s="23"/>
      <c r="B32" s="53">
        <v>22</v>
      </c>
      <c r="C32" s="58">
        <v>162.41499328613281</v>
      </c>
      <c r="D32" s="59">
        <v>10017.75</v>
      </c>
      <c r="E32" s="59">
        <v>0</v>
      </c>
      <c r="F32" s="59">
        <v>8.5484370356425643E-4</v>
      </c>
      <c r="G32" s="42">
        <v>0</v>
      </c>
      <c r="H32" s="23"/>
      <c r="I32" s="23"/>
      <c r="J32" s="99"/>
      <c r="K32" s="99"/>
      <c r="L32" s="99"/>
      <c r="M32" s="99"/>
      <c r="N32" s="43">
        <f t="shared" si="0"/>
        <v>162.41499328613281</v>
      </c>
      <c r="O32" s="43"/>
      <c r="P32" s="23"/>
      <c r="Q32" s="23"/>
    </row>
    <row r="33" spans="1:17">
      <c r="A33" s="23"/>
      <c r="B33" s="53">
        <v>23</v>
      </c>
      <c r="C33" s="58">
        <v>173.62300109863281</v>
      </c>
      <c r="D33" s="59">
        <v>10018.08984375</v>
      </c>
      <c r="E33" s="59">
        <v>0</v>
      </c>
      <c r="F33" s="59">
        <v>6.2818699516355991E-3</v>
      </c>
      <c r="G33" s="42">
        <v>0</v>
      </c>
      <c r="H33" s="23"/>
      <c r="I33" s="23"/>
      <c r="J33" s="99"/>
      <c r="K33" s="99"/>
      <c r="L33" s="99"/>
      <c r="M33" s="99"/>
      <c r="N33" s="43">
        <f t="shared" si="0"/>
        <v>173.62300109863281</v>
      </c>
      <c r="O33" s="43"/>
      <c r="P33" s="23"/>
      <c r="Q33" s="23"/>
    </row>
    <row r="34" spans="1:17">
      <c r="A34" s="23"/>
      <c r="B34" s="53">
        <v>24</v>
      </c>
      <c r="C34" s="58">
        <v>185.60400390625</v>
      </c>
      <c r="D34" s="59">
        <v>10017.650390625</v>
      </c>
      <c r="E34" s="59">
        <v>0</v>
      </c>
      <c r="F34" s="59">
        <v>1.0814930312335491E-2</v>
      </c>
      <c r="G34" s="42">
        <v>0</v>
      </c>
      <c r="H34" s="23"/>
      <c r="I34" s="23"/>
      <c r="J34" s="99"/>
      <c r="K34" s="99"/>
      <c r="L34" s="99"/>
      <c r="M34" s="99"/>
      <c r="N34" s="43">
        <f t="shared" si="0"/>
        <v>185.60400390625</v>
      </c>
      <c r="O34" s="43"/>
      <c r="P34" s="23"/>
      <c r="Q34" s="23"/>
    </row>
    <row r="35" spans="1:17">
      <c r="A35" s="23"/>
      <c r="B35" s="53">
        <v>25</v>
      </c>
      <c r="C35" s="58">
        <v>198.41099548339844</v>
      </c>
      <c r="D35" s="59">
        <v>10017.169921875</v>
      </c>
      <c r="E35" s="59">
        <v>0</v>
      </c>
      <c r="F35" s="59">
        <v>8.7262419983744621E-3</v>
      </c>
      <c r="G35" s="42">
        <v>0</v>
      </c>
      <c r="H35" s="23"/>
      <c r="I35" s="23"/>
      <c r="J35" s="99"/>
      <c r="K35" s="99"/>
      <c r="L35" s="99"/>
      <c r="M35" s="99"/>
      <c r="N35" s="43">
        <f t="shared" si="0"/>
        <v>198.41099548339844</v>
      </c>
      <c r="O35" s="43"/>
      <c r="P35" s="23"/>
      <c r="Q35" s="23"/>
    </row>
    <row r="36" spans="1:17">
      <c r="A36" s="23"/>
      <c r="B36" s="53">
        <v>26</v>
      </c>
      <c r="C36" s="58">
        <v>212.10200500488281</v>
      </c>
      <c r="D36" s="59">
        <v>10017.7099609375</v>
      </c>
      <c r="E36" s="59">
        <v>0</v>
      </c>
      <c r="F36" s="59">
        <v>8.3376392722129822E-3</v>
      </c>
      <c r="G36" s="42">
        <v>0</v>
      </c>
      <c r="H36" s="23"/>
      <c r="I36" s="23"/>
      <c r="J36" s="99"/>
      <c r="K36" s="99"/>
      <c r="L36" s="99"/>
      <c r="M36" s="99"/>
      <c r="N36" s="43">
        <f t="shared" si="0"/>
        <v>212.10200500488281</v>
      </c>
      <c r="O36" s="43"/>
      <c r="P36" s="23"/>
      <c r="Q36" s="23"/>
    </row>
    <row r="37" spans="1:17">
      <c r="A37" s="23"/>
      <c r="B37" s="53">
        <v>27</v>
      </c>
      <c r="C37" s="58">
        <v>226.73800659179688</v>
      </c>
      <c r="D37" s="59">
        <v>10018.4404296875</v>
      </c>
      <c r="E37" s="59">
        <v>0</v>
      </c>
      <c r="F37" s="59">
        <v>4.0475581772625446E-3</v>
      </c>
      <c r="G37" s="42">
        <v>0</v>
      </c>
      <c r="H37" s="23"/>
      <c r="I37" s="23"/>
      <c r="J37" s="99"/>
      <c r="K37" s="99"/>
      <c r="L37" s="99"/>
      <c r="M37" s="99"/>
      <c r="N37" s="43">
        <f t="shared" si="0"/>
        <v>226.73800659179688</v>
      </c>
      <c r="O37" s="43"/>
      <c r="P37" s="23"/>
      <c r="Q37" s="23"/>
    </row>
    <row r="38" spans="1:17">
      <c r="A38" s="23"/>
      <c r="B38" s="53">
        <v>28</v>
      </c>
      <c r="C38" s="58">
        <v>242.38400268554688</v>
      </c>
      <c r="D38" s="59">
        <v>10018.1298828125</v>
      </c>
      <c r="E38" s="59">
        <v>0</v>
      </c>
      <c r="F38" s="59">
        <v>6.1388988979160786E-3</v>
      </c>
      <c r="G38" s="42">
        <v>0</v>
      </c>
      <c r="H38" s="23"/>
      <c r="I38" s="23"/>
      <c r="J38" s="99"/>
      <c r="K38" s="99"/>
      <c r="L38" s="99"/>
      <c r="M38" s="99"/>
      <c r="N38" s="43">
        <f t="shared" si="0"/>
        <v>242.38400268554688</v>
      </c>
      <c r="O38" s="43"/>
      <c r="P38" s="23"/>
      <c r="Q38" s="23"/>
    </row>
    <row r="39" spans="1:17">
      <c r="A39" s="23"/>
      <c r="B39" s="53">
        <v>29</v>
      </c>
      <c r="C39" s="58">
        <v>259.1090087890625</v>
      </c>
      <c r="D39" s="59">
        <v>10017.400390625</v>
      </c>
      <c r="E39" s="59">
        <v>0</v>
      </c>
      <c r="F39" s="59">
        <v>1.616314984858036E-3</v>
      </c>
      <c r="G39" s="42">
        <v>0</v>
      </c>
      <c r="H39" s="23"/>
      <c r="I39" s="23"/>
      <c r="J39" s="99"/>
      <c r="K39" s="99"/>
      <c r="L39" s="99"/>
      <c r="M39" s="99"/>
      <c r="N39" s="43">
        <f t="shared" si="0"/>
        <v>259.1090087890625</v>
      </c>
      <c r="O39" s="43"/>
      <c r="P39" s="23"/>
      <c r="Q39" s="23"/>
    </row>
    <row r="40" spans="1:17">
      <c r="A40" s="23"/>
      <c r="B40" s="53">
        <v>30</v>
      </c>
      <c r="C40" s="58">
        <v>276.989013671875</v>
      </c>
      <c r="D40" s="59">
        <v>10018.240234375</v>
      </c>
      <c r="E40" s="59">
        <v>0</v>
      </c>
      <c r="F40" s="59">
        <v>5.9953611344099045E-3</v>
      </c>
      <c r="G40" s="42">
        <v>0</v>
      </c>
      <c r="H40" s="23"/>
      <c r="I40" s="23"/>
      <c r="J40" s="99"/>
      <c r="K40" s="99"/>
      <c r="L40" s="99"/>
      <c r="M40" s="99"/>
      <c r="N40" s="43">
        <f t="shared" si="0"/>
        <v>276.989013671875</v>
      </c>
      <c r="O40" s="43"/>
      <c r="P40" s="23"/>
      <c r="Q40" s="23"/>
    </row>
    <row r="41" spans="1:17">
      <c r="A41" s="23"/>
      <c r="B41" s="53">
        <v>31</v>
      </c>
      <c r="C41" s="58">
        <v>296.10198974609375</v>
      </c>
      <c r="D41" s="59">
        <v>10018.150390625</v>
      </c>
      <c r="E41" s="59">
        <v>0</v>
      </c>
      <c r="F41" s="59">
        <v>5.5969217792153358E-3</v>
      </c>
      <c r="G41" s="42">
        <v>0</v>
      </c>
      <c r="H41" s="23"/>
      <c r="I41" s="23"/>
      <c r="J41" s="99"/>
      <c r="K41" s="99"/>
      <c r="L41" s="99"/>
      <c r="M41" s="99"/>
      <c r="N41" s="43">
        <f t="shared" si="0"/>
        <v>296.10198974609375</v>
      </c>
      <c r="O41" s="43"/>
      <c r="P41" s="23"/>
      <c r="Q41" s="23"/>
    </row>
    <row r="42" spans="1:17">
      <c r="A42" s="23"/>
      <c r="B42" s="53">
        <v>32</v>
      </c>
      <c r="C42" s="58">
        <v>316.53500366210938</v>
      </c>
      <c r="D42" s="59">
        <v>10017.650390625</v>
      </c>
      <c r="E42" s="59">
        <v>0</v>
      </c>
      <c r="F42" s="59">
        <v>4.0536168962717056E-3</v>
      </c>
      <c r="G42" s="42">
        <v>0</v>
      </c>
      <c r="H42" s="23"/>
      <c r="I42" s="23"/>
      <c r="J42" s="99"/>
      <c r="K42" s="99"/>
      <c r="L42" s="99"/>
      <c r="M42" s="99"/>
      <c r="N42" s="43">
        <f t="shared" si="0"/>
        <v>316.53500366210938</v>
      </c>
      <c r="O42" s="43"/>
      <c r="P42" s="23"/>
      <c r="Q42" s="23"/>
    </row>
    <row r="43" spans="1:17">
      <c r="A43" s="23"/>
      <c r="B43" s="53">
        <v>33</v>
      </c>
      <c r="C43" s="58">
        <v>338.37701416015625</v>
      </c>
      <c r="D43" s="59">
        <v>10017.509765625</v>
      </c>
      <c r="E43" s="59">
        <v>0</v>
      </c>
      <c r="F43" s="59">
        <v>3.9272881112992764E-3</v>
      </c>
      <c r="G43" s="42">
        <v>0</v>
      </c>
      <c r="H43" s="23"/>
      <c r="I43" s="23"/>
      <c r="J43" s="99"/>
      <c r="K43" s="99"/>
      <c r="L43" s="99"/>
      <c r="M43" s="99"/>
      <c r="N43" s="43">
        <f t="shared" si="0"/>
        <v>338.37701416015625</v>
      </c>
      <c r="O43" s="43"/>
      <c r="P43" s="23"/>
      <c r="Q43" s="23"/>
    </row>
    <row r="44" spans="1:17">
      <c r="A44" s="23"/>
      <c r="B44" s="53">
        <v>34</v>
      </c>
      <c r="C44" s="58">
        <v>361.72601318359375</v>
      </c>
      <c r="D44" s="59">
        <v>10017.0400390625</v>
      </c>
      <c r="E44" s="59">
        <v>0</v>
      </c>
      <c r="F44" s="59">
        <v>8.6138574406504631E-3</v>
      </c>
      <c r="G44" s="42">
        <v>0</v>
      </c>
      <c r="H44" s="23"/>
      <c r="I44" s="23"/>
      <c r="J44" s="99"/>
      <c r="K44" s="99"/>
      <c r="L44" s="99"/>
      <c r="M44" s="99"/>
      <c r="N44" s="43">
        <f t="shared" si="0"/>
        <v>361.72601318359375</v>
      </c>
      <c r="O44" s="43"/>
      <c r="P44" s="23"/>
      <c r="Q44" s="23"/>
    </row>
    <row r="45" spans="1:17">
      <c r="A45" s="23"/>
      <c r="B45" s="53">
        <v>35</v>
      </c>
      <c r="C45" s="58">
        <v>386.68701171875</v>
      </c>
      <c r="D45" s="59">
        <v>10017.2900390625</v>
      </c>
      <c r="E45" s="59">
        <v>0</v>
      </c>
      <c r="F45" s="59">
        <v>-1.8658080080058426E-4</v>
      </c>
      <c r="G45" s="42">
        <v>0</v>
      </c>
      <c r="H45" s="23"/>
      <c r="I45" s="23"/>
      <c r="J45" s="99"/>
      <c r="K45" s="99"/>
      <c r="L45" s="99"/>
      <c r="M45" s="99"/>
      <c r="N45" s="43">
        <f t="shared" si="0"/>
        <v>386.68701171875</v>
      </c>
      <c r="O45" s="43"/>
      <c r="P45" s="23"/>
      <c r="Q45" s="23"/>
    </row>
    <row r="46" spans="1:17">
      <c r="A46" s="23"/>
      <c r="B46" s="53">
        <v>36</v>
      </c>
      <c r="C46" s="58">
        <v>413.3699951171875</v>
      </c>
      <c r="D46" s="59">
        <v>10017.349609375</v>
      </c>
      <c r="E46" s="59">
        <v>0</v>
      </c>
      <c r="F46" s="59">
        <v>-2.05644202651456E-4</v>
      </c>
      <c r="G46" s="42">
        <v>0</v>
      </c>
      <c r="H46" s="23"/>
      <c r="I46" s="23"/>
      <c r="J46" s="99"/>
      <c r="K46" s="99"/>
      <c r="L46" s="99"/>
      <c r="M46" s="99"/>
      <c r="N46" s="43">
        <f t="shared" si="0"/>
        <v>413.3699951171875</v>
      </c>
      <c r="O46" s="43"/>
      <c r="P46" s="23"/>
      <c r="Q46" s="23"/>
    </row>
    <row r="47" spans="1:17">
      <c r="A47" s="23"/>
      <c r="B47" s="53">
        <v>37</v>
      </c>
      <c r="C47" s="58">
        <v>441.89401245117188</v>
      </c>
      <c r="D47" s="59">
        <v>10016.8603515625</v>
      </c>
      <c r="E47" s="59">
        <v>0</v>
      </c>
      <c r="F47" s="59">
        <v>-1.9160689553245902E-3</v>
      </c>
      <c r="G47" s="42">
        <v>0</v>
      </c>
      <c r="H47" s="23"/>
      <c r="I47" s="23"/>
      <c r="J47" s="99"/>
      <c r="K47" s="99"/>
      <c r="L47" s="99"/>
      <c r="M47" s="99"/>
      <c r="N47" s="43">
        <f t="shared" si="0"/>
        <v>441.89401245117188</v>
      </c>
      <c r="O47" s="43"/>
      <c r="P47" s="23"/>
      <c r="Q47" s="23"/>
    </row>
    <row r="48" spans="1:17">
      <c r="A48" s="23"/>
      <c r="B48" s="53">
        <v>38</v>
      </c>
      <c r="C48" s="58">
        <v>472.38699340820313</v>
      </c>
      <c r="D48" s="59">
        <v>10016.7197265625</v>
      </c>
      <c r="E48" s="59">
        <v>0</v>
      </c>
      <c r="F48" s="59">
        <v>3.229496069252491E-3</v>
      </c>
      <c r="G48" s="42">
        <v>0</v>
      </c>
      <c r="H48" s="23"/>
      <c r="I48" s="23"/>
      <c r="J48" s="99"/>
      <c r="K48" s="99"/>
      <c r="L48" s="99"/>
      <c r="M48" s="99"/>
      <c r="N48" s="43">
        <f t="shared" si="0"/>
        <v>472.38699340820313</v>
      </c>
      <c r="O48" s="43"/>
      <c r="P48" s="23"/>
      <c r="Q48" s="23"/>
    </row>
    <row r="49" spans="1:17">
      <c r="A49" s="23"/>
      <c r="B49" s="53">
        <v>39</v>
      </c>
      <c r="C49" s="58">
        <v>504.9840087890625</v>
      </c>
      <c r="D49" s="59">
        <v>10016.3095703125</v>
      </c>
      <c r="E49" s="59">
        <v>0</v>
      </c>
      <c r="F49" s="59">
        <v>-7.4300309643149376E-3</v>
      </c>
      <c r="G49" s="42">
        <v>0</v>
      </c>
      <c r="H49" s="23"/>
      <c r="I49" s="23"/>
      <c r="J49" s="99"/>
      <c r="K49" s="99"/>
      <c r="L49" s="99"/>
      <c r="M49" s="99"/>
      <c r="N49" s="43">
        <f t="shared" si="0"/>
        <v>504.9840087890625</v>
      </c>
      <c r="O49" s="43"/>
      <c r="P49" s="23"/>
      <c r="Q49" s="23"/>
    </row>
    <row r="50" spans="1:17">
      <c r="A50" s="23"/>
      <c r="B50" s="53">
        <v>40</v>
      </c>
      <c r="C50" s="58">
        <v>539.8289794921875</v>
      </c>
      <c r="D50" s="59">
        <v>10016.830078125</v>
      </c>
      <c r="E50" s="59">
        <v>0</v>
      </c>
      <c r="F50" s="59">
        <v>-3.9878492243587971E-3</v>
      </c>
      <c r="G50" s="42">
        <v>0</v>
      </c>
      <c r="H50" s="23"/>
      <c r="I50" s="23"/>
      <c r="J50" s="99"/>
      <c r="K50" s="99"/>
      <c r="L50" s="99"/>
      <c r="M50" s="99"/>
      <c r="N50" s="43">
        <f t="shared" si="0"/>
        <v>539.8289794921875</v>
      </c>
      <c r="O50" s="43"/>
      <c r="P50" s="23"/>
      <c r="Q50" s="23"/>
    </row>
    <row r="51" spans="1:17">
      <c r="A51" s="23"/>
      <c r="B51" s="53">
        <v>41</v>
      </c>
      <c r="C51" s="58">
        <v>577.08001708984375</v>
      </c>
      <c r="D51" s="59">
        <v>10017.2001953125</v>
      </c>
      <c r="E51" s="59">
        <v>0</v>
      </c>
      <c r="F51" s="59">
        <v>8.8204297935590148E-4</v>
      </c>
      <c r="G51" s="42">
        <v>0</v>
      </c>
      <c r="H51" s="23"/>
      <c r="I51" s="23"/>
      <c r="J51" s="99"/>
      <c r="K51" s="99"/>
      <c r="L51" s="99"/>
      <c r="M51" s="99"/>
      <c r="N51" s="43">
        <f t="shared" si="0"/>
        <v>577.08001708984375</v>
      </c>
      <c r="O51" s="43"/>
      <c r="P51" s="23"/>
      <c r="Q51" s="23"/>
    </row>
    <row r="52" spans="1:17">
      <c r="A52" s="23"/>
      <c r="B52" s="53">
        <v>42</v>
      </c>
      <c r="C52" s="58">
        <v>616.9010009765625</v>
      </c>
      <c r="D52" s="59">
        <v>10017.25</v>
      </c>
      <c r="E52" s="59">
        <v>0</v>
      </c>
      <c r="F52" s="59">
        <v>3.5270340740680695E-3</v>
      </c>
      <c r="G52" s="42">
        <v>0</v>
      </c>
      <c r="H52" s="23"/>
      <c r="I52" s="23"/>
      <c r="J52" s="99"/>
      <c r="K52" s="99"/>
      <c r="L52" s="99"/>
      <c r="M52" s="99"/>
      <c r="N52" s="43">
        <f t="shared" si="0"/>
        <v>616.9010009765625</v>
      </c>
      <c r="O52" s="43"/>
      <c r="P52" s="23"/>
      <c r="Q52" s="23"/>
    </row>
    <row r="53" spans="1:17">
      <c r="A53" s="23"/>
      <c r="B53" s="53">
        <v>43</v>
      </c>
      <c r="C53" s="58">
        <v>659.469970703125</v>
      </c>
      <c r="D53" s="59">
        <v>10017.5595703125</v>
      </c>
      <c r="E53" s="59">
        <v>0</v>
      </c>
      <c r="F53" s="59">
        <v>-5.8144619688391685E-3</v>
      </c>
      <c r="G53" s="42">
        <v>0</v>
      </c>
      <c r="H53" s="23"/>
      <c r="I53" s="23"/>
      <c r="J53" s="99"/>
      <c r="K53" s="99"/>
      <c r="L53" s="99"/>
      <c r="M53" s="99"/>
      <c r="N53" s="43">
        <f t="shared" si="0"/>
        <v>659.469970703125</v>
      </c>
      <c r="O53" s="43"/>
      <c r="P53" s="23"/>
      <c r="Q53" s="23"/>
    </row>
    <row r="54" spans="1:17">
      <c r="A54" s="23"/>
      <c r="B54" s="53">
        <v>44</v>
      </c>
      <c r="C54" s="58">
        <v>704.97601318359375</v>
      </c>
      <c r="D54" s="59">
        <v>10017.919921875</v>
      </c>
      <c r="E54" s="59">
        <v>0</v>
      </c>
      <c r="F54" s="59">
        <v>-1.0864939540624619E-2</v>
      </c>
      <c r="G54" s="42">
        <v>0</v>
      </c>
      <c r="H54" s="23"/>
      <c r="I54" s="23"/>
      <c r="J54" s="99"/>
      <c r="K54" s="99"/>
      <c r="L54" s="99"/>
      <c r="M54" s="99"/>
      <c r="N54" s="43">
        <f t="shared" si="0"/>
        <v>704.97601318359375</v>
      </c>
      <c r="O54" s="43"/>
      <c r="P54" s="23"/>
      <c r="Q54" s="23"/>
    </row>
    <row r="55" spans="1:17">
      <c r="A55" s="23"/>
      <c r="B55" s="53">
        <v>45</v>
      </c>
      <c r="C55" s="58">
        <v>753.62200927734375</v>
      </c>
      <c r="D55" s="59">
        <v>10018.2900390625</v>
      </c>
      <c r="E55" s="59">
        <v>0</v>
      </c>
      <c r="F55" s="59">
        <v>-4.5760869979858398E-3</v>
      </c>
      <c r="G55" s="42">
        <v>0</v>
      </c>
      <c r="H55" s="23"/>
      <c r="I55" s="23"/>
      <c r="J55" s="99"/>
      <c r="K55" s="99"/>
      <c r="L55" s="99"/>
      <c r="M55" s="99"/>
      <c r="N55" s="43">
        <f t="shared" si="0"/>
        <v>753.62200927734375</v>
      </c>
      <c r="O55" s="43"/>
      <c r="P55" s="23"/>
      <c r="Q55" s="23"/>
    </row>
    <row r="56" spans="1:17">
      <c r="A56" s="23"/>
      <c r="B56" s="53">
        <v>46</v>
      </c>
      <c r="C56" s="58">
        <v>805.625</v>
      </c>
      <c r="D56" s="59">
        <v>10018.26953125</v>
      </c>
      <c r="E56" s="59">
        <v>0</v>
      </c>
      <c r="F56" s="59">
        <v>-7.69770797342062E-3</v>
      </c>
      <c r="G56" s="42">
        <v>0</v>
      </c>
      <c r="H56" s="23"/>
      <c r="I56" s="23"/>
      <c r="J56" s="99"/>
      <c r="K56" s="99"/>
      <c r="L56" s="99"/>
      <c r="M56" s="99"/>
      <c r="N56" s="43">
        <f t="shared" si="0"/>
        <v>805.625</v>
      </c>
      <c r="O56" s="43"/>
      <c r="P56" s="23"/>
      <c r="Q56" s="23"/>
    </row>
    <row r="57" spans="1:17">
      <c r="A57" s="23"/>
      <c r="B57" s="53">
        <v>47</v>
      </c>
      <c r="C57" s="58">
        <v>861.21697998046875</v>
      </c>
      <c r="D57" s="59">
        <v>10018.4501953125</v>
      </c>
      <c r="E57" s="59">
        <v>0</v>
      </c>
      <c r="F57" s="59">
        <v>-4.4490811415016651E-3</v>
      </c>
      <c r="G57" s="42">
        <v>0</v>
      </c>
      <c r="H57" s="23"/>
      <c r="I57" s="23"/>
      <c r="J57" s="99"/>
      <c r="K57" s="99"/>
      <c r="L57" s="99"/>
      <c r="M57" s="99"/>
      <c r="N57" s="43">
        <f t="shared" si="0"/>
        <v>861.21697998046875</v>
      </c>
      <c r="O57" s="43"/>
      <c r="P57" s="23"/>
      <c r="Q57" s="23"/>
    </row>
    <row r="58" spans="1:17">
      <c r="A58" s="23"/>
      <c r="B58" s="53">
        <v>48</v>
      </c>
      <c r="C58" s="58">
        <v>920.64398193359375</v>
      </c>
      <c r="D58" s="59">
        <v>10016.080078125</v>
      </c>
      <c r="E58" s="59">
        <v>0</v>
      </c>
      <c r="F58" s="59">
        <v>1.6947299242019653E-2</v>
      </c>
      <c r="G58" s="42">
        <v>0</v>
      </c>
      <c r="H58" s="23"/>
      <c r="I58" s="23"/>
      <c r="J58" s="99"/>
      <c r="K58" s="99"/>
      <c r="L58" s="99"/>
      <c r="M58" s="99"/>
      <c r="N58" s="43">
        <f t="shared" si="0"/>
        <v>920.64398193359375</v>
      </c>
      <c r="O58" s="43"/>
      <c r="P58" s="23"/>
      <c r="Q58" s="23"/>
    </row>
    <row r="59" spans="1:17">
      <c r="A59" s="23"/>
      <c r="B59" s="53">
        <v>49</v>
      </c>
      <c r="C59" s="58">
        <v>984.1719970703125</v>
      </c>
      <c r="D59" s="59">
        <v>10016.240234375</v>
      </c>
      <c r="E59" s="59">
        <v>0</v>
      </c>
      <c r="F59" s="59">
        <v>6.3495677895843983E-3</v>
      </c>
      <c r="G59" s="42">
        <v>0</v>
      </c>
      <c r="H59" s="23"/>
      <c r="I59" s="23"/>
      <c r="J59" s="99"/>
      <c r="K59" s="99"/>
      <c r="L59" s="99"/>
      <c r="M59" s="99"/>
      <c r="N59" s="43">
        <f t="shared" si="0"/>
        <v>984.1719970703125</v>
      </c>
      <c r="O59" s="43"/>
      <c r="P59" s="23"/>
      <c r="Q59" s="23"/>
    </row>
    <row r="60" spans="1:17">
      <c r="A60" s="23"/>
      <c r="B60" s="53">
        <v>50</v>
      </c>
      <c r="C60" s="58">
        <v>1052.083984375</v>
      </c>
      <c r="D60" s="59">
        <v>10017.0302734375</v>
      </c>
      <c r="E60" s="59">
        <v>0</v>
      </c>
      <c r="F60" s="59">
        <v>4.4100088998675346E-3</v>
      </c>
      <c r="G60" s="42">
        <v>0</v>
      </c>
      <c r="H60" s="23"/>
      <c r="I60" s="23"/>
      <c r="J60" s="99"/>
      <c r="K60" s="99"/>
      <c r="L60" s="99"/>
      <c r="M60" s="99"/>
      <c r="N60" s="43">
        <f t="shared" si="0"/>
        <v>1052.083984375</v>
      </c>
      <c r="O60" s="43"/>
      <c r="P60" s="23"/>
      <c r="Q60" s="23"/>
    </row>
    <row r="61" spans="1:17">
      <c r="A61" s="23"/>
      <c r="B61" s="53">
        <v>51</v>
      </c>
      <c r="C61" s="58">
        <v>1124.6829833984375</v>
      </c>
      <c r="D61" s="59">
        <v>10017.6298828125</v>
      </c>
      <c r="E61" s="59">
        <v>0</v>
      </c>
      <c r="F61" s="59">
        <v>4.8141279257833958E-3</v>
      </c>
      <c r="G61" s="42">
        <v>0</v>
      </c>
      <c r="H61" s="23"/>
      <c r="I61" s="23"/>
      <c r="J61" s="99"/>
      <c r="K61" s="99"/>
      <c r="L61" s="99"/>
      <c r="M61" s="99"/>
      <c r="N61" s="43">
        <f t="shared" si="0"/>
        <v>1124.6829833984375</v>
      </c>
      <c r="O61" s="43"/>
      <c r="P61" s="23"/>
      <c r="Q61" s="23"/>
    </row>
    <row r="62" spans="1:17">
      <c r="A62" s="23"/>
      <c r="B62" s="53">
        <v>52</v>
      </c>
      <c r="C62" s="58">
        <v>1202.2900390625</v>
      </c>
      <c r="D62" s="59">
        <v>10016.7001953125</v>
      </c>
      <c r="E62" s="59">
        <v>0</v>
      </c>
      <c r="F62" s="59">
        <v>-1.8347699369769543E-4</v>
      </c>
      <c r="G62" s="42">
        <v>0</v>
      </c>
      <c r="H62" s="23"/>
      <c r="I62" s="23"/>
      <c r="J62" s="99"/>
      <c r="K62" s="99"/>
      <c r="L62" s="99"/>
      <c r="M62" s="99"/>
      <c r="N62" s="43">
        <f t="shared" si="0"/>
        <v>1202.2900390625</v>
      </c>
      <c r="O62" s="43"/>
      <c r="P62" s="23"/>
      <c r="Q62" s="23"/>
    </row>
    <row r="63" spans="1:17">
      <c r="A63" s="23"/>
      <c r="B63" s="53">
        <v>53</v>
      </c>
      <c r="C63" s="58">
        <v>1285.2540283203125</v>
      </c>
      <c r="D63" s="59">
        <v>10018.0302734375</v>
      </c>
      <c r="E63" s="59">
        <v>0</v>
      </c>
      <c r="F63" s="59">
        <v>2.5475530419498682E-3</v>
      </c>
      <c r="G63" s="42">
        <v>0</v>
      </c>
      <c r="H63" s="23"/>
      <c r="I63" s="23"/>
      <c r="J63" s="99"/>
      <c r="K63" s="99"/>
      <c r="L63" s="99"/>
      <c r="M63" s="99"/>
      <c r="N63" s="43">
        <f t="shared" si="0"/>
        <v>1285.2540283203125</v>
      </c>
      <c r="O63" s="43"/>
      <c r="P63" s="23"/>
      <c r="Q63" s="23"/>
    </row>
    <row r="64" spans="1:17">
      <c r="A64" s="23"/>
      <c r="B64" s="53">
        <v>54</v>
      </c>
      <c r="C64" s="58">
        <v>1373.9410400390625</v>
      </c>
      <c r="D64" s="59">
        <v>10016.6904296875</v>
      </c>
      <c r="E64" s="59">
        <v>0</v>
      </c>
      <c r="F64" s="59">
        <v>1.4745480148121715E-3</v>
      </c>
      <c r="G64" s="42">
        <v>0</v>
      </c>
      <c r="H64" s="23"/>
      <c r="I64" s="23"/>
      <c r="J64" s="99"/>
      <c r="K64" s="99"/>
      <c r="L64" s="99"/>
      <c r="M64" s="99"/>
      <c r="N64" s="43">
        <f t="shared" si="0"/>
        <v>1373.9410400390625</v>
      </c>
      <c r="O64" s="43"/>
      <c r="P64" s="23"/>
      <c r="Q64" s="23"/>
    </row>
    <row r="65" spans="1:17">
      <c r="A65" s="23"/>
      <c r="B65" s="53">
        <v>55</v>
      </c>
      <c r="C65" s="58">
        <v>1468.7490234375</v>
      </c>
      <c r="D65" s="59">
        <v>10017.580078125</v>
      </c>
      <c r="E65" s="59">
        <v>0</v>
      </c>
      <c r="F65" s="59">
        <v>-2.9662179294973612E-3</v>
      </c>
      <c r="G65" s="42">
        <v>0</v>
      </c>
      <c r="H65" s="23"/>
      <c r="I65" s="23"/>
      <c r="J65" s="99"/>
      <c r="K65" s="99"/>
      <c r="L65" s="99"/>
      <c r="M65" s="99"/>
      <c r="N65" s="43">
        <f t="shared" si="0"/>
        <v>1468.7490234375</v>
      </c>
      <c r="O65" s="43"/>
      <c r="P65" s="23"/>
      <c r="Q65" s="23"/>
    </row>
    <row r="66" spans="1:17">
      <c r="A66" s="23"/>
      <c r="B66" s="53">
        <v>56</v>
      </c>
      <c r="C66" s="58">
        <v>1570.0989990234375</v>
      </c>
      <c r="D66" s="59">
        <v>10017.91015625</v>
      </c>
      <c r="E66" s="59">
        <v>0</v>
      </c>
      <c r="F66" s="59">
        <v>-1.1786390095949173E-2</v>
      </c>
      <c r="G66" s="42">
        <v>0</v>
      </c>
      <c r="H66" s="23"/>
      <c r="I66" s="23"/>
      <c r="J66" s="99"/>
      <c r="K66" s="99"/>
      <c r="L66" s="99"/>
      <c r="M66" s="99"/>
      <c r="N66" s="43">
        <f t="shared" si="0"/>
        <v>1570.0989990234375</v>
      </c>
      <c r="O66" s="43"/>
      <c r="P66" s="23"/>
      <c r="Q66" s="23"/>
    </row>
    <row r="67" spans="1:17">
      <c r="A67" s="23"/>
      <c r="B67" s="53">
        <v>57</v>
      </c>
      <c r="C67" s="58">
        <v>1678.4420166015625</v>
      </c>
      <c r="D67" s="59">
        <v>10016.8798828125</v>
      </c>
      <c r="E67" s="59">
        <v>0</v>
      </c>
      <c r="F67" s="59">
        <v>-7.7940039336681366E-3</v>
      </c>
      <c r="G67" s="42">
        <v>0</v>
      </c>
      <c r="H67" s="23"/>
      <c r="I67" s="23"/>
      <c r="J67" s="99"/>
      <c r="K67" s="99"/>
      <c r="L67" s="99"/>
      <c r="M67" s="99"/>
      <c r="N67" s="43">
        <f t="shared" si="0"/>
        <v>1678.4420166015625</v>
      </c>
      <c r="O67" s="43"/>
      <c r="P67" s="23"/>
      <c r="Q67" s="23"/>
    </row>
    <row r="68" spans="1:17">
      <c r="A68" s="23"/>
      <c r="B68" s="53">
        <v>58</v>
      </c>
      <c r="C68" s="58">
        <v>1794.261962890625</v>
      </c>
      <c r="D68" s="59">
        <v>10018.01953125</v>
      </c>
      <c r="E68" s="59">
        <v>0</v>
      </c>
      <c r="F68" s="59">
        <v>-1.785573922097683E-2</v>
      </c>
      <c r="G68" s="42">
        <v>0</v>
      </c>
      <c r="H68" s="23"/>
      <c r="I68" s="23"/>
      <c r="J68" s="99"/>
      <c r="K68" s="99"/>
      <c r="L68" s="99"/>
      <c r="M68" s="99"/>
      <c r="N68" s="43">
        <f t="shared" si="0"/>
        <v>1794.261962890625</v>
      </c>
      <c r="O68" s="43"/>
      <c r="P68" s="23"/>
      <c r="Q68" s="23"/>
    </row>
    <row r="69" spans="1:17">
      <c r="A69" s="23"/>
      <c r="B69" s="53">
        <v>59</v>
      </c>
      <c r="C69" s="58">
        <v>1918.072998046875</v>
      </c>
      <c r="D69" s="59">
        <v>10016.8603515625</v>
      </c>
      <c r="E69" s="59">
        <v>0</v>
      </c>
      <c r="F69" s="59">
        <v>-1.8010919913649559E-2</v>
      </c>
      <c r="G69" s="42">
        <v>0</v>
      </c>
      <c r="H69" s="23"/>
      <c r="I69" s="23"/>
      <c r="J69" s="99"/>
      <c r="K69" s="99"/>
      <c r="L69" s="99"/>
      <c r="M69" s="99"/>
      <c r="N69" s="43">
        <f t="shared" si="0"/>
        <v>1918.072998046875</v>
      </c>
      <c r="O69" s="43"/>
      <c r="P69" s="23"/>
      <c r="Q69" s="23"/>
    </row>
    <row r="70" spans="1:17">
      <c r="A70" s="23"/>
      <c r="B70" s="53">
        <v>60</v>
      </c>
      <c r="C70" s="58">
        <v>2050.427978515625</v>
      </c>
      <c r="D70" s="59">
        <v>10016.5400390625</v>
      </c>
      <c r="E70" s="59">
        <v>0</v>
      </c>
      <c r="F70" s="59">
        <v>-3.1824741512537003E-2</v>
      </c>
      <c r="G70" s="42">
        <v>0</v>
      </c>
      <c r="H70" s="23"/>
      <c r="I70" s="23"/>
      <c r="J70" s="99"/>
      <c r="K70" s="99"/>
      <c r="L70" s="99"/>
      <c r="M70" s="99"/>
      <c r="N70" s="43">
        <f t="shared" si="0"/>
        <v>2050.427978515625</v>
      </c>
      <c r="O70" s="43"/>
      <c r="P70" s="23"/>
      <c r="Q70" s="23"/>
    </row>
    <row r="71" spans="1:17">
      <c r="A71" s="23"/>
      <c r="B71" s="53">
        <v>61</v>
      </c>
      <c r="C71" s="58">
        <v>2191.916015625</v>
      </c>
      <c r="D71" s="59">
        <v>10017.400390625</v>
      </c>
      <c r="E71" s="59">
        <v>0</v>
      </c>
      <c r="F71" s="59">
        <v>-2.4716010317206383E-2</v>
      </c>
      <c r="G71" s="42">
        <v>0</v>
      </c>
      <c r="H71" s="23"/>
      <c r="I71" s="23"/>
      <c r="J71" s="99"/>
      <c r="K71" s="99"/>
      <c r="L71" s="99"/>
      <c r="M71" s="99"/>
      <c r="N71" s="43">
        <f t="shared" si="0"/>
        <v>2191.916015625</v>
      </c>
      <c r="O71" s="43"/>
      <c r="P71" s="23"/>
      <c r="Q71" s="23"/>
    </row>
    <row r="72" spans="1:17">
      <c r="A72" s="23"/>
      <c r="B72" s="53">
        <v>62</v>
      </c>
      <c r="C72" s="58">
        <v>2343.16796875</v>
      </c>
      <c r="D72" s="59">
        <v>10017.5498046875</v>
      </c>
      <c r="E72" s="59">
        <v>0</v>
      </c>
      <c r="F72" s="59">
        <v>-2.2113729268312454E-2</v>
      </c>
      <c r="G72" s="42">
        <v>0</v>
      </c>
      <c r="H72" s="23"/>
      <c r="I72" s="23"/>
      <c r="J72" s="99"/>
      <c r="K72" s="99"/>
      <c r="L72" s="99"/>
      <c r="M72" s="99"/>
      <c r="N72" s="43">
        <f t="shared" si="0"/>
        <v>2343.16796875</v>
      </c>
      <c r="O72" s="43"/>
      <c r="P72" s="23"/>
      <c r="Q72" s="23"/>
    </row>
    <row r="73" spans="1:17">
      <c r="A73" s="23"/>
      <c r="B73" s="53">
        <v>63</v>
      </c>
      <c r="C73" s="58">
        <v>2504.85595703125</v>
      </c>
      <c r="D73" s="59">
        <v>10017.349609375</v>
      </c>
      <c r="E73" s="59">
        <v>0</v>
      </c>
      <c r="F73" s="59">
        <v>-2.6383189484477043E-2</v>
      </c>
      <c r="G73" s="42">
        <v>0</v>
      </c>
      <c r="H73" s="23"/>
      <c r="I73" s="23"/>
      <c r="J73" s="99"/>
      <c r="K73" s="99"/>
      <c r="L73" s="99"/>
      <c r="M73" s="99"/>
      <c r="N73" s="43">
        <f t="shared" si="0"/>
        <v>2504.85595703125</v>
      </c>
      <c r="O73" s="43"/>
      <c r="P73" s="23"/>
      <c r="Q73" s="23"/>
    </row>
    <row r="74" spans="1:17">
      <c r="A74" s="23"/>
      <c r="B74" s="53">
        <v>64</v>
      </c>
      <c r="C74" s="58">
        <v>2677.701904296875</v>
      </c>
      <c r="D74" s="59">
        <v>10016.23046875</v>
      </c>
      <c r="E74" s="59">
        <v>0</v>
      </c>
      <c r="F74" s="59">
        <v>-3.2580040395259857E-2</v>
      </c>
      <c r="G74" s="42">
        <v>0</v>
      </c>
      <c r="H74" s="23"/>
      <c r="I74" s="23"/>
      <c r="J74" s="99"/>
      <c r="K74" s="99"/>
      <c r="L74" s="99"/>
      <c r="M74" s="99"/>
      <c r="N74" s="43">
        <f t="shared" si="0"/>
        <v>2677.701904296875</v>
      </c>
      <c r="O74" s="43"/>
      <c r="P74" s="23"/>
      <c r="Q74" s="23"/>
    </row>
    <row r="75" spans="1:17">
      <c r="A75" s="23"/>
      <c r="B75" s="53">
        <v>65</v>
      </c>
      <c r="C75" s="58">
        <v>2862.47412109375</v>
      </c>
      <c r="D75" s="59">
        <v>10016.3701171875</v>
      </c>
      <c r="E75" s="59">
        <v>0</v>
      </c>
      <c r="F75" s="59">
        <v>-3.6762960255146027E-2</v>
      </c>
      <c r="G75" s="42">
        <v>0</v>
      </c>
      <c r="H75" s="23"/>
      <c r="I75" s="23"/>
      <c r="J75" s="99"/>
      <c r="K75" s="99"/>
      <c r="L75" s="99"/>
      <c r="M75" s="99"/>
      <c r="N75" s="43">
        <f t="shared" ref="N75:N138" si="1">IF($L$4=$C$10,C75,IF(D75="","",B75))</f>
        <v>2862.47412109375</v>
      </c>
      <c r="O75" s="43"/>
      <c r="P75" s="23"/>
      <c r="Q75" s="23"/>
    </row>
    <row r="76" spans="1:17">
      <c r="A76" s="23"/>
      <c r="B76" s="53">
        <v>66</v>
      </c>
      <c r="C76" s="58">
        <v>3059.9970703125</v>
      </c>
      <c r="D76" s="59">
        <v>10018.1796875</v>
      </c>
      <c r="E76" s="59">
        <v>0</v>
      </c>
      <c r="F76" s="59">
        <v>-5.1614388823509216E-2</v>
      </c>
      <c r="G76" s="42">
        <v>0</v>
      </c>
      <c r="H76" s="23"/>
      <c r="I76" s="23"/>
      <c r="J76" s="99"/>
      <c r="K76" s="99"/>
      <c r="L76" s="99"/>
      <c r="M76" s="99"/>
      <c r="N76" s="43">
        <f t="shared" si="1"/>
        <v>3059.9970703125</v>
      </c>
      <c r="O76" s="43"/>
      <c r="P76" s="23"/>
      <c r="Q76" s="23"/>
    </row>
    <row r="77" spans="1:17">
      <c r="A77" s="23"/>
      <c r="B77" s="53">
        <v>67</v>
      </c>
      <c r="C77" s="58">
        <v>3271.14990234375</v>
      </c>
      <c r="D77" s="59">
        <v>10016.900390625</v>
      </c>
      <c r="E77" s="59">
        <v>0</v>
      </c>
      <c r="F77" s="59">
        <v>-5.2540130913257599E-2</v>
      </c>
      <c r="G77" s="42">
        <v>0</v>
      </c>
      <c r="H77" s="23"/>
      <c r="I77" s="23"/>
      <c r="J77" s="99"/>
      <c r="K77" s="99"/>
      <c r="L77" s="99"/>
      <c r="M77" s="99"/>
      <c r="N77" s="43">
        <f t="shared" si="1"/>
        <v>3271.14990234375</v>
      </c>
      <c r="O77" s="43"/>
      <c r="P77" s="23"/>
      <c r="Q77" s="23"/>
    </row>
    <row r="78" spans="1:17">
      <c r="A78" s="23"/>
      <c r="B78" s="53">
        <v>68</v>
      </c>
      <c r="C78" s="58">
        <v>3496.8720703125</v>
      </c>
      <c r="D78" s="59">
        <v>10017.23046875</v>
      </c>
      <c r="E78" s="59">
        <v>0</v>
      </c>
      <c r="F78" s="59">
        <v>-5.2346240729093552E-2</v>
      </c>
      <c r="G78" s="42">
        <v>0</v>
      </c>
      <c r="H78" s="23"/>
      <c r="I78" s="23"/>
      <c r="J78" s="99"/>
      <c r="K78" s="99"/>
      <c r="L78" s="99"/>
      <c r="M78" s="99"/>
      <c r="N78" s="43">
        <f t="shared" si="1"/>
        <v>3496.8720703125</v>
      </c>
      <c r="O78" s="43"/>
      <c r="P78" s="23"/>
      <c r="Q78" s="23"/>
    </row>
    <row r="79" spans="1:17">
      <c r="A79" s="23"/>
      <c r="B79" s="53">
        <v>69</v>
      </c>
      <c r="C79" s="58">
        <v>3738.1708984375</v>
      </c>
      <c r="D79" s="59">
        <v>10016.5302734375</v>
      </c>
      <c r="E79" s="59">
        <v>0</v>
      </c>
      <c r="F79" s="59">
        <v>-5.3332161158323288E-2</v>
      </c>
      <c r="G79" s="42">
        <v>0</v>
      </c>
      <c r="H79" s="23"/>
      <c r="I79" s="23"/>
      <c r="J79" s="99"/>
      <c r="K79" s="99"/>
      <c r="L79" s="99"/>
      <c r="M79" s="99"/>
      <c r="N79" s="43">
        <f t="shared" si="1"/>
        <v>3738.1708984375</v>
      </c>
      <c r="O79" s="43"/>
      <c r="P79" s="23"/>
      <c r="Q79" s="23"/>
    </row>
    <row r="80" spans="1:17">
      <c r="A80" s="23"/>
      <c r="B80" s="53">
        <v>70</v>
      </c>
      <c r="C80" s="58">
        <v>3996.12109375</v>
      </c>
      <c r="D80" s="59">
        <v>10017.8203125</v>
      </c>
      <c r="E80" s="59">
        <v>0</v>
      </c>
      <c r="F80" s="59">
        <v>-6.5400533378124237E-2</v>
      </c>
      <c r="G80" s="42">
        <v>0</v>
      </c>
      <c r="H80" s="23"/>
      <c r="I80" s="23"/>
      <c r="J80" s="99"/>
      <c r="K80" s="99"/>
      <c r="L80" s="99"/>
      <c r="M80" s="99"/>
      <c r="N80" s="43">
        <f t="shared" si="1"/>
        <v>3996.12109375</v>
      </c>
      <c r="O80" s="43"/>
      <c r="P80" s="23"/>
      <c r="Q80" s="23"/>
    </row>
    <row r="81" spans="1:17">
      <c r="A81" s="23"/>
      <c r="B81" s="53">
        <v>71</v>
      </c>
      <c r="C81" s="58">
        <v>4271.8701171875</v>
      </c>
      <c r="D81" s="59">
        <v>10016.7001953125</v>
      </c>
      <c r="E81" s="59">
        <v>0</v>
      </c>
      <c r="F81" s="59">
        <v>-7.1695312857627869E-2</v>
      </c>
      <c r="G81" s="42">
        <v>0</v>
      </c>
      <c r="H81" s="23"/>
      <c r="I81" s="23"/>
      <c r="J81" s="99"/>
      <c r="K81" s="99"/>
      <c r="L81" s="99"/>
      <c r="M81" s="99"/>
      <c r="N81" s="43">
        <f t="shared" si="1"/>
        <v>4271.8701171875</v>
      </c>
      <c r="O81" s="43"/>
      <c r="P81" s="23"/>
      <c r="Q81" s="23"/>
    </row>
    <row r="82" spans="1:17">
      <c r="A82" s="23"/>
      <c r="B82" s="53">
        <v>72</v>
      </c>
      <c r="C82" s="58">
        <v>4566.64697265625</v>
      </c>
      <c r="D82" s="59">
        <v>10016.41015625</v>
      </c>
      <c r="E82" s="59">
        <v>0</v>
      </c>
      <c r="F82" s="59">
        <v>-7.2751663625240326E-2</v>
      </c>
      <c r="G82" s="42">
        <v>0</v>
      </c>
      <c r="H82" s="23"/>
      <c r="I82" s="23"/>
      <c r="J82" s="99"/>
      <c r="K82" s="99"/>
      <c r="L82" s="99"/>
      <c r="M82" s="99"/>
      <c r="N82" s="43">
        <f t="shared" si="1"/>
        <v>4566.64697265625</v>
      </c>
      <c r="O82" s="43"/>
      <c r="P82" s="23"/>
      <c r="Q82" s="23"/>
    </row>
    <row r="83" spans="1:17">
      <c r="A83" s="23"/>
      <c r="B83" s="53">
        <v>73</v>
      </c>
      <c r="C83" s="58">
        <v>4881.76416015625</v>
      </c>
      <c r="D83" s="59">
        <v>10016.919921875</v>
      </c>
      <c r="E83" s="59">
        <v>0</v>
      </c>
      <c r="F83" s="59">
        <v>-8.049040287733078E-2</v>
      </c>
      <c r="G83" s="42">
        <v>0</v>
      </c>
      <c r="H83" s="23"/>
      <c r="I83" s="23"/>
      <c r="J83" s="99"/>
      <c r="K83" s="99"/>
      <c r="L83" s="99"/>
      <c r="M83" s="99"/>
      <c r="N83" s="43">
        <f t="shared" si="1"/>
        <v>4881.76416015625</v>
      </c>
      <c r="O83" s="43"/>
      <c r="P83" s="23"/>
      <c r="Q83" s="23"/>
    </row>
    <row r="84" spans="1:17">
      <c r="A84" s="23"/>
      <c r="B84" s="53">
        <v>74</v>
      </c>
      <c r="C84" s="58">
        <v>5218.6259765625</v>
      </c>
      <c r="D84" s="59">
        <v>10016.8896484375</v>
      </c>
      <c r="E84" s="59">
        <v>0</v>
      </c>
      <c r="F84" s="59">
        <v>-8.5385791957378387E-2</v>
      </c>
      <c r="G84" s="42">
        <v>0</v>
      </c>
      <c r="H84" s="23"/>
      <c r="I84" s="23"/>
      <c r="J84" s="99"/>
      <c r="K84" s="99"/>
      <c r="L84" s="99"/>
      <c r="M84" s="99"/>
      <c r="N84" s="43">
        <f t="shared" si="1"/>
        <v>5218.6259765625</v>
      </c>
      <c r="O84" s="43"/>
      <c r="P84" s="23"/>
      <c r="Q84" s="23"/>
    </row>
    <row r="85" spans="1:17">
      <c r="A85" s="23"/>
      <c r="B85" s="53">
        <v>75</v>
      </c>
      <c r="C85" s="58">
        <v>5578.73291015625</v>
      </c>
      <c r="D85" s="59">
        <v>10017.0302734375</v>
      </c>
      <c r="E85" s="59">
        <v>0</v>
      </c>
      <c r="F85" s="59">
        <v>-9.4876572489738464E-2</v>
      </c>
      <c r="G85" s="42">
        <v>0</v>
      </c>
      <c r="H85" s="23"/>
      <c r="I85" s="23"/>
      <c r="J85" s="99"/>
      <c r="K85" s="99"/>
      <c r="L85" s="99"/>
      <c r="M85" s="99"/>
      <c r="N85" s="43">
        <f t="shared" si="1"/>
        <v>5578.73291015625</v>
      </c>
      <c r="O85" s="43"/>
      <c r="P85" s="23"/>
      <c r="Q85" s="23"/>
    </row>
    <row r="86" spans="1:17">
      <c r="A86" s="23"/>
      <c r="B86" s="53">
        <v>76</v>
      </c>
      <c r="C86" s="58">
        <v>5963.68896484375</v>
      </c>
      <c r="D86" s="59">
        <v>10016.2802734375</v>
      </c>
      <c r="E86" s="59">
        <v>0</v>
      </c>
      <c r="F86" s="59">
        <v>-0.10063940286636353</v>
      </c>
      <c r="G86" s="42">
        <v>0</v>
      </c>
      <c r="H86" s="23"/>
      <c r="I86" s="23"/>
      <c r="J86" s="99"/>
      <c r="K86" s="99"/>
      <c r="L86" s="99"/>
      <c r="M86" s="99"/>
      <c r="N86" s="43">
        <f t="shared" si="1"/>
        <v>5963.68896484375</v>
      </c>
      <c r="O86" s="43"/>
      <c r="P86" s="23"/>
      <c r="Q86" s="23"/>
    </row>
    <row r="87" spans="1:17">
      <c r="A87" s="23"/>
      <c r="B87" s="53">
        <v>77</v>
      </c>
      <c r="C87" s="58">
        <v>6375.208984375</v>
      </c>
      <c r="D87" s="59">
        <v>10016.66015625</v>
      </c>
      <c r="E87" s="59">
        <v>0</v>
      </c>
      <c r="F87" s="59">
        <v>-0.11631040275096893</v>
      </c>
      <c r="G87" s="42">
        <v>0</v>
      </c>
      <c r="H87" s="23"/>
      <c r="I87" s="23"/>
      <c r="J87" s="99"/>
      <c r="K87" s="99"/>
      <c r="L87" s="99"/>
      <c r="M87" s="99"/>
      <c r="N87" s="43">
        <f t="shared" si="1"/>
        <v>6375.208984375</v>
      </c>
      <c r="O87" s="43"/>
      <c r="P87" s="23"/>
      <c r="Q87" s="23"/>
    </row>
    <row r="88" spans="1:17">
      <c r="A88" s="23"/>
      <c r="B88" s="53">
        <v>78</v>
      </c>
      <c r="C88" s="58">
        <v>6815.125</v>
      </c>
      <c r="D88" s="59">
        <v>10015.650390625</v>
      </c>
      <c r="E88" s="59">
        <v>0</v>
      </c>
      <c r="F88" s="59">
        <v>-0.1144912987947464</v>
      </c>
      <c r="G88" s="42">
        <v>0</v>
      </c>
      <c r="H88" s="23"/>
      <c r="I88" s="23"/>
      <c r="J88" s="99"/>
      <c r="K88" s="99"/>
      <c r="L88" s="99"/>
      <c r="M88" s="99"/>
      <c r="N88" s="43">
        <f t="shared" si="1"/>
        <v>6815.125</v>
      </c>
      <c r="O88" s="43"/>
      <c r="P88" s="23"/>
      <c r="Q88" s="23"/>
    </row>
    <row r="89" spans="1:17">
      <c r="A89" s="23"/>
      <c r="B89" s="53">
        <v>79</v>
      </c>
      <c r="C89" s="58">
        <v>7285.39697265625</v>
      </c>
      <c r="D89" s="59">
        <v>10015.3896484375</v>
      </c>
      <c r="E89" s="59">
        <v>0</v>
      </c>
      <c r="F89" s="59">
        <v>-0.12587970495223999</v>
      </c>
      <c r="G89" s="42">
        <v>0</v>
      </c>
      <c r="H89" s="23"/>
      <c r="I89" s="23"/>
      <c r="J89" s="99"/>
      <c r="K89" s="99"/>
      <c r="L89" s="99"/>
      <c r="M89" s="99"/>
      <c r="N89" s="43">
        <f t="shared" si="1"/>
        <v>7285.39697265625</v>
      </c>
      <c r="O89" s="43"/>
      <c r="P89" s="23"/>
      <c r="Q89" s="23"/>
    </row>
    <row r="90" spans="1:17">
      <c r="A90" s="23"/>
      <c r="B90" s="53">
        <v>80</v>
      </c>
      <c r="C90" s="58">
        <v>7788.119140625</v>
      </c>
      <c r="D90" s="59">
        <v>10015.8896484375</v>
      </c>
      <c r="E90" s="59">
        <v>0</v>
      </c>
      <c r="F90" s="59">
        <v>-0.12533609569072723</v>
      </c>
      <c r="G90" s="42">
        <v>0</v>
      </c>
      <c r="H90" s="23"/>
      <c r="I90" s="23"/>
      <c r="J90" s="99"/>
      <c r="K90" s="99"/>
      <c r="L90" s="99"/>
      <c r="M90" s="99"/>
      <c r="N90" s="43">
        <f t="shared" si="1"/>
        <v>7788.119140625</v>
      </c>
      <c r="O90" s="43"/>
      <c r="P90" s="23"/>
      <c r="Q90" s="23"/>
    </row>
    <row r="91" spans="1:17">
      <c r="A91" s="23"/>
      <c r="B91" s="53">
        <v>81</v>
      </c>
      <c r="C91" s="58">
        <v>8325.5322265625</v>
      </c>
      <c r="D91" s="59">
        <v>10015.419921875</v>
      </c>
      <c r="E91" s="59">
        <v>0</v>
      </c>
      <c r="F91" s="59">
        <v>-0.14051039516925812</v>
      </c>
      <c r="G91" s="42">
        <v>0</v>
      </c>
      <c r="H91" s="23"/>
      <c r="I91" s="23"/>
      <c r="J91" s="99"/>
      <c r="K91" s="99"/>
      <c r="L91" s="99"/>
      <c r="M91" s="99"/>
      <c r="N91" s="43">
        <f t="shared" si="1"/>
        <v>8325.5322265625</v>
      </c>
      <c r="O91" s="43"/>
      <c r="P91" s="23"/>
      <c r="Q91" s="23"/>
    </row>
    <row r="92" spans="1:17">
      <c r="A92" s="23"/>
      <c r="B92" s="53">
        <v>82</v>
      </c>
      <c r="C92" s="58">
        <v>8900.029296875</v>
      </c>
      <c r="D92" s="59">
        <v>10016.7998046875</v>
      </c>
      <c r="E92" s="59">
        <v>0</v>
      </c>
      <c r="F92" s="59">
        <v>-0.15895390510559082</v>
      </c>
      <c r="G92" s="42">
        <v>0</v>
      </c>
      <c r="H92" s="23"/>
      <c r="I92" s="23"/>
      <c r="J92" s="99"/>
      <c r="K92" s="99"/>
      <c r="L92" s="99"/>
      <c r="M92" s="99"/>
      <c r="N92" s="43">
        <f t="shared" si="1"/>
        <v>8900.029296875</v>
      </c>
      <c r="O92" s="43"/>
      <c r="P92" s="23"/>
      <c r="Q92" s="23"/>
    </row>
    <row r="93" spans="1:17">
      <c r="A93" s="23"/>
      <c r="B93" s="53">
        <v>83</v>
      </c>
      <c r="C93" s="58">
        <v>9514.16796875</v>
      </c>
      <c r="D93" s="59">
        <v>10017.8203125</v>
      </c>
      <c r="E93" s="59">
        <v>0</v>
      </c>
      <c r="F93" s="59">
        <v>-0.1831699013710022</v>
      </c>
      <c r="G93" s="42">
        <v>0</v>
      </c>
      <c r="H93" s="23"/>
      <c r="I93" s="23"/>
      <c r="J93" s="99"/>
      <c r="K93" s="99"/>
      <c r="L93" s="99"/>
      <c r="M93" s="99"/>
      <c r="N93" s="43">
        <f t="shared" si="1"/>
        <v>9514.16796875</v>
      </c>
      <c r="O93" s="43"/>
      <c r="P93" s="23"/>
      <c r="Q93" s="23"/>
    </row>
    <row r="94" spans="1:17">
      <c r="A94" s="23"/>
      <c r="B94" s="53">
        <v>84</v>
      </c>
      <c r="C94" s="58">
        <v>10170.6845703125</v>
      </c>
      <c r="D94" s="59">
        <v>10017.08984375</v>
      </c>
      <c r="E94" s="59">
        <v>0</v>
      </c>
      <c r="F94" s="59">
        <v>-0.19327369332313538</v>
      </c>
      <c r="G94" s="42">
        <v>0</v>
      </c>
      <c r="H94" s="23"/>
      <c r="I94" s="23"/>
      <c r="J94" s="99"/>
      <c r="K94" s="99"/>
      <c r="L94" s="99"/>
      <c r="M94" s="99"/>
      <c r="N94" s="43">
        <f t="shared" si="1"/>
        <v>10170.6845703125</v>
      </c>
      <c r="O94" s="43"/>
      <c r="P94" s="23"/>
      <c r="Q94" s="23"/>
    </row>
    <row r="95" spans="1:17">
      <c r="A95" s="23"/>
      <c r="B95" s="53">
        <v>85</v>
      </c>
      <c r="C95" s="58">
        <v>10872.5048828125</v>
      </c>
      <c r="D95" s="59">
        <v>10016.4697265625</v>
      </c>
      <c r="E95" s="59">
        <v>0</v>
      </c>
      <c r="F95" s="59">
        <v>-0.20008610188961029</v>
      </c>
      <c r="G95" s="42">
        <v>0</v>
      </c>
      <c r="H95" s="23"/>
      <c r="I95" s="23"/>
      <c r="J95" s="99"/>
      <c r="K95" s="99"/>
      <c r="L95" s="99"/>
      <c r="M95" s="99"/>
      <c r="N95" s="43">
        <f t="shared" si="1"/>
        <v>10872.5048828125</v>
      </c>
      <c r="O95" s="43"/>
      <c r="P95" s="23"/>
      <c r="Q95" s="23"/>
    </row>
    <row r="96" spans="1:17">
      <c r="A96" s="23"/>
      <c r="B96" s="53">
        <v>86</v>
      </c>
      <c r="C96" s="58">
        <v>11622.7529296875</v>
      </c>
      <c r="D96" s="59">
        <v>10017.2001953125</v>
      </c>
      <c r="E96" s="59">
        <v>0</v>
      </c>
      <c r="F96" s="59">
        <v>-0.21651080250740051</v>
      </c>
      <c r="G96" s="42">
        <v>0</v>
      </c>
      <c r="H96" s="23"/>
      <c r="I96" s="23"/>
      <c r="J96" s="99"/>
      <c r="K96" s="99"/>
      <c r="L96" s="99"/>
      <c r="M96" s="99"/>
      <c r="N96" s="43">
        <f t="shared" si="1"/>
        <v>11622.7529296875</v>
      </c>
      <c r="O96" s="43"/>
      <c r="P96" s="23"/>
      <c r="Q96" s="23"/>
    </row>
    <row r="97" spans="1:17">
      <c r="A97" s="23"/>
      <c r="B97" s="53">
        <v>87</v>
      </c>
      <c r="C97" s="58">
        <v>12424.771484375</v>
      </c>
      <c r="D97" s="59">
        <v>10017.98046875</v>
      </c>
      <c r="E97" s="59">
        <v>0</v>
      </c>
      <c r="F97" s="59">
        <v>-0.22519159317016602</v>
      </c>
      <c r="G97" s="42">
        <v>0</v>
      </c>
      <c r="H97" s="23"/>
      <c r="I97" s="23"/>
      <c r="J97" s="99"/>
      <c r="K97" s="99"/>
      <c r="L97" s="99"/>
      <c r="M97" s="99"/>
      <c r="N97" s="43">
        <f t="shared" si="1"/>
        <v>12424.771484375</v>
      </c>
      <c r="O97" s="43"/>
      <c r="P97" s="23"/>
      <c r="Q97" s="23"/>
    </row>
    <row r="98" spans="1:17">
      <c r="A98" s="23"/>
      <c r="B98" s="53">
        <v>88</v>
      </c>
      <c r="C98" s="58">
        <v>13282.1318359375</v>
      </c>
      <c r="D98" s="59">
        <v>10017.599609375</v>
      </c>
      <c r="E98" s="59">
        <v>0</v>
      </c>
      <c r="F98" s="59">
        <v>-0.23747140169143677</v>
      </c>
      <c r="G98" s="42">
        <v>0</v>
      </c>
      <c r="H98" s="23"/>
      <c r="I98" s="23"/>
      <c r="J98" s="99"/>
      <c r="K98" s="99"/>
      <c r="L98" s="99"/>
      <c r="M98" s="99"/>
      <c r="N98" s="43">
        <f t="shared" si="1"/>
        <v>13282.1318359375</v>
      </c>
      <c r="O98" s="43"/>
      <c r="P98" s="23"/>
      <c r="Q98" s="23"/>
    </row>
    <row r="99" spans="1:17">
      <c r="A99" s="23"/>
      <c r="B99" s="53">
        <v>89</v>
      </c>
      <c r="C99" s="58">
        <v>14198.6552734375</v>
      </c>
      <c r="D99" s="59">
        <v>10016.58984375</v>
      </c>
      <c r="E99" s="59">
        <v>0</v>
      </c>
      <c r="F99" s="59">
        <v>-0.26375898718833923</v>
      </c>
      <c r="G99" s="42">
        <v>0</v>
      </c>
      <c r="H99" s="23"/>
      <c r="I99" s="23"/>
      <c r="J99" s="99"/>
      <c r="K99" s="99"/>
      <c r="L99" s="99"/>
      <c r="M99" s="99"/>
      <c r="N99" s="43">
        <f t="shared" si="1"/>
        <v>14198.6552734375</v>
      </c>
      <c r="O99" s="43"/>
      <c r="P99" s="23"/>
      <c r="Q99" s="23"/>
    </row>
    <row r="100" spans="1:17">
      <c r="A100" s="23"/>
      <c r="B100" s="53">
        <v>90</v>
      </c>
      <c r="C100" s="58">
        <v>15178.4208984375</v>
      </c>
      <c r="D100" s="59">
        <v>10016.9599609375</v>
      </c>
      <c r="E100" s="59">
        <v>0</v>
      </c>
      <c r="F100" s="59">
        <v>-0.27955639362335205</v>
      </c>
      <c r="G100" s="42">
        <v>0</v>
      </c>
      <c r="H100" s="23"/>
      <c r="I100" s="23"/>
      <c r="J100" s="99"/>
      <c r="K100" s="99"/>
      <c r="L100" s="99"/>
      <c r="M100" s="99"/>
      <c r="N100" s="43">
        <f t="shared" si="1"/>
        <v>15178.4208984375</v>
      </c>
      <c r="O100" s="43"/>
      <c r="P100" s="23"/>
      <c r="Q100" s="23"/>
    </row>
    <row r="101" spans="1:17">
      <c r="A101" s="23"/>
      <c r="B101" s="53">
        <v>91</v>
      </c>
      <c r="C101" s="58">
        <v>16225.7958984375</v>
      </c>
      <c r="D101" s="59">
        <v>10017.2998046875</v>
      </c>
      <c r="E101" s="59">
        <v>0</v>
      </c>
      <c r="F101" s="59">
        <v>-0.29806509613990784</v>
      </c>
      <c r="G101" s="42">
        <v>0</v>
      </c>
      <c r="H101" s="23"/>
      <c r="I101" s="23"/>
      <c r="J101" s="99"/>
      <c r="K101" s="99"/>
      <c r="L101" s="99"/>
      <c r="M101" s="99"/>
      <c r="N101" s="43">
        <f t="shared" si="1"/>
        <v>16225.7958984375</v>
      </c>
      <c r="O101" s="43"/>
      <c r="P101" s="23"/>
      <c r="Q101" s="23"/>
    </row>
    <row r="102" spans="1:17">
      <c r="A102" s="23"/>
      <c r="B102" s="53">
        <v>92</v>
      </c>
      <c r="C102" s="58">
        <v>17345.443359375</v>
      </c>
      <c r="D102" s="59">
        <v>10018.0498046875</v>
      </c>
      <c r="E102" s="59">
        <v>0</v>
      </c>
      <c r="F102" s="59">
        <v>-0.31786748766899109</v>
      </c>
      <c r="G102" s="42">
        <v>0</v>
      </c>
      <c r="H102" s="23"/>
      <c r="I102" s="23"/>
      <c r="J102" s="99"/>
      <c r="K102" s="99"/>
      <c r="L102" s="99"/>
      <c r="M102" s="99"/>
      <c r="N102" s="43">
        <f t="shared" si="1"/>
        <v>17345.443359375</v>
      </c>
      <c r="O102" s="43"/>
      <c r="P102" s="23"/>
      <c r="Q102" s="23"/>
    </row>
    <row r="103" spans="1:17">
      <c r="A103" s="23"/>
      <c r="B103" s="53">
        <v>93</v>
      </c>
      <c r="C103" s="58">
        <v>18542.3515625</v>
      </c>
      <c r="D103" s="59">
        <v>10016.7001953125</v>
      </c>
      <c r="E103" s="59">
        <v>0</v>
      </c>
      <c r="F103" s="59">
        <v>-0.3424358069896698</v>
      </c>
      <c r="G103" s="42">
        <v>0</v>
      </c>
      <c r="H103" s="23"/>
      <c r="I103" s="23"/>
      <c r="J103" s="99"/>
      <c r="K103" s="99"/>
      <c r="L103" s="99"/>
      <c r="M103" s="99"/>
      <c r="N103" s="43">
        <f t="shared" si="1"/>
        <v>18542.3515625</v>
      </c>
      <c r="O103" s="43"/>
      <c r="P103" s="23"/>
      <c r="Q103" s="23"/>
    </row>
    <row r="104" spans="1:17">
      <c r="A104" s="23"/>
      <c r="B104" s="53">
        <v>94</v>
      </c>
      <c r="C104" s="58">
        <v>19821.8515625</v>
      </c>
      <c r="D104" s="59">
        <v>10017.2802734375</v>
      </c>
      <c r="E104" s="59">
        <v>0</v>
      </c>
      <c r="F104" s="59">
        <v>-0.367603600025177</v>
      </c>
      <c r="G104" s="42">
        <v>0</v>
      </c>
      <c r="H104" s="23"/>
      <c r="I104" s="23"/>
      <c r="J104" s="99"/>
      <c r="K104" s="99"/>
      <c r="L104" s="99"/>
      <c r="M104" s="99"/>
      <c r="N104" s="43">
        <f t="shared" si="1"/>
        <v>19821.8515625</v>
      </c>
      <c r="O104" s="43"/>
      <c r="P104" s="23"/>
      <c r="Q104" s="23"/>
    </row>
    <row r="105" spans="1:17">
      <c r="A105" s="23"/>
      <c r="B105" s="53">
        <v>95</v>
      </c>
      <c r="C105" s="58">
        <v>21189.640625</v>
      </c>
      <c r="D105" s="59">
        <v>10016.7802734375</v>
      </c>
      <c r="E105" s="59">
        <v>0</v>
      </c>
      <c r="F105" s="59">
        <v>-0.3966996967792511</v>
      </c>
      <c r="G105" s="42">
        <v>0</v>
      </c>
      <c r="H105" s="23"/>
      <c r="I105" s="23"/>
      <c r="J105" s="99"/>
      <c r="K105" s="99"/>
      <c r="L105" s="99"/>
      <c r="M105" s="99"/>
      <c r="N105" s="43">
        <f t="shared" si="1"/>
        <v>21189.640625</v>
      </c>
      <c r="O105" s="43"/>
      <c r="P105" s="23"/>
      <c r="Q105" s="23"/>
    </row>
    <row r="106" spans="1:17">
      <c r="A106" s="23"/>
      <c r="B106" s="53">
        <v>96</v>
      </c>
      <c r="C106" s="58">
        <v>22651.814453125</v>
      </c>
      <c r="D106" s="59">
        <v>10016.5498046875</v>
      </c>
      <c r="E106" s="59">
        <v>0</v>
      </c>
      <c r="F106" s="59">
        <v>-0.41955330967903137</v>
      </c>
      <c r="G106" s="42">
        <v>0</v>
      </c>
      <c r="H106" s="23"/>
      <c r="I106" s="23"/>
      <c r="J106" s="99"/>
      <c r="K106" s="99"/>
      <c r="L106" s="99"/>
      <c r="M106" s="99"/>
      <c r="N106" s="43">
        <f t="shared" si="1"/>
        <v>22651.814453125</v>
      </c>
      <c r="O106" s="43"/>
      <c r="P106" s="23"/>
      <c r="Q106" s="23"/>
    </row>
    <row r="107" spans="1:17">
      <c r="A107" s="23"/>
      <c r="B107" s="53">
        <v>97</v>
      </c>
      <c r="C107" s="58">
        <v>24214.884765625</v>
      </c>
      <c r="D107" s="59">
        <v>10016.26953125</v>
      </c>
      <c r="E107" s="59">
        <v>0</v>
      </c>
      <c r="F107" s="59">
        <v>-0.44574528932571411</v>
      </c>
      <c r="G107" s="42">
        <v>0</v>
      </c>
      <c r="H107" s="23"/>
      <c r="I107" s="23"/>
      <c r="J107" s="99"/>
      <c r="K107" s="99"/>
      <c r="L107" s="99"/>
      <c r="M107" s="99"/>
      <c r="N107" s="43">
        <f t="shared" si="1"/>
        <v>24214.884765625</v>
      </c>
      <c r="O107" s="43"/>
      <c r="P107" s="23"/>
      <c r="Q107" s="23"/>
    </row>
    <row r="108" spans="1:17">
      <c r="A108" s="23"/>
      <c r="B108" s="53">
        <v>98</v>
      </c>
      <c r="C108" s="58">
        <v>25885.8125</v>
      </c>
      <c r="D108" s="59">
        <v>10016.669921875</v>
      </c>
      <c r="E108" s="59">
        <v>0</v>
      </c>
      <c r="F108" s="59">
        <v>-0.47244641184806824</v>
      </c>
      <c r="G108" s="42">
        <v>0</v>
      </c>
      <c r="H108" s="23"/>
      <c r="I108" s="23"/>
      <c r="J108" s="99"/>
      <c r="K108" s="99"/>
      <c r="L108" s="99"/>
      <c r="M108" s="99"/>
      <c r="N108" s="43">
        <f t="shared" si="1"/>
        <v>25885.8125</v>
      </c>
      <c r="O108" s="43"/>
      <c r="P108" s="23"/>
      <c r="Q108" s="23"/>
    </row>
    <row r="109" spans="1:17">
      <c r="A109" s="23"/>
      <c r="B109" s="53">
        <v>99</v>
      </c>
      <c r="C109" s="58">
        <v>27672.041015625</v>
      </c>
      <c r="D109" s="59">
        <v>10016.9599609375</v>
      </c>
      <c r="E109" s="59">
        <v>0</v>
      </c>
      <c r="F109" s="59">
        <v>-0.51077967882156372</v>
      </c>
      <c r="G109" s="42">
        <v>0</v>
      </c>
      <c r="H109" s="23"/>
      <c r="I109" s="23"/>
      <c r="J109" s="99"/>
      <c r="K109" s="99"/>
      <c r="L109" s="99"/>
      <c r="M109" s="99"/>
      <c r="N109" s="43">
        <f t="shared" si="1"/>
        <v>27672.041015625</v>
      </c>
      <c r="O109" s="43"/>
      <c r="P109" s="23"/>
      <c r="Q109" s="23"/>
    </row>
    <row r="110" spans="1:17">
      <c r="A110" s="23"/>
      <c r="B110" s="53">
        <v>100</v>
      </c>
      <c r="C110" s="58">
        <v>29581.52734375</v>
      </c>
      <c r="D110" s="59">
        <v>10016.9404296875</v>
      </c>
      <c r="E110" s="59">
        <v>0</v>
      </c>
      <c r="F110" s="59">
        <v>-0.54430067539215088</v>
      </c>
      <c r="G110" s="42">
        <v>0</v>
      </c>
      <c r="H110" s="23"/>
      <c r="I110" s="23"/>
      <c r="J110" s="99"/>
      <c r="K110" s="99"/>
      <c r="L110" s="99"/>
      <c r="M110" s="99"/>
      <c r="N110" s="43">
        <f t="shared" si="1"/>
        <v>29581.52734375</v>
      </c>
      <c r="O110" s="43"/>
      <c r="P110" s="23"/>
      <c r="Q110" s="23"/>
    </row>
    <row r="111" spans="1:17">
      <c r="A111" s="23"/>
      <c r="B111" s="53">
        <v>101</v>
      </c>
      <c r="C111" s="58">
        <v>31622.77734375</v>
      </c>
      <c r="D111" s="59">
        <v>10017.3203125</v>
      </c>
      <c r="E111" s="59">
        <v>0</v>
      </c>
      <c r="F111" s="59">
        <v>-0.58947670459747314</v>
      </c>
      <c r="G111" s="42">
        <v>0</v>
      </c>
      <c r="H111" s="23"/>
      <c r="I111" s="23"/>
      <c r="J111" s="99"/>
      <c r="K111" s="99"/>
      <c r="L111" s="99"/>
      <c r="M111" s="99"/>
      <c r="N111" s="43">
        <f t="shared" si="1"/>
        <v>31622.77734375</v>
      </c>
      <c r="O111" s="43"/>
      <c r="P111" s="23"/>
      <c r="Q111" s="23"/>
    </row>
    <row r="112" spans="1:17">
      <c r="A112" s="23"/>
      <c r="B112" s="53">
        <v>102</v>
      </c>
      <c r="C112" s="58">
        <v>33804.87890625</v>
      </c>
      <c r="D112" s="59">
        <v>10016.9404296875</v>
      </c>
      <c r="E112" s="59">
        <v>0</v>
      </c>
      <c r="F112" s="59">
        <v>-0.62641417980194092</v>
      </c>
      <c r="G112" s="42">
        <v>0</v>
      </c>
      <c r="H112" s="23"/>
      <c r="I112" s="23"/>
      <c r="J112" s="99"/>
      <c r="K112" s="99"/>
      <c r="L112" s="99"/>
      <c r="M112" s="99"/>
      <c r="N112" s="43">
        <f t="shared" si="1"/>
        <v>33804.87890625</v>
      </c>
      <c r="O112" s="43"/>
      <c r="P112" s="23"/>
      <c r="Q112" s="23"/>
    </row>
    <row r="113" spans="1:17">
      <c r="A113" s="23"/>
      <c r="B113" s="53">
        <v>103</v>
      </c>
      <c r="C113" s="58">
        <v>36137.55859375</v>
      </c>
      <c r="D113" s="59">
        <v>10016.9404296875</v>
      </c>
      <c r="E113" s="59">
        <v>0</v>
      </c>
      <c r="F113" s="59">
        <v>-0.66862142086029053</v>
      </c>
      <c r="G113" s="42">
        <v>0</v>
      </c>
      <c r="H113" s="23"/>
      <c r="I113" s="23"/>
      <c r="J113" s="99"/>
      <c r="K113" s="99"/>
      <c r="L113" s="99"/>
      <c r="M113" s="99"/>
      <c r="N113" s="43">
        <f t="shared" si="1"/>
        <v>36137.55859375</v>
      </c>
      <c r="O113" s="43"/>
      <c r="P113" s="23"/>
      <c r="Q113" s="23"/>
    </row>
    <row r="114" spans="1:17">
      <c r="A114" s="23"/>
      <c r="B114" s="53">
        <v>104</v>
      </c>
      <c r="C114" s="58">
        <v>38631.19921875</v>
      </c>
      <c r="D114" s="59">
        <v>10016.48046875</v>
      </c>
      <c r="E114" s="59">
        <v>0</v>
      </c>
      <c r="F114" s="59">
        <v>-0.7152823805809021</v>
      </c>
      <c r="G114" s="42">
        <v>0</v>
      </c>
      <c r="H114" s="23"/>
      <c r="I114" s="23"/>
      <c r="J114" s="99"/>
      <c r="K114" s="99"/>
      <c r="L114" s="99"/>
      <c r="M114" s="99"/>
      <c r="N114" s="43">
        <f t="shared" si="1"/>
        <v>38631.19921875</v>
      </c>
      <c r="O114" s="43"/>
      <c r="P114" s="23"/>
      <c r="Q114" s="23"/>
    </row>
    <row r="115" spans="1:17">
      <c r="A115" s="23"/>
      <c r="B115" s="53">
        <v>105</v>
      </c>
      <c r="C115" s="58">
        <v>41296.9140625</v>
      </c>
      <c r="D115" s="59">
        <v>10015.990234375</v>
      </c>
      <c r="E115" s="59">
        <v>0</v>
      </c>
      <c r="F115" s="59">
        <v>-0.76563191413879395</v>
      </c>
      <c r="G115" s="42">
        <v>0</v>
      </c>
      <c r="H115" s="23"/>
      <c r="I115" s="23"/>
      <c r="J115" s="99"/>
      <c r="K115" s="99"/>
      <c r="L115" s="99"/>
      <c r="M115" s="99"/>
      <c r="N115" s="43">
        <f t="shared" si="1"/>
        <v>41296.9140625</v>
      </c>
      <c r="O115" s="43"/>
      <c r="P115" s="23"/>
      <c r="Q115" s="23"/>
    </row>
    <row r="116" spans="1:17">
      <c r="A116" s="23"/>
      <c r="B116" s="53">
        <v>106</v>
      </c>
      <c r="C116" s="58">
        <v>44146.57421875</v>
      </c>
      <c r="D116" s="59">
        <v>10015.5</v>
      </c>
      <c r="E116" s="59">
        <v>0</v>
      </c>
      <c r="F116" s="59">
        <v>-0.81425237655639648</v>
      </c>
      <c r="G116" s="42">
        <v>0</v>
      </c>
      <c r="H116" s="23"/>
      <c r="I116" s="23"/>
      <c r="J116" s="99"/>
      <c r="K116" s="99"/>
      <c r="L116" s="99"/>
      <c r="M116" s="99"/>
      <c r="N116" s="43">
        <f t="shared" si="1"/>
        <v>44146.57421875</v>
      </c>
      <c r="O116" s="43"/>
      <c r="P116" s="23"/>
      <c r="Q116" s="23"/>
    </row>
    <row r="117" spans="1:17">
      <c r="A117" s="23"/>
      <c r="B117" s="53">
        <v>107</v>
      </c>
      <c r="C117" s="58">
        <v>47192.87109375</v>
      </c>
      <c r="D117" s="59">
        <v>10015.41015625</v>
      </c>
      <c r="E117" s="59">
        <v>0</v>
      </c>
      <c r="F117" s="59">
        <v>-0.87367928028106689</v>
      </c>
      <c r="G117" s="42">
        <v>0</v>
      </c>
      <c r="H117" s="23"/>
      <c r="I117" s="23"/>
      <c r="J117" s="99"/>
      <c r="K117" s="99"/>
      <c r="L117" s="99"/>
      <c r="M117" s="99"/>
      <c r="N117" s="43">
        <f t="shared" si="1"/>
        <v>47192.87109375</v>
      </c>
      <c r="O117" s="43"/>
      <c r="P117" s="23"/>
      <c r="Q117" s="23"/>
    </row>
    <row r="118" spans="1:17">
      <c r="A118" s="23"/>
      <c r="B118" s="53">
        <v>108</v>
      </c>
      <c r="C118" s="58">
        <v>50449.375</v>
      </c>
      <c r="D118" s="59">
        <v>10015.009765625</v>
      </c>
      <c r="E118" s="59">
        <v>0</v>
      </c>
      <c r="F118" s="59">
        <v>-0.92998027801513672</v>
      </c>
      <c r="G118" s="42">
        <v>0</v>
      </c>
      <c r="H118" s="23"/>
      <c r="I118" s="23"/>
      <c r="J118" s="99"/>
      <c r="K118" s="99"/>
      <c r="L118" s="99"/>
      <c r="M118" s="99"/>
      <c r="N118" s="43">
        <f t="shared" si="1"/>
        <v>50449.375</v>
      </c>
      <c r="O118" s="43"/>
      <c r="P118" s="23"/>
      <c r="Q118" s="23"/>
    </row>
    <row r="119" spans="1:17">
      <c r="A119" s="23"/>
      <c r="B119" s="53">
        <v>109</v>
      </c>
      <c r="C119" s="58">
        <v>53930.59375</v>
      </c>
      <c r="D119" s="59">
        <v>10015.419921875</v>
      </c>
      <c r="E119" s="59">
        <v>0</v>
      </c>
      <c r="F119" s="59">
        <v>-0.99478501081466675</v>
      </c>
      <c r="G119" s="42">
        <v>0</v>
      </c>
      <c r="H119" s="23"/>
      <c r="I119" s="23"/>
      <c r="J119" s="99"/>
      <c r="K119" s="99"/>
      <c r="L119" s="99"/>
      <c r="M119" s="99"/>
      <c r="N119" s="43">
        <f t="shared" si="1"/>
        <v>53930.59375</v>
      </c>
      <c r="O119" s="43"/>
      <c r="P119" s="23"/>
      <c r="Q119" s="23"/>
    </row>
    <row r="120" spans="1:17">
      <c r="A120" s="23"/>
      <c r="B120" s="53">
        <v>110</v>
      </c>
      <c r="C120" s="58">
        <v>57652.03125</v>
      </c>
      <c r="D120" s="59">
        <v>10015.7802734375</v>
      </c>
      <c r="E120" s="59">
        <v>0</v>
      </c>
      <c r="F120" s="59">
        <v>-1.0617450475692749</v>
      </c>
      <c r="G120" s="42">
        <v>0</v>
      </c>
      <c r="H120" s="23"/>
      <c r="I120" s="23"/>
      <c r="J120" s="99"/>
      <c r="K120" s="99"/>
      <c r="L120" s="99"/>
      <c r="M120" s="99"/>
      <c r="N120" s="43">
        <f t="shared" si="1"/>
        <v>57652.03125</v>
      </c>
      <c r="O120" s="43"/>
      <c r="P120" s="23"/>
      <c r="Q120" s="23"/>
    </row>
    <row r="121" spans="1:17">
      <c r="A121" s="23"/>
      <c r="B121" s="53">
        <v>111</v>
      </c>
      <c r="C121" s="58">
        <v>61630.26171875</v>
      </c>
      <c r="D121" s="59">
        <v>10014.48046875</v>
      </c>
      <c r="E121" s="59">
        <v>0</v>
      </c>
      <c r="F121" s="59">
        <v>-1.1329959630966187</v>
      </c>
      <c r="G121" s="42">
        <v>0</v>
      </c>
      <c r="H121" s="23"/>
      <c r="I121" s="23"/>
      <c r="J121" s="99"/>
      <c r="K121" s="99"/>
      <c r="L121" s="99"/>
      <c r="M121" s="99"/>
      <c r="N121" s="43">
        <f t="shared" si="1"/>
        <v>61630.26171875</v>
      </c>
      <c r="O121" s="43"/>
      <c r="P121" s="23"/>
      <c r="Q121" s="23"/>
    </row>
    <row r="122" spans="1:17">
      <c r="A122" s="23"/>
      <c r="B122" s="53">
        <v>112</v>
      </c>
      <c r="C122" s="58">
        <v>65883.0078125</v>
      </c>
      <c r="D122" s="59">
        <v>10014.6396484375</v>
      </c>
      <c r="E122" s="59">
        <v>0</v>
      </c>
      <c r="F122" s="59">
        <v>-1.216230034828186</v>
      </c>
      <c r="G122" s="42">
        <v>0</v>
      </c>
      <c r="H122" s="23"/>
      <c r="I122" s="23"/>
      <c r="J122" s="99"/>
      <c r="K122" s="99"/>
      <c r="L122" s="99"/>
      <c r="M122" s="99"/>
      <c r="N122" s="43">
        <f t="shared" si="1"/>
        <v>65883.0078125</v>
      </c>
      <c r="O122" s="43"/>
      <c r="P122" s="23"/>
      <c r="Q122" s="23"/>
    </row>
    <row r="123" spans="1:17">
      <c r="A123" s="23"/>
      <c r="B123" s="53">
        <v>113</v>
      </c>
      <c r="C123" s="58">
        <v>70429.203125</v>
      </c>
      <c r="D123" s="59">
        <v>10014.3203125</v>
      </c>
      <c r="E123" s="59">
        <v>0</v>
      </c>
      <c r="F123" s="59">
        <v>-1.3003640174865723</v>
      </c>
      <c r="G123" s="42">
        <v>0</v>
      </c>
      <c r="H123" s="23"/>
      <c r="I123" s="23"/>
      <c r="J123" s="99"/>
      <c r="K123" s="99"/>
      <c r="L123" s="99"/>
      <c r="M123" s="99"/>
      <c r="N123" s="43">
        <f t="shared" si="1"/>
        <v>70429.203125</v>
      </c>
      <c r="O123" s="43"/>
      <c r="P123" s="23"/>
      <c r="Q123" s="23"/>
    </row>
    <row r="124" spans="1:17">
      <c r="A124" s="23"/>
      <c r="B124" s="53">
        <v>114</v>
      </c>
      <c r="C124" s="58">
        <v>75289.1171875</v>
      </c>
      <c r="D124" s="59">
        <v>10013.740234375</v>
      </c>
      <c r="E124" s="59">
        <v>0</v>
      </c>
      <c r="F124" s="59">
        <v>-1.3911470174789429</v>
      </c>
      <c r="G124" s="42">
        <v>0</v>
      </c>
      <c r="H124" s="23"/>
      <c r="I124" s="23"/>
      <c r="J124" s="99"/>
      <c r="K124" s="99"/>
      <c r="L124" s="99"/>
      <c r="M124" s="99"/>
      <c r="N124" s="43">
        <f t="shared" si="1"/>
        <v>75289.1171875</v>
      </c>
      <c r="O124" s="43"/>
      <c r="P124" s="23"/>
      <c r="Q124" s="23"/>
    </row>
    <row r="125" spans="1:17">
      <c r="A125" s="23"/>
      <c r="B125" s="53">
        <v>115</v>
      </c>
      <c r="C125" s="58">
        <v>80484.3828125</v>
      </c>
      <c r="D125" s="59">
        <v>10013.3603515625</v>
      </c>
      <c r="E125" s="59">
        <v>0</v>
      </c>
      <c r="F125" s="59">
        <v>-1.4832700490951538</v>
      </c>
      <c r="G125" s="42">
        <v>0</v>
      </c>
      <c r="H125" s="23"/>
      <c r="I125" s="23"/>
      <c r="J125" s="99"/>
      <c r="K125" s="99"/>
      <c r="L125" s="99"/>
      <c r="M125" s="99"/>
      <c r="N125" s="43">
        <f t="shared" si="1"/>
        <v>80484.3828125</v>
      </c>
      <c r="O125" s="43"/>
      <c r="P125" s="23"/>
      <c r="Q125" s="23"/>
    </row>
    <row r="126" spans="1:17">
      <c r="A126" s="23"/>
      <c r="B126" s="53">
        <v>116</v>
      </c>
      <c r="C126" s="58">
        <v>86038.140625</v>
      </c>
      <c r="D126" s="59">
        <v>10012.9296875</v>
      </c>
      <c r="E126" s="59">
        <v>0</v>
      </c>
      <c r="F126" s="59">
        <v>-1.5898669958114624</v>
      </c>
      <c r="G126" s="42">
        <v>0</v>
      </c>
      <c r="H126" s="23"/>
      <c r="I126" s="23"/>
      <c r="J126" s="99"/>
      <c r="K126" s="99"/>
      <c r="L126" s="99"/>
      <c r="M126" s="99"/>
      <c r="N126" s="43">
        <f t="shared" si="1"/>
        <v>86038.140625</v>
      </c>
      <c r="O126" s="43"/>
      <c r="P126" s="23"/>
      <c r="Q126" s="23"/>
    </row>
    <row r="127" spans="1:17">
      <c r="A127" s="23"/>
      <c r="B127" s="53">
        <v>117</v>
      </c>
      <c r="C127" s="58">
        <v>91975.125</v>
      </c>
      <c r="D127" s="59">
        <v>10011.51953125</v>
      </c>
      <c r="E127" s="59">
        <v>0</v>
      </c>
      <c r="F127" s="59">
        <v>-1.6980240345001221</v>
      </c>
      <c r="G127" s="42">
        <v>0</v>
      </c>
      <c r="H127" s="23"/>
      <c r="I127" s="23"/>
      <c r="J127" s="99"/>
      <c r="K127" s="99"/>
      <c r="L127" s="99"/>
      <c r="M127" s="99"/>
      <c r="N127" s="43">
        <f t="shared" si="1"/>
        <v>91975.125</v>
      </c>
      <c r="O127" s="43"/>
      <c r="P127" s="23"/>
      <c r="Q127" s="23"/>
    </row>
    <row r="128" spans="1:17">
      <c r="A128" s="23"/>
      <c r="B128" s="53">
        <v>118</v>
      </c>
      <c r="C128" s="58">
        <v>98321.796875</v>
      </c>
      <c r="D128" s="59">
        <v>10010.51953125</v>
      </c>
      <c r="E128" s="59">
        <v>0</v>
      </c>
      <c r="F128" s="59">
        <v>-1.8088170289993286</v>
      </c>
      <c r="G128" s="42">
        <v>0</v>
      </c>
      <c r="H128" s="23"/>
      <c r="I128" s="23"/>
      <c r="J128" s="99"/>
      <c r="K128" s="99"/>
      <c r="L128" s="99"/>
      <c r="M128" s="99"/>
      <c r="N128" s="43">
        <f t="shared" si="1"/>
        <v>98321.796875</v>
      </c>
      <c r="O128" s="43"/>
      <c r="P128" s="23"/>
      <c r="Q128" s="23"/>
    </row>
    <row r="129" spans="1:17">
      <c r="A129" s="23"/>
      <c r="B129" s="53">
        <v>119</v>
      </c>
      <c r="C129" s="58">
        <v>105106.40625</v>
      </c>
      <c r="D129" s="59">
        <v>10009.8701171875</v>
      </c>
      <c r="E129" s="59">
        <v>0</v>
      </c>
      <c r="F129" s="59">
        <v>-1.9301309585571289</v>
      </c>
      <c r="G129" s="42">
        <v>0</v>
      </c>
      <c r="H129" s="23"/>
      <c r="I129" s="23"/>
      <c r="J129" s="99"/>
      <c r="K129" s="99"/>
      <c r="L129" s="99"/>
      <c r="M129" s="99"/>
      <c r="N129" s="43">
        <f t="shared" si="1"/>
        <v>105106.40625</v>
      </c>
      <c r="O129" s="43"/>
      <c r="P129" s="23"/>
      <c r="Q129" s="23"/>
    </row>
    <row r="130" spans="1:17">
      <c r="A130" s="23"/>
      <c r="B130" s="53">
        <v>120</v>
      </c>
      <c r="C130" s="58">
        <v>112359.1875</v>
      </c>
      <c r="D130" s="59">
        <v>10008.3203125</v>
      </c>
      <c r="E130" s="59">
        <v>0</v>
      </c>
      <c r="F130" s="59">
        <v>-2.0667080879211426</v>
      </c>
      <c r="G130" s="42">
        <v>0</v>
      </c>
      <c r="H130" s="23"/>
      <c r="I130" s="23"/>
      <c r="J130" s="99"/>
      <c r="K130" s="99"/>
      <c r="L130" s="99"/>
      <c r="M130" s="99"/>
      <c r="N130" s="43">
        <f t="shared" si="1"/>
        <v>112359.1875</v>
      </c>
      <c r="O130" s="43"/>
      <c r="P130" s="23"/>
      <c r="Q130" s="23"/>
    </row>
    <row r="131" spans="1:17">
      <c r="A131" s="23"/>
      <c r="B131" s="53">
        <v>121</v>
      </c>
      <c r="C131" s="58">
        <v>120112.4453125</v>
      </c>
      <c r="D131" s="59">
        <v>10007.099609375</v>
      </c>
      <c r="E131" s="59">
        <v>0</v>
      </c>
      <c r="F131" s="59">
        <v>-2.2100999355316162</v>
      </c>
      <c r="G131" s="42">
        <v>0</v>
      </c>
      <c r="H131" s="23"/>
      <c r="I131" s="23"/>
      <c r="J131" s="99"/>
      <c r="K131" s="99"/>
      <c r="L131" s="99"/>
      <c r="M131" s="99"/>
      <c r="N131" s="43">
        <f t="shared" si="1"/>
        <v>120112.4453125</v>
      </c>
      <c r="O131" s="43"/>
      <c r="P131" s="23"/>
      <c r="Q131" s="23"/>
    </row>
    <row r="132" spans="1:17">
      <c r="A132" s="23"/>
      <c r="B132" s="53">
        <v>122</v>
      </c>
      <c r="C132" s="58">
        <v>128400.703125</v>
      </c>
      <c r="D132" s="59">
        <v>10005.9697265625</v>
      </c>
      <c r="E132" s="59">
        <v>0</v>
      </c>
      <c r="F132" s="59">
        <v>-2.3609340190887451</v>
      </c>
      <c r="G132" s="42">
        <v>0</v>
      </c>
      <c r="H132" s="23"/>
      <c r="I132" s="23"/>
      <c r="J132" s="99"/>
      <c r="K132" s="99"/>
      <c r="L132" s="99"/>
      <c r="M132" s="99"/>
      <c r="N132" s="43">
        <f t="shared" si="1"/>
        <v>128400.703125</v>
      </c>
      <c r="O132" s="43"/>
      <c r="P132" s="23"/>
      <c r="Q132" s="23"/>
    </row>
    <row r="133" spans="1:17">
      <c r="A133" s="23"/>
      <c r="B133" s="53">
        <v>123</v>
      </c>
      <c r="C133" s="58">
        <v>137260.890625</v>
      </c>
      <c r="D133" s="59">
        <v>10004.490234375</v>
      </c>
      <c r="E133" s="59">
        <v>0</v>
      </c>
      <c r="F133" s="59">
        <v>-2.5176210403442383</v>
      </c>
      <c r="G133" s="42">
        <v>0</v>
      </c>
      <c r="H133" s="23"/>
      <c r="I133" s="23"/>
      <c r="J133" s="99"/>
      <c r="K133" s="99"/>
      <c r="L133" s="99"/>
      <c r="M133" s="99"/>
      <c r="N133" s="43">
        <f t="shared" si="1"/>
        <v>137260.890625</v>
      </c>
      <c r="O133" s="43"/>
      <c r="P133" s="23"/>
      <c r="Q133" s="23"/>
    </row>
    <row r="134" spans="1:17">
      <c r="A134" s="23"/>
      <c r="B134" s="53">
        <v>124</v>
      </c>
      <c r="C134" s="58">
        <v>146732.46875</v>
      </c>
      <c r="D134" s="59">
        <v>10002.2001953125</v>
      </c>
      <c r="E134" s="59">
        <v>0</v>
      </c>
      <c r="F134" s="59">
        <v>-2.6843340396881104</v>
      </c>
      <c r="G134" s="42">
        <v>0</v>
      </c>
      <c r="H134" s="23"/>
      <c r="I134" s="23"/>
      <c r="J134" s="99"/>
      <c r="K134" s="99"/>
      <c r="L134" s="99"/>
      <c r="M134" s="99"/>
      <c r="N134" s="43">
        <f t="shared" si="1"/>
        <v>146732.46875</v>
      </c>
      <c r="O134" s="43"/>
      <c r="P134" s="23"/>
      <c r="Q134" s="23"/>
    </row>
    <row r="135" spans="1:17">
      <c r="A135" s="23"/>
      <c r="B135" s="53">
        <v>125</v>
      </c>
      <c r="C135" s="58">
        <v>156857.609375</v>
      </c>
      <c r="D135" s="59">
        <v>10000.4501953125</v>
      </c>
      <c r="E135" s="59">
        <v>0</v>
      </c>
      <c r="F135" s="59">
        <v>-2.8777520656585693</v>
      </c>
      <c r="G135" s="42">
        <v>0</v>
      </c>
      <c r="H135" s="23"/>
      <c r="I135" s="23"/>
      <c r="J135" s="99"/>
      <c r="K135" s="99"/>
      <c r="L135" s="99"/>
      <c r="M135" s="99"/>
      <c r="N135" s="43">
        <f t="shared" si="1"/>
        <v>156857.609375</v>
      </c>
      <c r="O135" s="43"/>
      <c r="P135" s="23"/>
      <c r="Q135" s="23"/>
    </row>
    <row r="136" spans="1:17">
      <c r="A136" s="23"/>
      <c r="B136" s="53">
        <v>126</v>
      </c>
      <c r="C136" s="58">
        <v>167681.4375</v>
      </c>
      <c r="D136" s="59">
        <v>9998.8671875</v>
      </c>
      <c r="E136" s="59">
        <v>0</v>
      </c>
      <c r="F136" s="59">
        <v>-3.0731298923492432</v>
      </c>
      <c r="G136" s="42">
        <v>0</v>
      </c>
      <c r="H136" s="23"/>
      <c r="I136" s="23"/>
      <c r="J136" s="99"/>
      <c r="K136" s="99"/>
      <c r="L136" s="99"/>
      <c r="M136" s="99"/>
      <c r="N136" s="43">
        <f t="shared" si="1"/>
        <v>167681.4375</v>
      </c>
      <c r="O136" s="43"/>
      <c r="P136" s="23"/>
      <c r="Q136" s="23"/>
    </row>
    <row r="137" spans="1:17">
      <c r="A137" s="23"/>
      <c r="B137" s="53">
        <v>127</v>
      </c>
      <c r="C137" s="58">
        <v>179252.15625</v>
      </c>
      <c r="D137" s="59">
        <v>9996.916015625</v>
      </c>
      <c r="E137" s="59">
        <v>0</v>
      </c>
      <c r="F137" s="59">
        <v>-3.2814021110534668</v>
      </c>
      <c r="G137" s="42">
        <v>0</v>
      </c>
      <c r="H137" s="23"/>
      <c r="I137" s="23"/>
      <c r="J137" s="99"/>
      <c r="K137" s="99"/>
      <c r="L137" s="99"/>
      <c r="M137" s="99"/>
      <c r="N137" s="43">
        <f t="shared" si="1"/>
        <v>179252.15625</v>
      </c>
      <c r="O137" s="43"/>
      <c r="P137" s="23"/>
      <c r="Q137" s="23"/>
    </row>
    <row r="138" spans="1:17">
      <c r="A138" s="23"/>
      <c r="B138" s="53">
        <v>128</v>
      </c>
      <c r="C138" s="58">
        <v>191621.3125</v>
      </c>
      <c r="D138" s="59">
        <v>9994.162109375</v>
      </c>
      <c r="E138" s="59">
        <v>0</v>
      </c>
      <c r="F138" s="59">
        <v>-3.5071220397949219</v>
      </c>
      <c r="G138" s="42">
        <v>0</v>
      </c>
      <c r="H138" s="23"/>
      <c r="I138" s="23"/>
      <c r="J138" s="99"/>
      <c r="K138" s="99"/>
      <c r="L138" s="99"/>
      <c r="M138" s="99"/>
      <c r="N138" s="43">
        <f t="shared" si="1"/>
        <v>191621.3125</v>
      </c>
      <c r="O138" s="43"/>
      <c r="P138" s="23"/>
      <c r="Q138" s="23"/>
    </row>
    <row r="139" spans="1:17">
      <c r="A139" s="23"/>
      <c r="B139" s="53">
        <v>129</v>
      </c>
      <c r="C139" s="58">
        <v>204843.984375</v>
      </c>
      <c r="D139" s="59">
        <v>9991.7783203125</v>
      </c>
      <c r="E139" s="59">
        <v>0</v>
      </c>
      <c r="F139" s="59">
        <v>-3.7461340427398682</v>
      </c>
      <c r="G139" s="42">
        <v>0</v>
      </c>
      <c r="H139" s="23"/>
      <c r="I139" s="23"/>
      <c r="J139" s="99"/>
      <c r="K139" s="99"/>
      <c r="L139" s="99"/>
      <c r="M139" s="99"/>
      <c r="N139" s="43">
        <f t="shared" ref="N139:N202" si="2">IF($L$4=$C$10,C139,IF(D139="","",B139))</f>
        <v>204843.984375</v>
      </c>
      <c r="O139" s="43"/>
      <c r="P139" s="23"/>
      <c r="Q139" s="23"/>
    </row>
    <row r="140" spans="1:17">
      <c r="A140" s="23"/>
      <c r="B140" s="53">
        <v>130</v>
      </c>
      <c r="C140" s="58">
        <v>218979.0625</v>
      </c>
      <c r="D140" s="59">
        <v>9987.64453125</v>
      </c>
      <c r="E140" s="59">
        <v>0</v>
      </c>
      <c r="F140" s="59">
        <v>-4.0016860961914063</v>
      </c>
      <c r="G140" s="42">
        <v>0</v>
      </c>
      <c r="H140" s="23"/>
      <c r="I140" s="23"/>
      <c r="J140" s="99"/>
      <c r="K140" s="99"/>
      <c r="L140" s="99"/>
      <c r="M140" s="99"/>
      <c r="N140" s="43">
        <f t="shared" si="2"/>
        <v>218979.0625</v>
      </c>
      <c r="O140" s="43"/>
      <c r="P140" s="23"/>
      <c r="Q140" s="23"/>
    </row>
    <row r="141" spans="1:17">
      <c r="A141" s="23"/>
      <c r="B141" s="53">
        <v>131</v>
      </c>
      <c r="C141" s="58">
        <v>234089.53125</v>
      </c>
      <c r="D141" s="59">
        <v>9984.2373046875</v>
      </c>
      <c r="E141" s="59">
        <v>0</v>
      </c>
      <c r="F141" s="59">
        <v>-4.2727279663085938</v>
      </c>
      <c r="G141" s="42">
        <v>0</v>
      </c>
      <c r="H141" s="23"/>
      <c r="I141" s="23"/>
      <c r="J141" s="99"/>
      <c r="K141" s="99"/>
      <c r="L141" s="99"/>
      <c r="M141" s="99"/>
      <c r="N141" s="43">
        <f t="shared" si="2"/>
        <v>234089.53125</v>
      </c>
      <c r="O141" s="43"/>
      <c r="P141" s="23"/>
      <c r="Q141" s="23"/>
    </row>
    <row r="142" spans="1:17">
      <c r="A142" s="23"/>
      <c r="B142" s="53">
        <v>132</v>
      </c>
      <c r="C142" s="58">
        <v>250242.6875</v>
      </c>
      <c r="D142" s="59">
        <v>9980.09375</v>
      </c>
      <c r="E142" s="59">
        <v>0</v>
      </c>
      <c r="F142" s="59">
        <v>-4.5652880668640137</v>
      </c>
      <c r="G142" s="42">
        <v>0</v>
      </c>
      <c r="H142" s="23"/>
      <c r="I142" s="23"/>
      <c r="J142" s="99"/>
      <c r="K142" s="99"/>
      <c r="L142" s="99"/>
      <c r="M142" s="99"/>
      <c r="N142" s="43">
        <f t="shared" si="2"/>
        <v>250242.6875</v>
      </c>
      <c r="O142" s="43"/>
      <c r="P142" s="23"/>
      <c r="Q142" s="23"/>
    </row>
    <row r="143" spans="1:17">
      <c r="A143" s="23"/>
      <c r="B143" s="53">
        <v>133</v>
      </c>
      <c r="C143" s="58">
        <v>267510.46875</v>
      </c>
      <c r="D143" s="59">
        <v>9975.53515625</v>
      </c>
      <c r="E143" s="59">
        <v>0</v>
      </c>
      <c r="F143" s="59">
        <v>-4.8705949783325195</v>
      </c>
      <c r="G143" s="42">
        <v>0</v>
      </c>
      <c r="H143" s="23"/>
      <c r="I143" s="23"/>
      <c r="J143" s="99"/>
      <c r="K143" s="99"/>
      <c r="L143" s="99"/>
      <c r="M143" s="99"/>
      <c r="N143" s="43">
        <f t="shared" si="2"/>
        <v>267510.46875</v>
      </c>
      <c r="O143" s="43"/>
      <c r="P143" s="23"/>
      <c r="Q143" s="23"/>
    </row>
    <row r="144" spans="1:17">
      <c r="A144" s="23"/>
      <c r="B144" s="53">
        <v>134</v>
      </c>
      <c r="C144" s="58">
        <v>285969.8125</v>
      </c>
      <c r="D144" s="59">
        <v>9968.6923828125</v>
      </c>
      <c r="E144" s="59">
        <v>0</v>
      </c>
      <c r="F144" s="59">
        <v>-5.1998410224914551</v>
      </c>
      <c r="G144" s="42">
        <v>0</v>
      </c>
      <c r="H144" s="23"/>
      <c r="I144" s="23"/>
      <c r="J144" s="99"/>
      <c r="K144" s="99"/>
      <c r="L144" s="99"/>
      <c r="M144" s="99"/>
      <c r="N144" s="43">
        <f t="shared" si="2"/>
        <v>285969.8125</v>
      </c>
      <c r="O144" s="43"/>
      <c r="P144" s="23"/>
      <c r="Q144" s="23"/>
    </row>
    <row r="145" spans="1:17">
      <c r="A145" s="23"/>
      <c r="B145" s="53">
        <v>135</v>
      </c>
      <c r="C145" s="58">
        <v>305702.9375</v>
      </c>
      <c r="D145" s="59">
        <v>9962.9189453125</v>
      </c>
      <c r="E145" s="59">
        <v>0</v>
      </c>
      <c r="F145" s="59">
        <v>-5.5552349090576172</v>
      </c>
      <c r="G145" s="42">
        <v>0</v>
      </c>
      <c r="H145" s="23"/>
      <c r="I145" s="23"/>
      <c r="J145" s="99"/>
      <c r="K145" s="99"/>
      <c r="L145" s="99"/>
      <c r="M145" s="99"/>
      <c r="N145" s="43">
        <f t="shared" si="2"/>
        <v>305702.9375</v>
      </c>
      <c r="O145" s="43"/>
      <c r="P145" s="23"/>
      <c r="Q145" s="23"/>
    </row>
    <row r="146" spans="1:17">
      <c r="A146" s="23"/>
      <c r="B146" s="53">
        <v>136</v>
      </c>
      <c r="C146" s="58">
        <v>326797.71875</v>
      </c>
      <c r="D146" s="59">
        <v>9956.9912109375</v>
      </c>
      <c r="E146" s="59">
        <v>0</v>
      </c>
      <c r="F146" s="59">
        <v>-5.9273371696472168</v>
      </c>
      <c r="G146" s="42">
        <v>0</v>
      </c>
      <c r="H146" s="23"/>
      <c r="I146" s="23"/>
      <c r="J146" s="99"/>
      <c r="K146" s="99"/>
      <c r="L146" s="99"/>
      <c r="M146" s="99"/>
      <c r="N146" s="43">
        <f t="shared" si="2"/>
        <v>326797.71875</v>
      </c>
      <c r="O146" s="43"/>
      <c r="P146" s="23"/>
      <c r="Q146" s="23"/>
    </row>
    <row r="147" spans="1:17">
      <c r="A147" s="23"/>
      <c r="B147" s="53">
        <v>137</v>
      </c>
      <c r="C147" s="58">
        <v>349348.125</v>
      </c>
      <c r="D147" s="59">
        <v>9949.4150390625</v>
      </c>
      <c r="E147" s="59">
        <v>0</v>
      </c>
      <c r="F147" s="59">
        <v>-6.3292598724365234</v>
      </c>
      <c r="G147" s="42">
        <v>0</v>
      </c>
      <c r="H147" s="23"/>
      <c r="I147" s="23"/>
      <c r="J147" s="99"/>
      <c r="K147" s="99"/>
      <c r="L147" s="99"/>
      <c r="M147" s="99"/>
      <c r="N147" s="43">
        <f t="shared" si="2"/>
        <v>349348.125</v>
      </c>
      <c r="O147" s="43"/>
      <c r="P147" s="23"/>
      <c r="Q147" s="23"/>
    </row>
    <row r="148" spans="1:17">
      <c r="A148" s="23"/>
      <c r="B148" s="53">
        <v>138</v>
      </c>
      <c r="C148" s="58">
        <v>373454.59375</v>
      </c>
      <c r="D148" s="59">
        <v>9940.158203125</v>
      </c>
      <c r="E148" s="59">
        <v>0</v>
      </c>
      <c r="F148" s="59">
        <v>-6.7636590003967285</v>
      </c>
      <c r="G148" s="42">
        <v>0</v>
      </c>
      <c r="H148" s="23"/>
      <c r="I148" s="23"/>
      <c r="J148" s="99"/>
      <c r="K148" s="99"/>
      <c r="L148" s="99"/>
      <c r="M148" s="99"/>
      <c r="N148" s="43">
        <f t="shared" si="2"/>
        <v>373454.59375</v>
      </c>
      <c r="O148" s="43"/>
      <c r="P148" s="23"/>
      <c r="Q148" s="23"/>
    </row>
    <row r="149" spans="1:17">
      <c r="A149" s="23"/>
      <c r="B149" s="53">
        <v>139</v>
      </c>
      <c r="C149" s="58">
        <v>399224.53125</v>
      </c>
      <c r="D149" s="59">
        <v>9930.078125</v>
      </c>
      <c r="E149" s="59">
        <v>0</v>
      </c>
      <c r="F149" s="59">
        <v>-7.2269749641418457</v>
      </c>
      <c r="G149" s="42">
        <v>0</v>
      </c>
      <c r="H149" s="23"/>
      <c r="I149" s="23"/>
      <c r="J149" s="99"/>
      <c r="K149" s="99"/>
      <c r="L149" s="99"/>
      <c r="M149" s="99"/>
      <c r="N149" s="43">
        <f t="shared" si="2"/>
        <v>399224.53125</v>
      </c>
      <c r="O149" s="43"/>
      <c r="P149" s="23"/>
      <c r="Q149" s="23"/>
    </row>
    <row r="150" spans="1:17">
      <c r="A150" s="23"/>
      <c r="B150" s="53">
        <v>140</v>
      </c>
      <c r="C150" s="58">
        <v>426772.6875</v>
      </c>
      <c r="D150" s="59">
        <v>9919.2900390625</v>
      </c>
      <c r="E150" s="59">
        <v>0</v>
      </c>
      <c r="F150" s="59">
        <v>-7.7186570167541504</v>
      </c>
      <c r="G150" s="42">
        <v>0</v>
      </c>
      <c r="H150" s="23"/>
      <c r="I150" s="23"/>
      <c r="J150" s="99"/>
      <c r="K150" s="99"/>
      <c r="L150" s="99"/>
      <c r="M150" s="99"/>
      <c r="N150" s="43">
        <f t="shared" si="2"/>
        <v>426772.6875</v>
      </c>
      <c r="O150" s="43"/>
      <c r="P150" s="23"/>
      <c r="Q150" s="23"/>
    </row>
    <row r="151" spans="1:17">
      <c r="A151" s="23"/>
      <c r="B151" s="53">
        <v>141</v>
      </c>
      <c r="C151" s="58">
        <v>456221.78125</v>
      </c>
      <c r="D151" s="59">
        <v>9906.318359375</v>
      </c>
      <c r="E151" s="59">
        <v>0</v>
      </c>
      <c r="F151" s="59">
        <v>-8.23492431640625</v>
      </c>
      <c r="G151" s="42">
        <v>0</v>
      </c>
      <c r="H151" s="23"/>
      <c r="I151" s="23"/>
      <c r="J151" s="99"/>
      <c r="K151" s="99"/>
      <c r="L151" s="99"/>
      <c r="M151" s="99"/>
      <c r="N151" s="43">
        <f t="shared" si="2"/>
        <v>456221.78125</v>
      </c>
      <c r="O151" s="43"/>
      <c r="P151" s="23"/>
      <c r="Q151" s="23"/>
    </row>
    <row r="152" spans="1:17">
      <c r="A152" s="23"/>
      <c r="B152" s="53">
        <v>142</v>
      </c>
      <c r="C152" s="58">
        <v>487702.96875</v>
      </c>
      <c r="D152" s="59">
        <v>9892.3154296875</v>
      </c>
      <c r="E152" s="59">
        <v>0</v>
      </c>
      <c r="F152" s="59">
        <v>-8.7855615615844727</v>
      </c>
      <c r="G152" s="42">
        <v>0</v>
      </c>
      <c r="H152" s="23"/>
      <c r="I152" s="23"/>
      <c r="J152" s="99"/>
      <c r="K152" s="99"/>
      <c r="L152" s="99"/>
      <c r="M152" s="99"/>
      <c r="N152" s="43">
        <f t="shared" si="2"/>
        <v>487702.96875</v>
      </c>
      <c r="O152" s="43"/>
      <c r="P152" s="23"/>
      <c r="Q152" s="23"/>
    </row>
    <row r="153" spans="1:17">
      <c r="A153" s="23"/>
      <c r="B153" s="53">
        <v>143</v>
      </c>
      <c r="C153" s="58">
        <v>521356.5</v>
      </c>
      <c r="D153" s="59">
        <v>9876.4560546875</v>
      </c>
      <c r="E153" s="59">
        <v>0</v>
      </c>
      <c r="F153" s="59">
        <v>-9.3761920928955078</v>
      </c>
      <c r="G153" s="42">
        <v>0</v>
      </c>
      <c r="H153" s="23"/>
      <c r="I153" s="23"/>
      <c r="J153" s="99"/>
      <c r="K153" s="99"/>
      <c r="L153" s="99"/>
      <c r="M153" s="99"/>
      <c r="N153" s="43">
        <f t="shared" si="2"/>
        <v>521356.5</v>
      </c>
      <c r="O153" s="43"/>
      <c r="P153" s="23"/>
      <c r="Q153" s="23"/>
    </row>
    <row r="154" spans="1:17">
      <c r="A154" s="23"/>
      <c r="B154" s="53">
        <v>144</v>
      </c>
      <c r="C154" s="58">
        <v>557332.3125</v>
      </c>
      <c r="D154" s="59">
        <v>9858.3232421875</v>
      </c>
      <c r="E154" s="59">
        <v>0</v>
      </c>
      <c r="F154" s="59">
        <v>-10.004249572753906</v>
      </c>
      <c r="G154" s="42">
        <v>0</v>
      </c>
      <c r="H154" s="23"/>
      <c r="I154" s="23"/>
      <c r="J154" s="99"/>
      <c r="K154" s="99"/>
      <c r="L154" s="99"/>
      <c r="M154" s="99"/>
      <c r="N154" s="43">
        <f t="shared" si="2"/>
        <v>557332.3125</v>
      </c>
      <c r="O154" s="43"/>
      <c r="P154" s="23"/>
      <c r="Q154" s="23"/>
    </row>
    <row r="155" spans="1:17">
      <c r="A155" s="23"/>
      <c r="B155" s="53">
        <v>145</v>
      </c>
      <c r="C155" s="58">
        <v>595790.5625</v>
      </c>
      <c r="D155" s="59">
        <v>9838.6787109375</v>
      </c>
      <c r="E155" s="59">
        <v>0</v>
      </c>
      <c r="F155" s="59">
        <v>-10.666930198669434</v>
      </c>
      <c r="G155" s="42">
        <v>0</v>
      </c>
      <c r="H155" s="23"/>
      <c r="I155" s="23"/>
      <c r="J155" s="99"/>
      <c r="K155" s="99"/>
      <c r="L155" s="99"/>
      <c r="M155" s="99"/>
      <c r="N155" s="43">
        <f t="shared" si="2"/>
        <v>595790.5625</v>
      </c>
      <c r="O155" s="43"/>
      <c r="P155" s="23"/>
      <c r="Q155" s="23"/>
    </row>
    <row r="156" spans="1:17">
      <c r="A156" s="23"/>
      <c r="B156" s="53">
        <v>146</v>
      </c>
      <c r="C156" s="58">
        <v>636902.5625</v>
      </c>
      <c r="D156" s="59">
        <v>9815.658203125</v>
      </c>
      <c r="E156" s="59">
        <v>0</v>
      </c>
      <c r="F156" s="59">
        <v>-11.382369995117188</v>
      </c>
      <c r="G156" s="42">
        <v>0</v>
      </c>
      <c r="H156" s="23"/>
      <c r="I156" s="23"/>
      <c r="J156" s="99"/>
      <c r="K156" s="99"/>
      <c r="L156" s="99"/>
      <c r="M156" s="99"/>
      <c r="N156" s="43">
        <f t="shared" si="2"/>
        <v>636902.5625</v>
      </c>
      <c r="O156" s="43"/>
      <c r="P156" s="23"/>
      <c r="Q156" s="23"/>
    </row>
    <row r="157" spans="1:17">
      <c r="A157" s="23"/>
      <c r="B157" s="53">
        <v>147</v>
      </c>
      <c r="C157" s="58">
        <v>680851.5</v>
      </c>
      <c r="D157" s="59">
        <v>9789.7216796875</v>
      </c>
      <c r="E157" s="59">
        <v>0</v>
      </c>
      <c r="F157" s="59">
        <v>-12.13683032989502</v>
      </c>
      <c r="G157" s="42">
        <v>0</v>
      </c>
      <c r="H157" s="23"/>
      <c r="I157" s="23"/>
      <c r="J157" s="99"/>
      <c r="K157" s="99"/>
      <c r="L157" s="99"/>
      <c r="M157" s="99"/>
      <c r="N157" s="43">
        <f t="shared" si="2"/>
        <v>680851.5</v>
      </c>
      <c r="O157" s="43"/>
      <c r="P157" s="23"/>
      <c r="Q157" s="23"/>
    </row>
    <row r="158" spans="1:17">
      <c r="A158" s="23"/>
      <c r="B158" s="53">
        <v>148</v>
      </c>
      <c r="C158" s="58">
        <v>727833.125</v>
      </c>
      <c r="D158" s="59">
        <v>9760.0546875</v>
      </c>
      <c r="E158" s="59">
        <v>0</v>
      </c>
      <c r="F158" s="59">
        <v>-12.93435001373291</v>
      </c>
      <c r="G158" s="42">
        <v>0</v>
      </c>
      <c r="H158" s="23"/>
      <c r="I158" s="23"/>
      <c r="J158" s="99"/>
      <c r="K158" s="99"/>
      <c r="L158" s="99"/>
      <c r="M158" s="99"/>
      <c r="N158" s="43">
        <f t="shared" si="2"/>
        <v>727833.125</v>
      </c>
      <c r="O158" s="43"/>
      <c r="P158" s="23"/>
      <c r="Q158" s="23"/>
    </row>
    <row r="159" spans="1:17">
      <c r="A159" s="23"/>
      <c r="B159" s="53">
        <v>149</v>
      </c>
      <c r="C159" s="58">
        <v>778056.625</v>
      </c>
      <c r="D159" s="59">
        <v>9727.4423828125</v>
      </c>
      <c r="E159" s="59">
        <v>0</v>
      </c>
      <c r="F159" s="59">
        <v>-13.785340309143066</v>
      </c>
      <c r="G159" s="42">
        <v>0</v>
      </c>
      <c r="H159" s="23"/>
      <c r="I159" s="23"/>
      <c r="J159" s="99"/>
      <c r="K159" s="99"/>
      <c r="L159" s="99"/>
      <c r="M159" s="99"/>
      <c r="N159" s="43">
        <f t="shared" si="2"/>
        <v>778056.625</v>
      </c>
      <c r="O159" s="43"/>
      <c r="P159" s="23"/>
      <c r="Q159" s="23"/>
    </row>
    <row r="160" spans="1:17">
      <c r="A160" s="23"/>
      <c r="B160" s="53">
        <v>150</v>
      </c>
      <c r="C160" s="58">
        <v>831745.75</v>
      </c>
      <c r="D160" s="59">
        <v>9690.755859375</v>
      </c>
      <c r="E160" s="59">
        <v>0</v>
      </c>
      <c r="F160" s="59">
        <v>-14.682769775390625</v>
      </c>
      <c r="G160" s="42">
        <v>0</v>
      </c>
      <c r="H160" s="23"/>
      <c r="I160" s="23"/>
      <c r="J160" s="99"/>
      <c r="K160" s="99"/>
      <c r="L160" s="99"/>
      <c r="M160" s="99"/>
      <c r="N160" s="43">
        <f t="shared" si="2"/>
        <v>831745.75</v>
      </c>
      <c r="O160" s="43"/>
      <c r="P160" s="23"/>
      <c r="Q160" s="23"/>
    </row>
    <row r="161" spans="1:17">
      <c r="A161" s="23"/>
      <c r="B161" s="53">
        <v>151</v>
      </c>
      <c r="C161" s="58">
        <v>889139.6875</v>
      </c>
      <c r="D161" s="59">
        <v>9649.5576171875</v>
      </c>
      <c r="E161" s="59">
        <v>0</v>
      </c>
      <c r="F161" s="59">
        <v>-15.636710166931152</v>
      </c>
      <c r="G161" s="42">
        <v>0</v>
      </c>
      <c r="H161" s="23"/>
      <c r="I161" s="23"/>
      <c r="J161" s="99"/>
      <c r="K161" s="99"/>
      <c r="L161" s="99"/>
      <c r="M161" s="99"/>
      <c r="N161" s="43">
        <f t="shared" si="2"/>
        <v>889139.6875</v>
      </c>
      <c r="O161" s="43"/>
      <c r="P161" s="23"/>
      <c r="Q161" s="23"/>
    </row>
    <row r="162" spans="1:17">
      <c r="A162" s="23"/>
      <c r="B162" s="53">
        <v>152</v>
      </c>
      <c r="C162" s="58">
        <v>950494.0625</v>
      </c>
      <c r="D162" s="59">
        <v>9603.0302734375</v>
      </c>
      <c r="E162" s="59">
        <v>0</v>
      </c>
      <c r="F162" s="59">
        <v>-16.648839950561523</v>
      </c>
      <c r="G162" s="42">
        <v>0</v>
      </c>
      <c r="H162" s="23"/>
      <c r="I162" s="23"/>
      <c r="J162" s="99"/>
      <c r="K162" s="99"/>
      <c r="L162" s="99"/>
      <c r="M162" s="99"/>
      <c r="N162" s="43">
        <f t="shared" si="2"/>
        <v>950494.0625</v>
      </c>
      <c r="O162" s="43"/>
      <c r="P162" s="23"/>
      <c r="Q162" s="23"/>
    </row>
    <row r="163" spans="1:17">
      <c r="A163" s="23"/>
      <c r="B163" s="53">
        <v>153</v>
      </c>
      <c r="C163" s="58">
        <v>1016082.125</v>
      </c>
      <c r="D163" s="59">
        <v>9551.978515625</v>
      </c>
      <c r="E163" s="59">
        <v>0</v>
      </c>
      <c r="F163" s="59">
        <v>-17.718759536743164</v>
      </c>
      <c r="G163" s="42">
        <v>0</v>
      </c>
      <c r="H163" s="23"/>
      <c r="I163" s="23"/>
      <c r="J163" s="99"/>
      <c r="K163" s="99"/>
      <c r="L163" s="99"/>
      <c r="M163" s="99"/>
      <c r="N163" s="43">
        <f t="shared" si="2"/>
        <v>1016082.125</v>
      </c>
      <c r="O163" s="43"/>
      <c r="P163" s="23"/>
      <c r="Q163" s="23"/>
    </row>
    <row r="164" spans="1:17">
      <c r="A164" s="23"/>
      <c r="B164" s="53">
        <v>154</v>
      </c>
      <c r="C164" s="58">
        <v>1086196</v>
      </c>
      <c r="D164" s="59">
        <v>9493.79296875</v>
      </c>
      <c r="E164" s="59">
        <v>0</v>
      </c>
      <c r="F164" s="59">
        <v>-18.84099006652832</v>
      </c>
      <c r="G164" s="42">
        <v>0</v>
      </c>
      <c r="H164" s="23"/>
      <c r="I164" s="23"/>
      <c r="J164" s="99"/>
      <c r="K164" s="99"/>
      <c r="L164" s="99"/>
      <c r="M164" s="99"/>
      <c r="N164" s="43">
        <f t="shared" si="2"/>
        <v>1086196</v>
      </c>
      <c r="O164" s="43"/>
      <c r="P164" s="23"/>
      <c r="Q164" s="23"/>
    </row>
    <row r="165" spans="1:17">
      <c r="A165" s="23"/>
      <c r="B165" s="53">
        <v>155</v>
      </c>
      <c r="C165" s="58">
        <v>1161148.125</v>
      </c>
      <c r="D165" s="59">
        <v>9429.4228515625</v>
      </c>
      <c r="E165" s="59">
        <v>0</v>
      </c>
      <c r="F165" s="59">
        <v>-20.009870529174805</v>
      </c>
      <c r="G165" s="42">
        <v>0</v>
      </c>
      <c r="H165" s="23"/>
      <c r="I165" s="23"/>
      <c r="J165" s="99"/>
      <c r="K165" s="99"/>
      <c r="L165" s="99"/>
      <c r="M165" s="99"/>
      <c r="N165" s="43">
        <f t="shared" si="2"/>
        <v>1161148.125</v>
      </c>
      <c r="O165" s="43"/>
      <c r="P165" s="23"/>
      <c r="Q165" s="23"/>
    </row>
    <row r="166" spans="1:17">
      <c r="A166" s="23"/>
      <c r="B166" s="53">
        <v>156</v>
      </c>
      <c r="C166" s="58">
        <v>1241272.125</v>
      </c>
      <c r="D166" s="59">
        <v>9358.8603515625</v>
      </c>
      <c r="E166" s="59">
        <v>0</v>
      </c>
      <c r="F166" s="59">
        <v>-21.254449844360352</v>
      </c>
      <c r="G166" s="42">
        <v>0</v>
      </c>
      <c r="H166" s="23"/>
      <c r="I166" s="23"/>
      <c r="J166" s="99"/>
      <c r="K166" s="99"/>
      <c r="L166" s="99"/>
      <c r="M166" s="99"/>
      <c r="N166" s="43">
        <f t="shared" si="2"/>
        <v>1241272.125</v>
      </c>
      <c r="O166" s="43"/>
      <c r="P166" s="23"/>
      <c r="Q166" s="23"/>
    </row>
    <row r="167" spans="1:17">
      <c r="A167" s="23"/>
      <c r="B167" s="53">
        <v>157</v>
      </c>
      <c r="C167" s="58">
        <v>1326925.125</v>
      </c>
      <c r="D167" s="59">
        <v>9279.888671875</v>
      </c>
      <c r="E167" s="59">
        <v>0</v>
      </c>
      <c r="F167" s="59">
        <v>-22.559820175170898</v>
      </c>
      <c r="G167" s="42">
        <v>0</v>
      </c>
      <c r="H167" s="23"/>
      <c r="I167" s="23"/>
      <c r="J167" s="99"/>
      <c r="K167" s="99"/>
      <c r="L167" s="99"/>
      <c r="M167" s="99"/>
      <c r="N167" s="43">
        <f t="shared" si="2"/>
        <v>1326925.125</v>
      </c>
      <c r="O167" s="43"/>
      <c r="P167" s="23"/>
      <c r="Q167" s="23"/>
    </row>
    <row r="168" spans="1:17">
      <c r="A168" s="23"/>
      <c r="B168" s="53">
        <v>158</v>
      </c>
      <c r="C168" s="58">
        <v>1418488.5</v>
      </c>
      <c r="D168" s="59">
        <v>9193.525390625</v>
      </c>
      <c r="E168" s="59">
        <v>0</v>
      </c>
      <c r="F168" s="59">
        <v>-23.927089691162109</v>
      </c>
      <c r="G168" s="42">
        <v>0</v>
      </c>
      <c r="H168" s="23"/>
      <c r="I168" s="23"/>
      <c r="J168" s="99"/>
      <c r="K168" s="99"/>
      <c r="L168" s="99"/>
      <c r="M168" s="99"/>
      <c r="N168" s="43">
        <f t="shared" si="2"/>
        <v>1418488.5</v>
      </c>
      <c r="O168" s="43"/>
      <c r="P168" s="23"/>
      <c r="Q168" s="23"/>
    </row>
    <row r="169" spans="1:17">
      <c r="A169" s="23"/>
      <c r="B169" s="53">
        <v>159</v>
      </c>
      <c r="C169" s="58">
        <v>1516370.125</v>
      </c>
      <c r="D169" s="59">
        <v>9099.228515625</v>
      </c>
      <c r="E169" s="59">
        <v>0</v>
      </c>
      <c r="F169" s="59">
        <v>-25.356300354003906</v>
      </c>
      <c r="G169" s="42">
        <v>0</v>
      </c>
      <c r="H169" s="23"/>
      <c r="I169" s="23"/>
      <c r="J169" s="99"/>
      <c r="K169" s="99"/>
      <c r="L169" s="99"/>
      <c r="M169" s="99"/>
      <c r="N169" s="43">
        <f t="shared" si="2"/>
        <v>1516370.125</v>
      </c>
      <c r="O169" s="43"/>
      <c r="P169" s="23"/>
      <c r="Q169" s="23"/>
    </row>
    <row r="170" spans="1:17">
      <c r="A170" s="23"/>
      <c r="B170" s="53">
        <v>160</v>
      </c>
      <c r="C170" s="58">
        <v>1621005.875</v>
      </c>
      <c r="D170" s="59">
        <v>8995.4755859375</v>
      </c>
      <c r="E170" s="59">
        <v>0</v>
      </c>
      <c r="F170" s="59">
        <v>-26.846029281616211</v>
      </c>
      <c r="G170" s="42">
        <v>0</v>
      </c>
      <c r="H170" s="23"/>
      <c r="I170" s="23"/>
      <c r="J170" s="99"/>
      <c r="K170" s="99"/>
      <c r="L170" s="99"/>
      <c r="M170" s="99"/>
      <c r="N170" s="43">
        <f t="shared" si="2"/>
        <v>1621005.875</v>
      </c>
      <c r="O170" s="43"/>
      <c r="P170" s="23"/>
      <c r="Q170" s="23"/>
    </row>
    <row r="171" spans="1:17">
      <c r="A171" s="23"/>
      <c r="B171" s="53">
        <v>161</v>
      </c>
      <c r="C171" s="58">
        <v>1732862.125</v>
      </c>
      <c r="D171" s="59">
        <v>8882.91796875</v>
      </c>
      <c r="E171" s="59">
        <v>0</v>
      </c>
      <c r="F171" s="59">
        <v>-28.388790130615234</v>
      </c>
      <c r="G171" s="42">
        <v>0</v>
      </c>
      <c r="H171" s="23"/>
      <c r="I171" s="23"/>
      <c r="J171" s="99"/>
      <c r="K171" s="99"/>
      <c r="L171" s="99"/>
      <c r="M171" s="99"/>
      <c r="N171" s="43">
        <f t="shared" si="2"/>
        <v>1732862.125</v>
      </c>
      <c r="O171" s="43"/>
      <c r="P171" s="23"/>
      <c r="Q171" s="23"/>
    </row>
    <row r="172" spans="1:17">
      <c r="A172" s="23"/>
      <c r="B172" s="53">
        <v>162</v>
      </c>
      <c r="C172" s="58">
        <v>1852436.875</v>
      </c>
      <c r="D172" s="59">
        <v>8760.298828125</v>
      </c>
      <c r="E172" s="59">
        <v>0</v>
      </c>
      <c r="F172" s="59">
        <v>-29.992580413818359</v>
      </c>
      <c r="G172" s="42">
        <v>0</v>
      </c>
      <c r="H172" s="23"/>
      <c r="I172" s="23"/>
      <c r="J172" s="99"/>
      <c r="K172" s="99"/>
      <c r="L172" s="99"/>
      <c r="M172" s="99"/>
      <c r="N172" s="43">
        <f t="shared" si="2"/>
        <v>1852436.875</v>
      </c>
      <c r="O172" s="43"/>
      <c r="P172" s="23"/>
      <c r="Q172" s="23"/>
    </row>
    <row r="173" spans="1:17">
      <c r="A173" s="23"/>
      <c r="B173" s="53">
        <v>163</v>
      </c>
      <c r="C173" s="58">
        <v>1980262.75</v>
      </c>
      <c r="D173" s="59">
        <v>8628.5283203125</v>
      </c>
      <c r="E173" s="59">
        <v>0</v>
      </c>
      <c r="F173" s="59">
        <v>-31.649320602416992</v>
      </c>
      <c r="G173" s="42">
        <v>0</v>
      </c>
      <c r="H173" s="23"/>
      <c r="I173" s="23"/>
      <c r="J173" s="99"/>
      <c r="K173" s="99"/>
      <c r="L173" s="99"/>
      <c r="M173" s="99"/>
      <c r="N173" s="43">
        <f t="shared" si="2"/>
        <v>1980262.75</v>
      </c>
      <c r="O173" s="43"/>
      <c r="P173" s="23"/>
      <c r="Q173" s="23"/>
    </row>
    <row r="174" spans="1:17">
      <c r="A174" s="23"/>
      <c r="B174" s="53">
        <v>164</v>
      </c>
      <c r="C174" s="58">
        <v>2116909</v>
      </c>
      <c r="D174" s="59">
        <v>8486.853515625</v>
      </c>
      <c r="E174" s="59">
        <v>0</v>
      </c>
      <c r="F174" s="59">
        <v>-33.357120513916016</v>
      </c>
      <c r="G174" s="42">
        <v>0</v>
      </c>
      <c r="H174" s="23"/>
      <c r="I174" s="23"/>
      <c r="J174" s="99"/>
      <c r="K174" s="99"/>
      <c r="L174" s="99"/>
      <c r="M174" s="99"/>
      <c r="N174" s="43">
        <f t="shared" si="2"/>
        <v>2116909</v>
      </c>
      <c r="O174" s="43"/>
      <c r="P174" s="23"/>
      <c r="Q174" s="23"/>
    </row>
    <row r="175" spans="1:17">
      <c r="A175" s="23"/>
      <c r="B175" s="53">
        <v>165</v>
      </c>
      <c r="C175" s="58">
        <v>2262984.75</v>
      </c>
      <c r="D175" s="59">
        <v>8336.3056640625</v>
      </c>
      <c r="E175" s="59">
        <v>0</v>
      </c>
      <c r="F175" s="59">
        <v>-35.102020263671875</v>
      </c>
      <c r="G175" s="42">
        <v>0</v>
      </c>
      <c r="H175" s="23"/>
      <c r="I175" s="23"/>
      <c r="J175" s="99"/>
      <c r="K175" s="99"/>
      <c r="L175" s="99"/>
      <c r="M175" s="99"/>
      <c r="N175" s="43">
        <f t="shared" si="2"/>
        <v>2262984.75</v>
      </c>
      <c r="O175" s="43"/>
      <c r="P175" s="23"/>
      <c r="Q175" s="23"/>
    </row>
    <row r="176" spans="1:17">
      <c r="A176" s="23"/>
      <c r="B176" s="53">
        <v>166</v>
      </c>
      <c r="C176" s="58">
        <v>2419140</v>
      </c>
      <c r="D176" s="59">
        <v>8176.59619140625</v>
      </c>
      <c r="E176" s="59">
        <v>0</v>
      </c>
      <c r="F176" s="59">
        <v>-36.889469146728516</v>
      </c>
      <c r="G176" s="42">
        <v>0</v>
      </c>
      <c r="H176" s="23"/>
      <c r="I176" s="23"/>
      <c r="J176" s="99"/>
      <c r="K176" s="99"/>
      <c r="L176" s="99"/>
      <c r="M176" s="99"/>
      <c r="N176" s="43">
        <f t="shared" si="2"/>
        <v>2419140</v>
      </c>
      <c r="O176" s="43"/>
      <c r="P176" s="23"/>
      <c r="Q176" s="23"/>
    </row>
    <row r="177" spans="1:17">
      <c r="A177" s="23"/>
      <c r="B177" s="53">
        <v>167</v>
      </c>
      <c r="C177" s="58">
        <v>2586070.75</v>
      </c>
      <c r="D177" s="59">
        <v>8008.9072265625</v>
      </c>
      <c r="E177" s="59">
        <v>0</v>
      </c>
      <c r="F177" s="59">
        <v>-38.714431762695313</v>
      </c>
      <c r="G177" s="42">
        <v>0</v>
      </c>
      <c r="H177" s="23"/>
      <c r="I177" s="23"/>
      <c r="J177" s="99"/>
      <c r="K177" s="99"/>
      <c r="L177" s="99"/>
      <c r="M177" s="99"/>
      <c r="N177" s="43">
        <f t="shared" si="2"/>
        <v>2586070.75</v>
      </c>
      <c r="O177" s="43"/>
      <c r="P177" s="23"/>
      <c r="Q177" s="23"/>
    </row>
    <row r="178" spans="1:17">
      <c r="A178" s="23"/>
      <c r="B178" s="53">
        <v>168</v>
      </c>
      <c r="C178" s="58">
        <v>2764520.5</v>
      </c>
      <c r="D178" s="59">
        <v>7834.09619140625</v>
      </c>
      <c r="E178" s="59">
        <v>0</v>
      </c>
      <c r="F178" s="59">
        <v>-40.562530517578125</v>
      </c>
      <c r="G178" s="42">
        <v>0</v>
      </c>
      <c r="H178" s="23"/>
      <c r="I178" s="23"/>
      <c r="J178" s="99"/>
      <c r="K178" s="99"/>
      <c r="L178" s="99"/>
      <c r="M178" s="99"/>
      <c r="N178" s="43">
        <f t="shared" si="2"/>
        <v>2764520.5</v>
      </c>
      <c r="O178" s="43"/>
      <c r="P178" s="23"/>
      <c r="Q178" s="23"/>
    </row>
    <row r="179" spans="1:17">
      <c r="A179" s="23"/>
      <c r="B179" s="53">
        <v>169</v>
      </c>
      <c r="C179" s="58">
        <v>2955284</v>
      </c>
      <c r="D179" s="59">
        <v>7652.84521484375</v>
      </c>
      <c r="E179" s="59">
        <v>0</v>
      </c>
      <c r="F179" s="59">
        <v>-42.435039520263672</v>
      </c>
      <c r="G179" s="42">
        <v>0</v>
      </c>
      <c r="H179" s="23"/>
      <c r="I179" s="23"/>
      <c r="J179" s="99"/>
      <c r="K179" s="99"/>
      <c r="L179" s="99"/>
      <c r="M179" s="99"/>
      <c r="N179" s="43">
        <f t="shared" si="2"/>
        <v>2955284</v>
      </c>
      <c r="O179" s="43"/>
      <c r="P179" s="23"/>
      <c r="Q179" s="23"/>
    </row>
    <row r="180" spans="1:17">
      <c r="A180" s="23"/>
      <c r="B180" s="53">
        <v>170</v>
      </c>
      <c r="C180" s="58">
        <v>3159210.75</v>
      </c>
      <c r="D180" s="59">
        <v>7465.783203125</v>
      </c>
      <c r="E180" s="59">
        <v>0</v>
      </c>
      <c r="F180" s="59">
        <v>-44.323879241943359</v>
      </c>
      <c r="G180" s="42">
        <v>0</v>
      </c>
      <c r="H180" s="23"/>
      <c r="I180" s="23"/>
      <c r="J180" s="99"/>
      <c r="K180" s="99"/>
      <c r="L180" s="99"/>
      <c r="M180" s="99"/>
      <c r="N180" s="43">
        <f t="shared" si="2"/>
        <v>3159210.75</v>
      </c>
      <c r="O180" s="43"/>
      <c r="P180" s="23"/>
      <c r="Q180" s="23"/>
    </row>
    <row r="181" spans="1:17">
      <c r="A181" s="23"/>
      <c r="B181" s="53">
        <v>171</v>
      </c>
      <c r="C181" s="58">
        <v>3377209.5</v>
      </c>
      <c r="D181" s="59">
        <v>7275.994140625</v>
      </c>
      <c r="E181" s="59">
        <v>0</v>
      </c>
      <c r="F181" s="59">
        <v>-46.220859527587891</v>
      </c>
      <c r="G181" s="42">
        <v>0</v>
      </c>
      <c r="H181" s="23"/>
      <c r="I181" s="23"/>
      <c r="J181" s="99"/>
      <c r="K181" s="99"/>
      <c r="L181" s="99"/>
      <c r="M181" s="99"/>
      <c r="N181" s="43">
        <f t="shared" si="2"/>
        <v>3377209.5</v>
      </c>
      <c r="O181" s="43"/>
      <c r="P181" s="23"/>
      <c r="Q181" s="23"/>
    </row>
    <row r="182" spans="1:17">
      <c r="A182" s="23"/>
      <c r="B182" s="53">
        <v>172</v>
      </c>
      <c r="C182" s="58">
        <v>3610251</v>
      </c>
      <c r="D182" s="59">
        <v>7084.9931640625</v>
      </c>
      <c r="E182" s="59">
        <v>0</v>
      </c>
      <c r="F182" s="59">
        <v>-48.104110717773438</v>
      </c>
      <c r="G182" s="42">
        <v>0</v>
      </c>
      <c r="H182" s="23"/>
      <c r="I182" s="23"/>
      <c r="J182" s="99"/>
      <c r="K182" s="99"/>
      <c r="L182" s="99"/>
      <c r="M182" s="99"/>
      <c r="N182" s="43">
        <f t="shared" si="2"/>
        <v>3610251</v>
      </c>
      <c r="O182" s="43"/>
      <c r="P182" s="23"/>
      <c r="Q182" s="23"/>
    </row>
    <row r="183" spans="1:17">
      <c r="A183" s="23"/>
      <c r="B183" s="53">
        <v>173</v>
      </c>
      <c r="C183" s="58">
        <v>3859373.5</v>
      </c>
      <c r="D183" s="59">
        <v>6896.27294921875</v>
      </c>
      <c r="E183" s="59">
        <v>0</v>
      </c>
      <c r="F183" s="59">
        <v>-49.999130249023438</v>
      </c>
      <c r="G183" s="42">
        <v>0</v>
      </c>
      <c r="H183" s="23"/>
      <c r="I183" s="23"/>
      <c r="J183" s="99"/>
      <c r="K183" s="99"/>
      <c r="L183" s="99"/>
      <c r="M183" s="99"/>
      <c r="N183" s="43">
        <f t="shared" si="2"/>
        <v>3859373.5</v>
      </c>
      <c r="O183" s="43"/>
      <c r="P183" s="23"/>
      <c r="Q183" s="23"/>
    </row>
    <row r="184" spans="1:17">
      <c r="A184" s="23"/>
      <c r="B184" s="53">
        <v>174</v>
      </c>
      <c r="C184" s="58">
        <v>4125686.25</v>
      </c>
      <c r="D184" s="59">
        <v>6708.2421875</v>
      </c>
      <c r="E184" s="59">
        <v>0</v>
      </c>
      <c r="F184" s="59">
        <v>-51.899818420410156</v>
      </c>
      <c r="G184" s="42">
        <v>0</v>
      </c>
      <c r="H184" s="23"/>
      <c r="I184" s="23"/>
      <c r="J184" s="99"/>
      <c r="K184" s="99"/>
      <c r="L184" s="99"/>
      <c r="M184" s="99"/>
      <c r="N184" s="43">
        <f t="shared" si="2"/>
        <v>4125686.25</v>
      </c>
      <c r="O184" s="43"/>
      <c r="P184" s="23"/>
      <c r="Q184" s="23"/>
    </row>
    <row r="185" spans="1:17">
      <c r="A185" s="23"/>
      <c r="B185" s="53">
        <v>175</v>
      </c>
      <c r="C185" s="58">
        <v>4410376</v>
      </c>
      <c r="D185" s="59">
        <v>6524.76806640625</v>
      </c>
      <c r="E185" s="59">
        <v>0</v>
      </c>
      <c r="F185" s="59">
        <v>-53.7830810546875</v>
      </c>
      <c r="G185" s="42">
        <v>0</v>
      </c>
      <c r="H185" s="23"/>
      <c r="I185" s="23"/>
      <c r="J185" s="99"/>
      <c r="K185" s="99"/>
      <c r="L185" s="99"/>
      <c r="M185" s="99"/>
      <c r="N185" s="43">
        <f t="shared" si="2"/>
        <v>4410376</v>
      </c>
      <c r="O185" s="43"/>
      <c r="P185" s="23"/>
      <c r="Q185" s="23"/>
    </row>
    <row r="186" spans="1:17">
      <c r="A186" s="23"/>
      <c r="B186" s="53">
        <v>176</v>
      </c>
      <c r="C186" s="58">
        <v>4714710</v>
      </c>
      <c r="D186" s="59">
        <v>6348.72607421875</v>
      </c>
      <c r="E186" s="59">
        <v>0</v>
      </c>
      <c r="F186" s="59">
        <v>-55.648029327392578</v>
      </c>
      <c r="G186" s="42">
        <v>0</v>
      </c>
      <c r="H186" s="23"/>
      <c r="I186" s="23"/>
      <c r="J186" s="99"/>
      <c r="K186" s="99"/>
      <c r="L186" s="99"/>
      <c r="M186" s="99"/>
      <c r="N186" s="43">
        <f t="shared" si="2"/>
        <v>4714710</v>
      </c>
      <c r="O186" s="43"/>
      <c r="P186" s="23"/>
      <c r="Q186" s="23"/>
    </row>
    <row r="187" spans="1:17">
      <c r="A187" s="23"/>
      <c r="B187" s="53">
        <v>177</v>
      </c>
      <c r="C187" s="58">
        <v>5040045</v>
      </c>
      <c r="D187" s="59">
        <v>6183.85400390625</v>
      </c>
      <c r="E187" s="59">
        <v>0</v>
      </c>
      <c r="F187" s="59">
        <v>-57.503890991210938</v>
      </c>
      <c r="G187" s="42">
        <v>0</v>
      </c>
      <c r="H187" s="23"/>
      <c r="I187" s="23"/>
      <c r="J187" s="99"/>
      <c r="K187" s="99"/>
      <c r="L187" s="99"/>
      <c r="M187" s="99"/>
      <c r="N187" s="43">
        <f t="shared" si="2"/>
        <v>5040045</v>
      </c>
      <c r="O187" s="43"/>
      <c r="P187" s="23"/>
      <c r="Q187" s="23"/>
    </row>
    <row r="188" spans="1:17">
      <c r="A188" s="23"/>
      <c r="B188" s="53">
        <v>178</v>
      </c>
      <c r="C188" s="58">
        <v>5387829</v>
      </c>
      <c r="D188" s="59">
        <v>6033.97119140625</v>
      </c>
      <c r="E188" s="59">
        <v>0</v>
      </c>
      <c r="F188" s="59">
        <v>-59.358051300048828</v>
      </c>
      <c r="G188" s="42">
        <v>0</v>
      </c>
      <c r="H188" s="23"/>
      <c r="I188" s="23"/>
      <c r="J188" s="99"/>
      <c r="K188" s="99"/>
      <c r="L188" s="99"/>
      <c r="M188" s="99"/>
      <c r="N188" s="43">
        <f t="shared" si="2"/>
        <v>5387829</v>
      </c>
      <c r="O188" s="43"/>
      <c r="P188" s="23"/>
      <c r="Q188" s="23"/>
    </row>
    <row r="189" spans="1:17">
      <c r="A189" s="23"/>
      <c r="B189" s="53">
        <v>179</v>
      </c>
      <c r="C189" s="58">
        <v>5759611.5</v>
      </c>
      <c r="D189" s="59">
        <v>5902.78076171875</v>
      </c>
      <c r="E189" s="59">
        <v>0</v>
      </c>
      <c r="F189" s="59">
        <v>-61.226390838623047</v>
      </c>
      <c r="G189" s="42">
        <v>0</v>
      </c>
      <c r="H189" s="23"/>
      <c r="I189" s="23"/>
      <c r="J189" s="99"/>
      <c r="K189" s="99"/>
      <c r="L189" s="99"/>
      <c r="M189" s="99"/>
      <c r="N189" s="43">
        <f t="shared" si="2"/>
        <v>5759611.5</v>
      </c>
      <c r="O189" s="43"/>
      <c r="P189" s="23"/>
      <c r="Q189" s="23"/>
    </row>
    <row r="190" spans="1:17">
      <c r="A190" s="23"/>
      <c r="B190" s="53">
        <v>180</v>
      </c>
      <c r="C190" s="58">
        <v>6157049</v>
      </c>
      <c r="D190" s="59">
        <v>5793.998046875</v>
      </c>
      <c r="E190" s="59">
        <v>0</v>
      </c>
      <c r="F190" s="59">
        <v>-63.149909973144531</v>
      </c>
      <c r="G190" s="42">
        <v>0</v>
      </c>
      <c r="H190" s="23"/>
      <c r="I190" s="23"/>
      <c r="J190" s="99"/>
      <c r="K190" s="99"/>
      <c r="L190" s="99"/>
      <c r="M190" s="99"/>
      <c r="N190" s="43">
        <f t="shared" si="2"/>
        <v>6157049</v>
      </c>
      <c r="O190" s="43"/>
      <c r="P190" s="23"/>
      <c r="Q190" s="23"/>
    </row>
    <row r="191" spans="1:17">
      <c r="A191" s="23"/>
      <c r="B191" s="53">
        <v>181</v>
      </c>
      <c r="C191" s="58">
        <v>6581911</v>
      </c>
      <c r="D191" s="59">
        <v>5713.02099609375</v>
      </c>
      <c r="E191" s="59">
        <v>0</v>
      </c>
      <c r="F191" s="59">
        <v>-65.163368225097656</v>
      </c>
      <c r="G191" s="42">
        <v>0</v>
      </c>
      <c r="H191" s="23"/>
      <c r="I191" s="23"/>
      <c r="J191" s="99"/>
      <c r="K191" s="99"/>
      <c r="L191" s="99"/>
      <c r="M191" s="99"/>
      <c r="N191" s="43">
        <f t="shared" si="2"/>
        <v>6581911</v>
      </c>
      <c r="O191" s="43"/>
      <c r="P191" s="23"/>
      <c r="Q191" s="23"/>
    </row>
    <row r="192" spans="1:17">
      <c r="A192" s="23"/>
      <c r="B192" s="53">
        <v>182</v>
      </c>
      <c r="C192" s="58">
        <v>7036090.5</v>
      </c>
      <c r="D192" s="59">
        <v>5663.296875</v>
      </c>
      <c r="E192" s="59">
        <v>0</v>
      </c>
      <c r="F192" s="59">
        <v>-67.333961486816406</v>
      </c>
      <c r="G192" s="42">
        <v>0</v>
      </c>
      <c r="H192" s="23"/>
      <c r="I192" s="23"/>
      <c r="J192" s="99"/>
      <c r="K192" s="99"/>
      <c r="L192" s="99"/>
      <c r="M192" s="99"/>
      <c r="N192" s="43">
        <f t="shared" si="2"/>
        <v>7036090.5</v>
      </c>
      <c r="O192" s="43"/>
      <c r="P192" s="23"/>
      <c r="Q192" s="23"/>
    </row>
    <row r="193" spans="1:17">
      <c r="A193" s="23"/>
      <c r="B193" s="53">
        <v>183</v>
      </c>
      <c r="C193" s="58">
        <v>7521610</v>
      </c>
      <c r="D193" s="59">
        <v>5648.85498046875</v>
      </c>
      <c r="E193" s="59">
        <v>0</v>
      </c>
      <c r="F193" s="59">
        <v>-69.751861572265625</v>
      </c>
      <c r="G193" s="42">
        <v>0</v>
      </c>
      <c r="H193" s="23"/>
      <c r="I193" s="23"/>
      <c r="J193" s="99"/>
      <c r="K193" s="99"/>
      <c r="L193" s="99"/>
      <c r="M193" s="99"/>
      <c r="N193" s="43">
        <f t="shared" si="2"/>
        <v>7521610</v>
      </c>
      <c r="O193" s="43"/>
      <c r="P193" s="23"/>
      <c r="Q193" s="23"/>
    </row>
    <row r="194" spans="1:17">
      <c r="A194" s="23"/>
      <c r="B194" s="53">
        <v>184</v>
      </c>
      <c r="C194" s="58">
        <v>8040632.5</v>
      </c>
      <c r="D194" s="59">
        <v>5674.1318359375</v>
      </c>
      <c r="E194" s="59">
        <v>0</v>
      </c>
      <c r="F194" s="59">
        <v>-72.486549377441406</v>
      </c>
      <c r="G194" s="42">
        <v>0</v>
      </c>
      <c r="H194" s="23"/>
      <c r="I194" s="23"/>
      <c r="J194" s="99"/>
      <c r="K194" s="99"/>
      <c r="L194" s="99"/>
      <c r="M194" s="99"/>
      <c r="N194" s="43">
        <f t="shared" si="2"/>
        <v>8040632.5</v>
      </c>
      <c r="O194" s="43"/>
      <c r="P194" s="23"/>
      <c r="Q194" s="23"/>
    </row>
    <row r="195" spans="1:17">
      <c r="A195" s="23"/>
      <c r="B195" s="53">
        <v>185</v>
      </c>
      <c r="C195" s="58">
        <v>8595470</v>
      </c>
      <c r="D195" s="59">
        <v>5742.7099609375</v>
      </c>
      <c r="E195" s="59">
        <v>0</v>
      </c>
      <c r="F195" s="59">
        <v>-75.616127014160156</v>
      </c>
      <c r="G195" s="42">
        <v>0</v>
      </c>
      <c r="H195" s="23"/>
      <c r="I195" s="23"/>
      <c r="J195" s="99"/>
      <c r="K195" s="99"/>
      <c r="L195" s="99"/>
      <c r="M195" s="99"/>
      <c r="N195" s="43">
        <f t="shared" si="2"/>
        <v>8595470</v>
      </c>
      <c r="O195" s="43"/>
      <c r="P195" s="23"/>
      <c r="Q195" s="23"/>
    </row>
    <row r="196" spans="1:17">
      <c r="A196" s="23"/>
      <c r="B196" s="53">
        <v>186</v>
      </c>
      <c r="C196" s="58">
        <v>9188593</v>
      </c>
      <c r="D196" s="59">
        <v>5868.0078125</v>
      </c>
      <c r="E196" s="59">
        <v>0</v>
      </c>
      <c r="F196" s="59">
        <v>-79.170700073242188</v>
      </c>
      <c r="G196" s="42">
        <v>0</v>
      </c>
      <c r="H196" s="23"/>
      <c r="I196" s="23"/>
      <c r="J196" s="99"/>
      <c r="K196" s="99"/>
      <c r="L196" s="99"/>
      <c r="M196" s="99"/>
      <c r="N196" s="43">
        <f t="shared" si="2"/>
        <v>9188593</v>
      </c>
      <c r="O196" s="43"/>
      <c r="P196" s="23"/>
      <c r="Q196" s="23"/>
    </row>
    <row r="197" spans="1:17">
      <c r="A197" s="23"/>
      <c r="B197" s="53">
        <v>187</v>
      </c>
      <c r="C197" s="58">
        <v>9822644</v>
      </c>
      <c r="D197" s="59">
        <v>6082.30615234375</v>
      </c>
      <c r="E197" s="59">
        <v>0</v>
      </c>
      <c r="F197" s="59">
        <v>-83.193389892578125</v>
      </c>
      <c r="G197" s="42">
        <v>0</v>
      </c>
      <c r="H197" s="23"/>
      <c r="I197" s="23"/>
      <c r="J197" s="99"/>
      <c r="K197" s="99"/>
      <c r="L197" s="99"/>
      <c r="M197" s="99"/>
      <c r="N197" s="43">
        <f t="shared" si="2"/>
        <v>9822644</v>
      </c>
      <c r="O197" s="43"/>
      <c r="P197" s="23"/>
      <c r="Q197" s="23"/>
    </row>
    <row r="198" spans="1:17">
      <c r="A198" s="23"/>
      <c r="B198" s="53">
        <v>188</v>
      </c>
      <c r="C198" s="58">
        <v>10500447</v>
      </c>
      <c r="D198" s="59">
        <v>6455.0078125</v>
      </c>
      <c r="E198" s="59">
        <v>0</v>
      </c>
      <c r="F198" s="59">
        <v>-87.993263244628906</v>
      </c>
      <c r="G198" s="42">
        <v>0</v>
      </c>
      <c r="H198" s="23"/>
      <c r="I198" s="23"/>
      <c r="J198" s="99"/>
      <c r="K198" s="99"/>
      <c r="L198" s="99"/>
      <c r="M198" s="99"/>
      <c r="N198" s="43">
        <f t="shared" si="2"/>
        <v>10500447</v>
      </c>
      <c r="O198" s="43"/>
      <c r="P198" s="23"/>
      <c r="Q198" s="23"/>
    </row>
    <row r="199" spans="1:17">
      <c r="A199" s="23"/>
      <c r="B199" s="53">
        <v>189</v>
      </c>
      <c r="C199" s="58">
        <v>11225022</v>
      </c>
      <c r="D199" s="59">
        <v>7106.8017578125</v>
      </c>
      <c r="E199" s="59">
        <v>0</v>
      </c>
      <c r="F199" s="59">
        <v>-94.254631042480469</v>
      </c>
      <c r="G199" s="42">
        <v>0</v>
      </c>
      <c r="H199" s="23"/>
      <c r="I199" s="23"/>
      <c r="J199" s="99"/>
      <c r="K199" s="99"/>
      <c r="L199" s="99"/>
      <c r="M199" s="99"/>
      <c r="N199" s="43">
        <f t="shared" si="2"/>
        <v>11225022</v>
      </c>
      <c r="O199" s="43"/>
      <c r="P199" s="23"/>
      <c r="Q199" s="23"/>
    </row>
    <row r="200" spans="1:17">
      <c r="A200" s="23"/>
      <c r="B200" s="53">
        <v>190</v>
      </c>
      <c r="C200" s="58">
        <v>11999596</v>
      </c>
      <c r="D200" s="59">
        <v>8278.5498046875</v>
      </c>
      <c r="E200" s="59">
        <v>0</v>
      </c>
      <c r="F200" s="59">
        <v>-103.95179748535156</v>
      </c>
      <c r="G200" s="42">
        <v>0</v>
      </c>
      <c r="H200" s="23"/>
      <c r="I200" s="23"/>
      <c r="J200" s="99"/>
      <c r="K200" s="99"/>
      <c r="L200" s="99"/>
      <c r="M200" s="99"/>
      <c r="N200" s="43">
        <f t="shared" si="2"/>
        <v>11999596</v>
      </c>
      <c r="O200" s="43"/>
      <c r="P200" s="23"/>
      <c r="Q200" s="23"/>
    </row>
    <row r="201" spans="1:17">
      <c r="A201" s="23"/>
      <c r="B201" s="53">
        <v>191</v>
      </c>
      <c r="C201" s="58">
        <v>12827618</v>
      </c>
      <c r="D201" s="59">
        <v>10204.990234375</v>
      </c>
      <c r="E201" s="59">
        <v>0</v>
      </c>
      <c r="F201" s="59">
        <v>-122.07790374755859</v>
      </c>
      <c r="G201" s="42">
        <v>0</v>
      </c>
      <c r="H201" s="23"/>
      <c r="I201" s="23"/>
      <c r="J201" s="99"/>
      <c r="K201" s="99"/>
      <c r="L201" s="99"/>
      <c r="M201" s="99"/>
      <c r="N201" s="43">
        <f t="shared" si="2"/>
        <v>12827618</v>
      </c>
      <c r="O201" s="43"/>
      <c r="P201" s="23"/>
      <c r="Q201" s="23"/>
    </row>
    <row r="202" spans="1:17">
      <c r="A202" s="23"/>
      <c r="B202" s="53">
        <v>192</v>
      </c>
      <c r="C202" s="58">
        <v>13712777</v>
      </c>
      <c r="D202" s="59">
        <v>11268</v>
      </c>
      <c r="E202" s="59">
        <v>0</v>
      </c>
      <c r="F202" s="59">
        <v>-156.30780029296875</v>
      </c>
      <c r="G202" s="42">
        <v>0</v>
      </c>
      <c r="H202" s="23"/>
      <c r="I202" s="23"/>
      <c r="J202" s="99"/>
      <c r="K202" s="99"/>
      <c r="L202" s="99"/>
      <c r="M202" s="99"/>
      <c r="N202" s="43">
        <f t="shared" si="2"/>
        <v>13712777</v>
      </c>
      <c r="O202" s="43"/>
      <c r="P202" s="23"/>
      <c r="Q202" s="23"/>
    </row>
    <row r="203" spans="1:17">
      <c r="A203" s="23"/>
      <c r="B203" s="53">
        <v>193</v>
      </c>
      <c r="C203" s="58">
        <v>14659016</v>
      </c>
      <c r="D203" s="59">
        <v>8493.2041015625</v>
      </c>
      <c r="E203" s="59">
        <v>0</v>
      </c>
      <c r="F203" s="59">
        <v>164.78599548339844</v>
      </c>
      <c r="G203" s="42">
        <v>0</v>
      </c>
      <c r="H203" s="23"/>
      <c r="I203" s="23"/>
      <c r="J203" s="99"/>
      <c r="K203" s="99"/>
      <c r="L203" s="99"/>
      <c r="M203" s="99"/>
      <c r="N203" s="43">
        <f t="shared" ref="N203:N266" si="3">IF($L$4=$C$10,C203,IF(D203="","",B203))</f>
        <v>14659016</v>
      </c>
      <c r="O203" s="43"/>
      <c r="P203" s="23"/>
      <c r="Q203" s="23"/>
    </row>
    <row r="204" spans="1:17">
      <c r="A204" s="23"/>
      <c r="B204" s="53">
        <v>194</v>
      </c>
      <c r="C204" s="58">
        <v>15670549</v>
      </c>
      <c r="D204" s="59">
        <v>1224.237060546875</v>
      </c>
      <c r="E204" s="59">
        <v>0</v>
      </c>
      <c r="F204" s="59">
        <v>-139.27470397949219</v>
      </c>
      <c r="G204" s="42">
        <v>0</v>
      </c>
      <c r="H204" s="23"/>
      <c r="I204" s="23"/>
      <c r="J204" s="99"/>
      <c r="K204" s="99"/>
      <c r="L204" s="99"/>
      <c r="M204" s="99"/>
      <c r="N204" s="43">
        <f t="shared" si="3"/>
        <v>15670549</v>
      </c>
      <c r="O204" s="43"/>
      <c r="P204" s="23"/>
      <c r="Q204" s="23"/>
    </row>
    <row r="205" spans="1:17">
      <c r="A205" s="23"/>
      <c r="B205" s="53">
        <v>195</v>
      </c>
      <c r="C205" s="58">
        <v>16751882</v>
      </c>
      <c r="D205" s="59">
        <v>1089.9859619140625</v>
      </c>
      <c r="E205" s="59">
        <v>0</v>
      </c>
      <c r="F205" s="59">
        <v>-143.24819946289063</v>
      </c>
      <c r="G205" s="42">
        <v>0</v>
      </c>
      <c r="H205" s="23"/>
      <c r="I205" s="23"/>
      <c r="J205" s="99"/>
      <c r="K205" s="99"/>
      <c r="L205" s="99"/>
      <c r="M205" s="99"/>
      <c r="N205" s="43">
        <f t="shared" si="3"/>
        <v>16751882</v>
      </c>
      <c r="O205" s="43"/>
      <c r="P205" s="23"/>
      <c r="Q205" s="23"/>
    </row>
    <row r="206" spans="1:17">
      <c r="A206" s="23"/>
      <c r="B206" s="53">
        <v>196</v>
      </c>
      <c r="C206" s="58">
        <v>17907832</v>
      </c>
      <c r="D206" s="59">
        <v>968.582275390625</v>
      </c>
      <c r="E206" s="59">
        <v>0</v>
      </c>
      <c r="F206" s="59">
        <v>-147.72810363769531</v>
      </c>
      <c r="G206" s="42">
        <v>0</v>
      </c>
      <c r="H206" s="23"/>
      <c r="I206" s="23"/>
      <c r="J206" s="99"/>
      <c r="K206" s="99"/>
      <c r="L206" s="99"/>
      <c r="M206" s="99"/>
      <c r="N206" s="43">
        <f t="shared" si="3"/>
        <v>17907832</v>
      </c>
      <c r="O206" s="43"/>
      <c r="P206" s="23"/>
      <c r="Q206" s="23"/>
    </row>
    <row r="207" spans="1:17">
      <c r="A207" s="23"/>
      <c r="B207" s="53">
        <v>197</v>
      </c>
      <c r="C207" s="58">
        <v>19143546</v>
      </c>
      <c r="D207" s="59">
        <v>848.7667236328125</v>
      </c>
      <c r="E207" s="59">
        <v>0</v>
      </c>
      <c r="F207" s="59">
        <v>-152.35319519042969</v>
      </c>
      <c r="G207" s="42">
        <v>0</v>
      </c>
      <c r="H207" s="23"/>
      <c r="I207" s="23"/>
      <c r="J207" s="99"/>
      <c r="K207" s="99"/>
      <c r="L207" s="99"/>
      <c r="M207" s="99"/>
      <c r="N207" s="43">
        <f t="shared" si="3"/>
        <v>19143546</v>
      </c>
      <c r="O207" s="43"/>
      <c r="P207" s="23"/>
      <c r="Q207" s="23"/>
    </row>
    <row r="208" spans="1:17">
      <c r="A208" s="23"/>
      <c r="B208" s="53">
        <v>198</v>
      </c>
      <c r="C208" s="58">
        <v>20464532</v>
      </c>
      <c r="D208" s="59">
        <v>735.5233154296875</v>
      </c>
      <c r="E208" s="59">
        <v>0</v>
      </c>
      <c r="F208" s="59">
        <v>-156.97850036621094</v>
      </c>
      <c r="G208" s="42">
        <v>0</v>
      </c>
      <c r="H208" s="23"/>
      <c r="I208" s="23"/>
      <c r="J208" s="99"/>
      <c r="K208" s="99"/>
      <c r="L208" s="99"/>
      <c r="M208" s="99"/>
      <c r="N208" s="43">
        <f t="shared" si="3"/>
        <v>20464532</v>
      </c>
      <c r="O208" s="43"/>
      <c r="P208" s="23"/>
      <c r="Q208" s="23"/>
    </row>
    <row r="209" spans="1:17">
      <c r="A209" s="23"/>
      <c r="B209" s="53">
        <v>199</v>
      </c>
      <c r="C209" s="58">
        <v>21876670</v>
      </c>
      <c r="D209" s="59">
        <v>632.38787841796875</v>
      </c>
      <c r="E209" s="59">
        <v>0</v>
      </c>
      <c r="F209" s="59">
        <v>-161.5675048828125</v>
      </c>
      <c r="G209" s="42">
        <v>0</v>
      </c>
      <c r="H209" s="23"/>
      <c r="I209" s="23"/>
      <c r="J209" s="99"/>
      <c r="K209" s="99"/>
      <c r="L209" s="99"/>
      <c r="M209" s="99"/>
      <c r="N209" s="43">
        <f t="shared" si="3"/>
        <v>21876670</v>
      </c>
      <c r="O209" s="43"/>
      <c r="P209" s="23"/>
      <c r="Q209" s="23"/>
    </row>
    <row r="210" spans="1:17">
      <c r="A210" s="23"/>
      <c r="B210" s="54">
        <v>200</v>
      </c>
      <c r="C210" s="58">
        <v>23386252</v>
      </c>
      <c r="D210" s="60">
        <v>536.2681884765625</v>
      </c>
      <c r="E210" s="59">
        <v>0</v>
      </c>
      <c r="F210" s="59">
        <v>-166.49580383300781</v>
      </c>
      <c r="G210" s="42">
        <v>0</v>
      </c>
      <c r="H210" s="23"/>
      <c r="I210" s="23"/>
      <c r="J210" s="99"/>
      <c r="K210" s="99"/>
      <c r="L210" s="99"/>
      <c r="M210" s="99"/>
      <c r="N210" s="43">
        <f t="shared" si="3"/>
        <v>23386252</v>
      </c>
      <c r="O210" s="43"/>
      <c r="P210" s="23"/>
      <c r="Q210" s="23"/>
    </row>
    <row r="211" spans="1:17">
      <c r="A211" s="23"/>
      <c r="B211" s="55">
        <v>201</v>
      </c>
      <c r="C211" s="61">
        <v>25000000</v>
      </c>
      <c r="D211" s="61">
        <v>445.847900390625</v>
      </c>
      <c r="E211" s="61">
        <v>0</v>
      </c>
      <c r="F211" s="61">
        <v>-171.3179931640625</v>
      </c>
      <c r="G211" s="62">
        <v>0</v>
      </c>
      <c r="H211" s="23"/>
      <c r="I211" s="23"/>
      <c r="J211" s="99"/>
      <c r="K211" s="99"/>
      <c r="L211" s="99"/>
      <c r="M211" s="99"/>
      <c r="N211" s="43">
        <f t="shared" si="3"/>
        <v>25000000</v>
      </c>
      <c r="O211" s="43"/>
      <c r="P211" s="23"/>
      <c r="Q211" s="23"/>
    </row>
    <row r="212" spans="1:17">
      <c r="A212" s="23"/>
      <c r="B212" s="56"/>
      <c r="C212" s="63"/>
      <c r="D212" s="63"/>
      <c r="E212" s="63"/>
      <c r="F212" s="64"/>
      <c r="G212" s="64"/>
      <c r="H212" s="23"/>
      <c r="I212" s="23"/>
      <c r="J212" s="99"/>
      <c r="K212" s="99"/>
      <c r="L212" s="99"/>
      <c r="M212" s="99"/>
      <c r="N212" s="43">
        <f t="shared" si="3"/>
        <v>0</v>
      </c>
      <c r="O212" s="43"/>
      <c r="P212" s="23"/>
      <c r="Q212" s="23"/>
    </row>
    <row r="213" spans="1:17">
      <c r="A213" s="23"/>
      <c r="B213" s="56"/>
      <c r="C213" s="63"/>
      <c r="D213" s="63"/>
      <c r="E213" s="63"/>
      <c r="F213" s="63"/>
      <c r="G213" s="63"/>
      <c r="H213" s="23"/>
      <c r="I213" s="23"/>
      <c r="J213" s="99"/>
      <c r="K213" s="99"/>
      <c r="L213" s="99"/>
      <c r="M213" s="99"/>
      <c r="N213" s="43">
        <f t="shared" si="3"/>
        <v>0</v>
      </c>
      <c r="O213" s="48"/>
      <c r="P213" s="23"/>
      <c r="Q213" s="23"/>
    </row>
    <row r="214" spans="1:17">
      <c r="A214" s="23"/>
      <c r="B214" s="56"/>
      <c r="C214" s="63"/>
      <c r="D214" s="63"/>
      <c r="E214" s="63"/>
      <c r="F214" s="63"/>
      <c r="G214" s="63"/>
      <c r="H214" s="23"/>
      <c r="I214" s="23"/>
      <c r="J214" s="99"/>
      <c r="K214" s="99"/>
      <c r="L214" s="99"/>
      <c r="M214" s="99"/>
      <c r="N214" s="43">
        <f t="shared" si="3"/>
        <v>0</v>
      </c>
      <c r="O214" s="48"/>
      <c r="P214" s="23"/>
      <c r="Q214" s="23"/>
    </row>
    <row r="215" spans="1:17">
      <c r="A215" s="23"/>
      <c r="B215" s="56"/>
      <c r="C215" s="63"/>
      <c r="D215" s="63"/>
      <c r="E215" s="63"/>
      <c r="F215" s="63"/>
      <c r="G215" s="63"/>
      <c r="H215" s="23"/>
      <c r="I215" s="23"/>
      <c r="J215" s="99"/>
      <c r="K215" s="99"/>
      <c r="L215" s="99"/>
      <c r="M215" s="99"/>
      <c r="N215" s="43">
        <f t="shared" si="3"/>
        <v>0</v>
      </c>
      <c r="O215" s="48"/>
      <c r="P215" s="23"/>
      <c r="Q215" s="23"/>
    </row>
    <row r="216" spans="1:17">
      <c r="A216" s="23"/>
      <c r="B216" s="56"/>
      <c r="C216" s="63"/>
      <c r="D216" s="63"/>
      <c r="E216" s="63"/>
      <c r="F216" s="63"/>
      <c r="G216" s="63"/>
      <c r="H216" s="23"/>
      <c r="I216" s="23"/>
      <c r="J216" s="99"/>
      <c r="K216" s="99"/>
      <c r="L216" s="99"/>
      <c r="M216" s="99"/>
      <c r="N216" s="43">
        <f t="shared" si="3"/>
        <v>0</v>
      </c>
      <c r="O216" s="48"/>
      <c r="P216" s="23"/>
      <c r="Q216" s="23"/>
    </row>
    <row r="217" spans="1:17">
      <c r="A217" s="23"/>
      <c r="B217" s="56"/>
      <c r="C217" s="63"/>
      <c r="D217" s="63"/>
      <c r="E217" s="63"/>
      <c r="F217" s="63"/>
      <c r="G217" s="63"/>
      <c r="H217" s="23"/>
      <c r="I217" s="23"/>
      <c r="J217" s="99"/>
      <c r="K217" s="99"/>
      <c r="L217" s="99"/>
      <c r="M217" s="99"/>
      <c r="N217" s="43">
        <f t="shared" si="3"/>
        <v>0</v>
      </c>
      <c r="O217" s="48"/>
      <c r="P217" s="23"/>
      <c r="Q217" s="23"/>
    </row>
    <row r="218" spans="1:17">
      <c r="A218" s="23"/>
      <c r="B218" s="56"/>
      <c r="C218" s="63"/>
      <c r="D218" s="63"/>
      <c r="E218" s="63"/>
      <c r="F218" s="63"/>
      <c r="G218" s="63"/>
      <c r="H218" s="23"/>
      <c r="I218" s="23"/>
      <c r="J218" s="99"/>
      <c r="K218" s="99"/>
      <c r="L218" s="99"/>
      <c r="M218" s="99"/>
      <c r="N218" s="43">
        <f t="shared" si="3"/>
        <v>0</v>
      </c>
      <c r="O218" s="48"/>
      <c r="P218" s="23"/>
      <c r="Q218" s="23"/>
    </row>
    <row r="219" spans="1:17">
      <c r="A219" s="23"/>
      <c r="B219" s="56"/>
      <c r="C219" s="63"/>
      <c r="D219" s="63"/>
      <c r="E219" s="63"/>
      <c r="F219" s="63"/>
      <c r="G219" s="63"/>
      <c r="H219" s="23"/>
      <c r="I219" s="23"/>
      <c r="J219" s="99"/>
      <c r="K219" s="99"/>
      <c r="L219" s="99"/>
      <c r="M219" s="99"/>
      <c r="N219" s="43">
        <f t="shared" si="3"/>
        <v>0</v>
      </c>
      <c r="O219" s="48"/>
      <c r="P219" s="23"/>
      <c r="Q219" s="23"/>
    </row>
    <row r="220" spans="1:17">
      <c r="A220" s="23"/>
      <c r="B220" s="56"/>
      <c r="C220" s="63"/>
      <c r="D220" s="63"/>
      <c r="E220" s="63"/>
      <c r="F220" s="63"/>
      <c r="G220" s="63"/>
      <c r="H220" s="23"/>
      <c r="I220" s="23"/>
      <c r="J220" s="99"/>
      <c r="K220" s="99"/>
      <c r="L220" s="99"/>
      <c r="M220" s="99"/>
      <c r="N220" s="43">
        <f t="shared" si="3"/>
        <v>0</v>
      </c>
      <c r="O220" s="48"/>
      <c r="P220" s="23"/>
      <c r="Q220" s="23"/>
    </row>
    <row r="221" spans="1:17">
      <c r="A221" s="23"/>
      <c r="B221" s="56"/>
      <c r="C221" s="63"/>
      <c r="D221" s="63"/>
      <c r="E221" s="63"/>
      <c r="F221" s="63"/>
      <c r="G221" s="63"/>
      <c r="H221" s="23"/>
      <c r="I221" s="23"/>
      <c r="J221" s="99"/>
      <c r="K221" s="99"/>
      <c r="L221" s="99"/>
      <c r="M221" s="99"/>
      <c r="N221" s="43">
        <f t="shared" si="3"/>
        <v>0</v>
      </c>
      <c r="O221" s="48"/>
      <c r="P221" s="23"/>
      <c r="Q221" s="23"/>
    </row>
    <row r="222" spans="1:17">
      <c r="A222" s="23"/>
      <c r="B222" s="56"/>
      <c r="C222" s="63"/>
      <c r="D222" s="63"/>
      <c r="E222" s="63"/>
      <c r="F222" s="63"/>
      <c r="G222" s="63"/>
      <c r="H222" s="23"/>
      <c r="I222" s="23"/>
      <c r="J222" s="99"/>
      <c r="K222" s="99"/>
      <c r="L222" s="99"/>
      <c r="M222" s="99"/>
      <c r="N222" s="43">
        <f t="shared" si="3"/>
        <v>0</v>
      </c>
      <c r="O222" s="48"/>
      <c r="P222" s="23"/>
      <c r="Q222" s="23"/>
    </row>
    <row r="223" spans="1:17">
      <c r="A223" s="23"/>
      <c r="B223" s="56"/>
      <c r="C223" s="63"/>
      <c r="D223" s="63"/>
      <c r="E223" s="63"/>
      <c r="F223" s="63"/>
      <c r="G223" s="63"/>
      <c r="H223" s="23"/>
      <c r="I223" s="23"/>
      <c r="J223" s="99"/>
      <c r="K223" s="99"/>
      <c r="L223" s="99"/>
      <c r="M223" s="99"/>
      <c r="N223" s="43">
        <f t="shared" si="3"/>
        <v>0</v>
      </c>
      <c r="O223" s="48"/>
      <c r="P223" s="23"/>
      <c r="Q223" s="23"/>
    </row>
    <row r="224" spans="1:17">
      <c r="A224" s="23"/>
      <c r="B224" s="56"/>
      <c r="C224" s="63"/>
      <c r="D224" s="63"/>
      <c r="E224" s="63"/>
      <c r="F224" s="63"/>
      <c r="G224" s="63"/>
      <c r="H224" s="23"/>
      <c r="I224" s="23"/>
      <c r="J224" s="99"/>
      <c r="K224" s="99"/>
      <c r="L224" s="99"/>
      <c r="M224" s="99"/>
      <c r="N224" s="43">
        <f t="shared" si="3"/>
        <v>0</v>
      </c>
      <c r="O224" s="48"/>
      <c r="P224" s="23"/>
      <c r="Q224" s="23"/>
    </row>
    <row r="225" spans="1:17">
      <c r="A225" s="23"/>
      <c r="B225" s="56"/>
      <c r="C225" s="63"/>
      <c r="D225" s="63"/>
      <c r="E225" s="63"/>
      <c r="F225" s="63"/>
      <c r="G225" s="63"/>
      <c r="H225" s="23"/>
      <c r="I225" s="23"/>
      <c r="J225" s="99"/>
      <c r="K225" s="99"/>
      <c r="L225" s="99"/>
      <c r="M225" s="99"/>
      <c r="N225" s="43">
        <f t="shared" si="3"/>
        <v>0</v>
      </c>
      <c r="O225" s="48"/>
      <c r="P225" s="23"/>
      <c r="Q225" s="23"/>
    </row>
    <row r="226" spans="1:17">
      <c r="A226" s="23"/>
      <c r="B226" s="56"/>
      <c r="C226" s="63"/>
      <c r="D226" s="63"/>
      <c r="E226" s="63"/>
      <c r="F226" s="63"/>
      <c r="G226" s="63"/>
      <c r="H226" s="23"/>
      <c r="I226" s="23"/>
      <c r="J226" s="99"/>
      <c r="K226" s="99"/>
      <c r="L226" s="99"/>
      <c r="M226" s="99"/>
      <c r="N226" s="43">
        <f t="shared" si="3"/>
        <v>0</v>
      </c>
      <c r="O226" s="48"/>
      <c r="P226" s="23"/>
      <c r="Q226" s="23"/>
    </row>
    <row r="227" spans="1:17">
      <c r="B227" s="57"/>
      <c r="C227" s="60"/>
      <c r="D227" s="60"/>
      <c r="E227" s="60"/>
      <c r="F227" s="60"/>
      <c r="G227" s="60"/>
      <c r="J227" s="99"/>
      <c r="K227" s="99"/>
      <c r="L227" s="99"/>
      <c r="M227" s="99"/>
      <c r="N227" s="43">
        <f t="shared" si="3"/>
        <v>0</v>
      </c>
    </row>
    <row r="228" spans="1:17">
      <c r="B228" s="57"/>
      <c r="C228" s="60"/>
      <c r="D228" s="60"/>
      <c r="E228" s="60"/>
      <c r="F228" s="60"/>
      <c r="G228" s="60"/>
      <c r="J228" s="99"/>
      <c r="K228" s="99"/>
      <c r="L228" s="99"/>
      <c r="M228" s="99"/>
      <c r="N228" s="43">
        <f t="shared" si="3"/>
        <v>0</v>
      </c>
    </row>
    <row r="229" spans="1:17">
      <c r="B229" s="57"/>
      <c r="C229" s="60"/>
      <c r="D229" s="60"/>
      <c r="E229" s="60"/>
      <c r="F229" s="60"/>
      <c r="G229" s="60"/>
      <c r="J229" s="99"/>
      <c r="K229" s="99"/>
      <c r="L229" s="99"/>
      <c r="M229" s="99"/>
      <c r="N229" s="43">
        <f t="shared" si="3"/>
        <v>0</v>
      </c>
    </row>
    <row r="230" spans="1:17">
      <c r="B230" s="57"/>
      <c r="C230" s="60"/>
      <c r="D230" s="60"/>
      <c r="E230" s="60"/>
      <c r="F230" s="60"/>
      <c r="G230" s="60"/>
      <c r="J230" s="99"/>
      <c r="K230" s="99"/>
      <c r="L230" s="99"/>
      <c r="M230" s="99"/>
      <c r="N230" s="43">
        <f t="shared" si="3"/>
        <v>0</v>
      </c>
    </row>
    <row r="231" spans="1:17">
      <c r="B231" s="57"/>
      <c r="C231" s="60"/>
      <c r="D231" s="60"/>
      <c r="E231" s="60"/>
      <c r="F231" s="60"/>
      <c r="G231" s="60"/>
      <c r="J231" s="99"/>
      <c r="K231" s="99"/>
      <c r="L231" s="99"/>
      <c r="M231" s="99"/>
      <c r="N231" s="43">
        <f t="shared" si="3"/>
        <v>0</v>
      </c>
    </row>
    <row r="232" spans="1:17">
      <c r="B232" s="57"/>
      <c r="C232" s="60"/>
      <c r="D232" s="60"/>
      <c r="E232" s="60"/>
      <c r="F232" s="60"/>
      <c r="G232" s="60"/>
      <c r="J232" s="99"/>
      <c r="K232" s="99"/>
      <c r="L232" s="99"/>
      <c r="M232" s="99"/>
      <c r="N232" s="43">
        <f t="shared" si="3"/>
        <v>0</v>
      </c>
    </row>
    <row r="233" spans="1:17">
      <c r="B233" s="57"/>
      <c r="C233" s="60"/>
      <c r="D233" s="60"/>
      <c r="E233" s="60"/>
      <c r="F233" s="60"/>
      <c r="G233" s="60"/>
      <c r="J233" s="99"/>
      <c r="K233" s="99"/>
      <c r="L233" s="99"/>
      <c r="M233" s="99"/>
      <c r="N233" s="43">
        <f t="shared" si="3"/>
        <v>0</v>
      </c>
    </row>
    <row r="234" spans="1:17">
      <c r="B234" s="57"/>
      <c r="C234" s="60"/>
      <c r="D234" s="60"/>
      <c r="E234" s="60"/>
      <c r="F234" s="60"/>
      <c r="G234" s="60"/>
      <c r="J234" s="99"/>
      <c r="K234" s="99"/>
      <c r="L234" s="99"/>
      <c r="M234" s="99"/>
      <c r="N234" s="43">
        <f t="shared" si="3"/>
        <v>0</v>
      </c>
    </row>
    <row r="235" spans="1:17">
      <c r="B235" s="57"/>
      <c r="C235" s="60"/>
      <c r="D235" s="60"/>
      <c r="E235" s="60"/>
      <c r="F235" s="60"/>
      <c r="G235" s="60"/>
      <c r="J235" s="99"/>
      <c r="K235" s="99"/>
      <c r="L235" s="99"/>
      <c r="M235" s="99"/>
      <c r="N235" s="43">
        <f t="shared" si="3"/>
        <v>0</v>
      </c>
    </row>
    <row r="236" spans="1:17">
      <c r="B236" s="57"/>
      <c r="C236" s="60"/>
      <c r="D236" s="60"/>
      <c r="E236" s="60"/>
      <c r="F236" s="60"/>
      <c r="G236" s="60"/>
      <c r="J236" s="99"/>
      <c r="K236" s="99"/>
      <c r="L236" s="99"/>
      <c r="M236" s="99"/>
      <c r="N236" s="43">
        <f t="shared" si="3"/>
        <v>0</v>
      </c>
    </row>
    <row r="237" spans="1:17">
      <c r="B237" s="57"/>
      <c r="C237" s="60"/>
      <c r="D237" s="60"/>
      <c r="E237" s="60"/>
      <c r="F237" s="60"/>
      <c r="G237" s="60"/>
      <c r="J237" s="99"/>
      <c r="K237" s="99"/>
      <c r="L237" s="99"/>
      <c r="M237" s="99"/>
      <c r="N237" s="43">
        <f t="shared" si="3"/>
        <v>0</v>
      </c>
    </row>
    <row r="238" spans="1:17">
      <c r="B238" s="57"/>
      <c r="C238" s="60"/>
      <c r="D238" s="60"/>
      <c r="E238" s="60"/>
      <c r="F238" s="60"/>
      <c r="G238" s="60"/>
      <c r="J238" s="99"/>
      <c r="K238" s="99"/>
      <c r="L238" s="99"/>
      <c r="M238" s="99"/>
      <c r="N238" s="43">
        <f t="shared" si="3"/>
        <v>0</v>
      </c>
    </row>
    <row r="239" spans="1:17">
      <c r="B239" s="57"/>
      <c r="C239" s="60"/>
      <c r="D239" s="60"/>
      <c r="E239" s="60"/>
      <c r="F239" s="60"/>
      <c r="G239" s="60"/>
      <c r="J239" s="99"/>
      <c r="K239" s="99"/>
      <c r="L239" s="99"/>
      <c r="M239" s="99"/>
      <c r="N239" s="43">
        <f t="shared" si="3"/>
        <v>0</v>
      </c>
    </row>
    <row r="240" spans="1:17">
      <c r="B240" s="57"/>
      <c r="C240" s="60"/>
      <c r="D240" s="60"/>
      <c r="E240" s="60"/>
      <c r="F240" s="60"/>
      <c r="G240" s="60"/>
      <c r="J240" s="99"/>
      <c r="K240" s="99"/>
      <c r="L240" s="99"/>
      <c r="M240" s="99"/>
      <c r="N240" s="43">
        <f t="shared" si="3"/>
        <v>0</v>
      </c>
    </row>
    <row r="241" spans="2:14">
      <c r="B241" s="57"/>
      <c r="C241" s="60"/>
      <c r="D241" s="60"/>
      <c r="E241" s="60"/>
      <c r="F241" s="60"/>
      <c r="G241" s="60"/>
      <c r="J241" s="99"/>
      <c r="K241" s="99"/>
      <c r="L241" s="99"/>
      <c r="M241" s="99"/>
      <c r="N241" s="43">
        <f t="shared" si="3"/>
        <v>0</v>
      </c>
    </row>
    <row r="242" spans="2:14">
      <c r="B242" s="57"/>
      <c r="C242" s="60"/>
      <c r="D242" s="60"/>
      <c r="E242" s="60"/>
      <c r="F242" s="60"/>
      <c r="G242" s="60"/>
      <c r="J242" s="99"/>
      <c r="K242" s="99"/>
      <c r="L242" s="99"/>
      <c r="M242" s="99"/>
      <c r="N242" s="43">
        <f t="shared" si="3"/>
        <v>0</v>
      </c>
    </row>
    <row r="243" spans="2:14">
      <c r="B243" s="57"/>
      <c r="C243" s="60"/>
      <c r="D243" s="60"/>
      <c r="E243" s="60"/>
      <c r="F243" s="60"/>
      <c r="G243" s="60"/>
      <c r="J243" s="99"/>
      <c r="K243" s="99"/>
      <c r="L243" s="99"/>
      <c r="M243" s="99"/>
      <c r="N243" s="43">
        <f t="shared" si="3"/>
        <v>0</v>
      </c>
    </row>
    <row r="244" spans="2:14">
      <c r="B244" s="57"/>
      <c r="C244" s="60"/>
      <c r="D244" s="60"/>
      <c r="E244" s="60"/>
      <c r="F244" s="60"/>
      <c r="G244" s="60"/>
      <c r="J244" s="99"/>
      <c r="K244" s="99"/>
      <c r="L244" s="99"/>
      <c r="M244" s="99"/>
      <c r="N244" s="43">
        <f t="shared" si="3"/>
        <v>0</v>
      </c>
    </row>
    <row r="245" spans="2:14">
      <c r="B245" s="57"/>
      <c r="C245" s="60"/>
      <c r="D245" s="60"/>
      <c r="E245" s="60"/>
      <c r="F245" s="60"/>
      <c r="G245" s="60"/>
      <c r="J245" s="99"/>
      <c r="K245" s="99"/>
      <c r="L245" s="99"/>
      <c r="M245" s="99"/>
      <c r="N245" s="43">
        <f t="shared" si="3"/>
        <v>0</v>
      </c>
    </row>
    <row r="246" spans="2:14">
      <c r="B246" s="57"/>
      <c r="C246" s="60"/>
      <c r="D246" s="60"/>
      <c r="E246" s="60"/>
      <c r="F246" s="60"/>
      <c r="G246" s="60"/>
      <c r="J246" s="99"/>
      <c r="K246" s="99"/>
      <c r="L246" s="99"/>
      <c r="M246" s="99"/>
      <c r="N246" s="43">
        <f t="shared" si="3"/>
        <v>0</v>
      </c>
    </row>
    <row r="247" spans="2:14">
      <c r="B247" s="57"/>
      <c r="C247" s="60"/>
      <c r="D247" s="60"/>
      <c r="E247" s="60"/>
      <c r="F247" s="60"/>
      <c r="G247" s="60"/>
      <c r="J247" s="99"/>
      <c r="K247" s="99"/>
      <c r="L247" s="99"/>
      <c r="M247" s="99"/>
      <c r="N247" s="43">
        <f t="shared" si="3"/>
        <v>0</v>
      </c>
    </row>
    <row r="248" spans="2:14">
      <c r="B248" s="57"/>
      <c r="C248" s="60"/>
      <c r="D248" s="60"/>
      <c r="E248" s="60"/>
      <c r="F248" s="60"/>
      <c r="G248" s="60"/>
      <c r="J248" s="99"/>
      <c r="K248" s="99"/>
      <c r="L248" s="99"/>
      <c r="M248" s="99"/>
      <c r="N248" s="43">
        <f t="shared" si="3"/>
        <v>0</v>
      </c>
    </row>
    <row r="249" spans="2:14">
      <c r="B249" s="57"/>
      <c r="C249" s="60"/>
      <c r="D249" s="60"/>
      <c r="E249" s="60"/>
      <c r="F249" s="60"/>
      <c r="G249" s="60"/>
      <c r="J249" s="99"/>
      <c r="K249" s="99"/>
      <c r="L249" s="99"/>
      <c r="M249" s="99"/>
      <c r="N249" s="43">
        <f t="shared" si="3"/>
        <v>0</v>
      </c>
    </row>
    <row r="250" spans="2:14">
      <c r="B250" s="57"/>
      <c r="C250" s="60"/>
      <c r="D250" s="60"/>
      <c r="E250" s="60"/>
      <c r="F250" s="60"/>
      <c r="G250" s="60"/>
      <c r="J250" s="99"/>
      <c r="K250" s="99"/>
      <c r="L250" s="99"/>
      <c r="M250" s="99"/>
      <c r="N250" s="43">
        <f t="shared" si="3"/>
        <v>0</v>
      </c>
    </row>
    <row r="251" spans="2:14">
      <c r="B251" s="57"/>
      <c r="C251" s="60"/>
      <c r="D251" s="60"/>
      <c r="E251" s="60"/>
      <c r="F251" s="60"/>
      <c r="G251" s="60"/>
      <c r="J251" s="99"/>
      <c r="K251" s="99"/>
      <c r="L251" s="99"/>
      <c r="M251" s="99"/>
      <c r="N251" s="43">
        <f t="shared" si="3"/>
        <v>0</v>
      </c>
    </row>
    <row r="252" spans="2:14">
      <c r="B252" s="57"/>
      <c r="C252" s="60"/>
      <c r="D252" s="60"/>
      <c r="E252" s="60"/>
      <c r="F252" s="60"/>
      <c r="G252" s="60"/>
      <c r="J252" s="99"/>
      <c r="K252" s="99"/>
      <c r="L252" s="99"/>
      <c r="M252" s="99"/>
      <c r="N252" s="43">
        <f t="shared" si="3"/>
        <v>0</v>
      </c>
    </row>
    <row r="253" spans="2:14">
      <c r="B253" s="57"/>
      <c r="C253" s="60"/>
      <c r="D253" s="60"/>
      <c r="E253" s="60"/>
      <c r="F253" s="60"/>
      <c r="G253" s="60"/>
      <c r="J253" s="99"/>
      <c r="K253" s="99"/>
      <c r="L253" s="99"/>
      <c r="M253" s="99"/>
      <c r="N253" s="43">
        <f t="shared" si="3"/>
        <v>0</v>
      </c>
    </row>
    <row r="254" spans="2:14">
      <c r="B254" s="57"/>
      <c r="C254" s="60"/>
      <c r="D254" s="60"/>
      <c r="E254" s="60"/>
      <c r="F254" s="60"/>
      <c r="G254" s="60"/>
      <c r="J254" s="99"/>
      <c r="K254" s="99"/>
      <c r="L254" s="99"/>
      <c r="M254" s="99"/>
      <c r="N254" s="43">
        <f t="shared" si="3"/>
        <v>0</v>
      </c>
    </row>
    <row r="255" spans="2:14">
      <c r="B255" s="57"/>
      <c r="C255" s="60"/>
      <c r="D255" s="60"/>
      <c r="E255" s="60"/>
      <c r="F255" s="60"/>
      <c r="G255" s="60"/>
      <c r="J255" s="99"/>
      <c r="K255" s="99"/>
      <c r="L255" s="99"/>
      <c r="M255" s="99"/>
      <c r="N255" s="43">
        <f t="shared" si="3"/>
        <v>0</v>
      </c>
    </row>
    <row r="256" spans="2:14">
      <c r="B256" s="57"/>
      <c r="C256" s="60"/>
      <c r="D256" s="60"/>
      <c r="E256" s="60"/>
      <c r="F256" s="60"/>
      <c r="G256" s="60"/>
      <c r="J256" s="99"/>
      <c r="K256" s="99"/>
      <c r="L256" s="99"/>
      <c r="M256" s="99"/>
      <c r="N256" s="43">
        <f t="shared" si="3"/>
        <v>0</v>
      </c>
    </row>
    <row r="257" spans="2:14">
      <c r="B257" s="57"/>
      <c r="C257" s="60"/>
      <c r="D257" s="60"/>
      <c r="E257" s="60"/>
      <c r="F257" s="60"/>
      <c r="G257" s="60"/>
      <c r="J257" s="99"/>
      <c r="K257" s="99"/>
      <c r="L257" s="99"/>
      <c r="M257" s="99"/>
      <c r="N257" s="43">
        <f t="shared" si="3"/>
        <v>0</v>
      </c>
    </row>
    <row r="258" spans="2:14">
      <c r="B258" s="57"/>
      <c r="C258" s="60"/>
      <c r="D258" s="60"/>
      <c r="E258" s="60"/>
      <c r="F258" s="60"/>
      <c r="G258" s="60"/>
      <c r="J258" s="99"/>
      <c r="K258" s="99"/>
      <c r="L258" s="99"/>
      <c r="M258" s="99"/>
      <c r="N258" s="43">
        <f t="shared" si="3"/>
        <v>0</v>
      </c>
    </row>
    <row r="259" spans="2:14">
      <c r="B259" s="57"/>
      <c r="C259" s="60"/>
      <c r="D259" s="60"/>
      <c r="E259" s="60"/>
      <c r="F259" s="60"/>
      <c r="G259" s="60"/>
      <c r="J259" s="99"/>
      <c r="K259" s="99"/>
      <c r="L259" s="99"/>
      <c r="M259" s="99"/>
      <c r="N259" s="43">
        <f t="shared" si="3"/>
        <v>0</v>
      </c>
    </row>
    <row r="260" spans="2:14">
      <c r="B260" s="57"/>
      <c r="C260" s="60"/>
      <c r="D260" s="60"/>
      <c r="E260" s="60"/>
      <c r="F260" s="60"/>
      <c r="G260" s="60"/>
      <c r="J260" s="99"/>
      <c r="K260" s="99"/>
      <c r="L260" s="99"/>
      <c r="M260" s="99"/>
      <c r="N260" s="43">
        <f t="shared" si="3"/>
        <v>0</v>
      </c>
    </row>
    <row r="261" spans="2:14">
      <c r="B261" s="57"/>
      <c r="C261" s="60"/>
      <c r="D261" s="60"/>
      <c r="E261" s="60"/>
      <c r="F261" s="60"/>
      <c r="G261" s="60"/>
      <c r="J261" s="99"/>
      <c r="K261" s="99"/>
      <c r="L261" s="99"/>
      <c r="M261" s="99"/>
      <c r="N261" s="43">
        <f t="shared" si="3"/>
        <v>0</v>
      </c>
    </row>
    <row r="262" spans="2:14">
      <c r="B262" s="57"/>
      <c r="C262" s="60"/>
      <c r="D262" s="60"/>
      <c r="E262" s="60"/>
      <c r="F262" s="60"/>
      <c r="G262" s="60"/>
      <c r="J262" s="99"/>
      <c r="K262" s="99"/>
      <c r="L262" s="99"/>
      <c r="M262" s="99"/>
      <c r="N262" s="43">
        <f t="shared" si="3"/>
        <v>0</v>
      </c>
    </row>
    <row r="263" spans="2:14">
      <c r="B263" s="57"/>
      <c r="C263" s="60"/>
      <c r="D263" s="60"/>
      <c r="E263" s="60"/>
      <c r="F263" s="60"/>
      <c r="G263" s="60"/>
      <c r="J263" s="99"/>
      <c r="K263" s="99"/>
      <c r="L263" s="99"/>
      <c r="M263" s="99"/>
      <c r="N263" s="43">
        <f t="shared" si="3"/>
        <v>0</v>
      </c>
    </row>
    <row r="264" spans="2:14">
      <c r="B264" s="57"/>
      <c r="C264" s="60"/>
      <c r="D264" s="60"/>
      <c r="E264" s="60"/>
      <c r="F264" s="60"/>
      <c r="G264" s="60"/>
      <c r="J264" s="99"/>
      <c r="K264" s="99"/>
      <c r="L264" s="99"/>
      <c r="M264" s="99"/>
      <c r="N264" s="43">
        <f t="shared" si="3"/>
        <v>0</v>
      </c>
    </row>
    <row r="265" spans="2:14">
      <c r="B265" s="57"/>
      <c r="C265" s="60"/>
      <c r="D265" s="60"/>
      <c r="E265" s="60"/>
      <c r="F265" s="60"/>
      <c r="G265" s="60"/>
      <c r="J265" s="99"/>
      <c r="K265" s="99"/>
      <c r="L265" s="99"/>
      <c r="M265" s="99"/>
      <c r="N265" s="43">
        <f t="shared" si="3"/>
        <v>0</v>
      </c>
    </row>
    <row r="266" spans="2:14">
      <c r="B266" s="57"/>
      <c r="C266" s="60"/>
      <c r="D266" s="60"/>
      <c r="E266" s="60"/>
      <c r="F266" s="60"/>
      <c r="G266" s="60"/>
      <c r="J266" s="99"/>
      <c r="K266" s="99"/>
      <c r="L266" s="99"/>
      <c r="M266" s="99"/>
      <c r="N266" s="43">
        <f t="shared" si="3"/>
        <v>0</v>
      </c>
    </row>
    <row r="267" spans="2:14">
      <c r="B267" s="57"/>
      <c r="C267" s="60"/>
      <c r="D267" s="60"/>
      <c r="E267" s="60"/>
      <c r="F267" s="60"/>
      <c r="G267" s="60"/>
      <c r="J267" s="99"/>
      <c r="K267" s="99"/>
      <c r="L267" s="99"/>
      <c r="M267" s="99"/>
      <c r="N267" s="43">
        <f t="shared" ref="N267:N330" si="4">IF($L$4=$C$10,C267,IF(D267="","",B267))</f>
        <v>0</v>
      </c>
    </row>
    <row r="268" spans="2:14">
      <c r="B268" s="57"/>
      <c r="C268" s="60"/>
      <c r="D268" s="60"/>
      <c r="E268" s="60"/>
      <c r="F268" s="60"/>
      <c r="G268" s="60"/>
      <c r="J268" s="99"/>
      <c r="K268" s="99"/>
      <c r="L268" s="99"/>
      <c r="M268" s="99"/>
      <c r="N268" s="43">
        <f t="shared" si="4"/>
        <v>0</v>
      </c>
    </row>
    <row r="269" spans="2:14">
      <c r="B269" s="57"/>
      <c r="C269" s="60"/>
      <c r="D269" s="60"/>
      <c r="E269" s="60"/>
      <c r="F269" s="60"/>
      <c r="G269" s="60"/>
      <c r="J269" s="99"/>
      <c r="K269" s="99"/>
      <c r="L269" s="99"/>
      <c r="M269" s="99"/>
      <c r="N269" s="43">
        <f t="shared" si="4"/>
        <v>0</v>
      </c>
    </row>
    <row r="270" spans="2:14">
      <c r="B270" s="57"/>
      <c r="C270" s="60"/>
      <c r="D270" s="60"/>
      <c r="E270" s="60"/>
      <c r="F270" s="60"/>
      <c r="G270" s="60"/>
      <c r="J270" s="99"/>
      <c r="K270" s="99"/>
      <c r="L270" s="99"/>
      <c r="M270" s="99"/>
      <c r="N270" s="43">
        <f t="shared" si="4"/>
        <v>0</v>
      </c>
    </row>
    <row r="271" spans="2:14">
      <c r="B271" s="57"/>
      <c r="C271" s="60"/>
      <c r="D271" s="60"/>
      <c r="E271" s="60"/>
      <c r="F271" s="60"/>
      <c r="G271" s="60"/>
      <c r="J271" s="99"/>
      <c r="K271" s="99"/>
      <c r="L271" s="99"/>
      <c r="M271" s="99"/>
      <c r="N271" s="43">
        <f t="shared" si="4"/>
        <v>0</v>
      </c>
    </row>
    <row r="272" spans="2:14">
      <c r="B272" s="57"/>
      <c r="C272" s="60"/>
      <c r="D272" s="60"/>
      <c r="E272" s="60"/>
      <c r="F272" s="60"/>
      <c r="G272" s="60"/>
      <c r="J272" s="99"/>
      <c r="K272" s="99"/>
      <c r="L272" s="99"/>
      <c r="M272" s="99"/>
      <c r="N272" s="43">
        <f t="shared" si="4"/>
        <v>0</v>
      </c>
    </row>
    <row r="273" spans="2:14">
      <c r="B273" s="57"/>
      <c r="C273" s="60"/>
      <c r="D273" s="60"/>
      <c r="E273" s="60"/>
      <c r="F273" s="60"/>
      <c r="G273" s="60"/>
      <c r="J273" s="99"/>
      <c r="K273" s="99"/>
      <c r="L273" s="99"/>
      <c r="M273" s="99"/>
      <c r="N273" s="43">
        <f t="shared" si="4"/>
        <v>0</v>
      </c>
    </row>
    <row r="274" spans="2:14">
      <c r="B274" s="57"/>
      <c r="C274" s="60"/>
      <c r="D274" s="60"/>
      <c r="E274" s="60"/>
      <c r="F274" s="60"/>
      <c r="G274" s="60"/>
      <c r="J274" s="99"/>
      <c r="K274" s="99"/>
      <c r="L274" s="99"/>
      <c r="M274" s="99"/>
      <c r="N274" s="43">
        <f t="shared" si="4"/>
        <v>0</v>
      </c>
    </row>
    <row r="275" spans="2:14">
      <c r="B275" s="57"/>
      <c r="C275" s="60"/>
      <c r="D275" s="60"/>
      <c r="E275" s="60"/>
      <c r="F275" s="60"/>
      <c r="G275" s="60"/>
      <c r="J275" s="99"/>
      <c r="K275" s="99"/>
      <c r="L275" s="99"/>
      <c r="M275" s="99"/>
      <c r="N275" s="43">
        <f t="shared" si="4"/>
        <v>0</v>
      </c>
    </row>
    <row r="276" spans="2:14">
      <c r="B276" s="57"/>
      <c r="C276" s="60"/>
      <c r="D276" s="60"/>
      <c r="E276" s="60"/>
      <c r="F276" s="60"/>
      <c r="G276" s="60"/>
      <c r="J276" s="99"/>
      <c r="K276" s="99"/>
      <c r="L276" s="99"/>
      <c r="M276" s="99"/>
      <c r="N276" s="43">
        <f t="shared" si="4"/>
        <v>0</v>
      </c>
    </row>
    <row r="277" spans="2:14">
      <c r="B277" s="57"/>
      <c r="C277" s="60"/>
      <c r="D277" s="60"/>
      <c r="E277" s="60"/>
      <c r="F277" s="60"/>
      <c r="G277" s="60"/>
      <c r="J277" s="99"/>
      <c r="K277" s="99"/>
      <c r="L277" s="99"/>
      <c r="M277" s="99"/>
      <c r="N277" s="43">
        <f t="shared" si="4"/>
        <v>0</v>
      </c>
    </row>
    <row r="278" spans="2:14">
      <c r="B278" s="57"/>
      <c r="C278" s="60"/>
      <c r="D278" s="60"/>
      <c r="E278" s="60"/>
      <c r="F278" s="60"/>
      <c r="G278" s="60"/>
      <c r="J278" s="99"/>
      <c r="K278" s="99"/>
      <c r="L278" s="99"/>
      <c r="M278" s="99"/>
      <c r="N278" s="43">
        <f t="shared" si="4"/>
        <v>0</v>
      </c>
    </row>
    <row r="279" spans="2:14">
      <c r="B279" s="57"/>
      <c r="C279" s="60"/>
      <c r="D279" s="60"/>
      <c r="E279" s="60"/>
      <c r="F279" s="60"/>
      <c r="G279" s="60"/>
      <c r="J279" s="99"/>
      <c r="K279" s="99"/>
      <c r="L279" s="99"/>
      <c r="M279" s="99"/>
      <c r="N279" s="43">
        <f t="shared" si="4"/>
        <v>0</v>
      </c>
    </row>
    <row r="280" spans="2:14">
      <c r="B280" s="57"/>
      <c r="C280" s="60"/>
      <c r="D280" s="60"/>
      <c r="E280" s="60"/>
      <c r="F280" s="60"/>
      <c r="G280" s="60"/>
      <c r="J280" s="99"/>
      <c r="K280" s="99"/>
      <c r="L280" s="99"/>
      <c r="M280" s="99"/>
      <c r="N280" s="43">
        <f t="shared" si="4"/>
        <v>0</v>
      </c>
    </row>
    <row r="281" spans="2:14">
      <c r="B281" s="57"/>
      <c r="C281" s="60"/>
      <c r="D281" s="60"/>
      <c r="E281" s="60"/>
      <c r="F281" s="60"/>
      <c r="G281" s="60"/>
      <c r="J281" s="99"/>
      <c r="K281" s="99"/>
      <c r="L281" s="99"/>
      <c r="M281" s="99"/>
      <c r="N281" s="43">
        <f t="shared" si="4"/>
        <v>0</v>
      </c>
    </row>
    <row r="282" spans="2:14">
      <c r="B282" s="57"/>
      <c r="C282" s="60"/>
      <c r="D282" s="60"/>
      <c r="E282" s="60"/>
      <c r="F282" s="60"/>
      <c r="G282" s="60"/>
      <c r="J282" s="99"/>
      <c r="K282" s="99"/>
      <c r="L282" s="99"/>
      <c r="M282" s="99"/>
      <c r="N282" s="43">
        <f t="shared" si="4"/>
        <v>0</v>
      </c>
    </row>
    <row r="283" spans="2:14">
      <c r="B283" s="57"/>
      <c r="C283" s="60"/>
      <c r="D283" s="60"/>
      <c r="E283" s="60"/>
      <c r="F283" s="60"/>
      <c r="G283" s="60"/>
      <c r="J283" s="99"/>
      <c r="K283" s="99"/>
      <c r="L283" s="99"/>
      <c r="M283" s="99"/>
      <c r="N283" s="43">
        <f t="shared" si="4"/>
        <v>0</v>
      </c>
    </row>
    <row r="284" spans="2:14">
      <c r="B284" s="57"/>
      <c r="C284" s="60"/>
      <c r="D284" s="60"/>
      <c r="E284" s="60"/>
      <c r="F284" s="60"/>
      <c r="G284" s="60"/>
      <c r="J284" s="99"/>
      <c r="K284" s="99"/>
      <c r="L284" s="99"/>
      <c r="M284" s="99"/>
      <c r="N284" s="43">
        <f t="shared" si="4"/>
        <v>0</v>
      </c>
    </row>
    <row r="285" spans="2:14">
      <c r="B285" s="57"/>
      <c r="C285" s="60"/>
      <c r="D285" s="60"/>
      <c r="E285" s="60"/>
      <c r="F285" s="60"/>
      <c r="G285" s="60"/>
      <c r="J285" s="99"/>
      <c r="K285" s="99"/>
      <c r="L285" s="99"/>
      <c r="M285" s="99"/>
      <c r="N285" s="43">
        <f t="shared" si="4"/>
        <v>0</v>
      </c>
    </row>
    <row r="286" spans="2:14">
      <c r="B286" s="57"/>
      <c r="C286" s="60"/>
      <c r="D286" s="60"/>
      <c r="E286" s="60"/>
      <c r="F286" s="60"/>
      <c r="G286" s="60"/>
      <c r="J286" s="99"/>
      <c r="K286" s="99"/>
      <c r="L286" s="99"/>
      <c r="M286" s="99"/>
      <c r="N286" s="43">
        <f t="shared" si="4"/>
        <v>0</v>
      </c>
    </row>
    <row r="287" spans="2:14">
      <c r="B287" s="57"/>
      <c r="C287" s="60"/>
      <c r="D287" s="60"/>
      <c r="E287" s="60"/>
      <c r="F287" s="60"/>
      <c r="G287" s="60"/>
      <c r="J287" s="99"/>
      <c r="K287" s="99"/>
      <c r="L287" s="99"/>
      <c r="M287" s="99"/>
      <c r="N287" s="43">
        <f t="shared" si="4"/>
        <v>0</v>
      </c>
    </row>
    <row r="288" spans="2:14">
      <c r="B288" s="57"/>
      <c r="C288" s="60"/>
      <c r="D288" s="60"/>
      <c r="E288" s="60"/>
      <c r="F288" s="60"/>
      <c r="G288" s="60"/>
      <c r="J288" s="99"/>
      <c r="K288" s="99"/>
      <c r="L288" s="99"/>
      <c r="M288" s="99"/>
      <c r="N288" s="43">
        <f t="shared" si="4"/>
        <v>0</v>
      </c>
    </row>
    <row r="289" spans="2:14">
      <c r="B289" s="57"/>
      <c r="C289" s="60"/>
      <c r="D289" s="60"/>
      <c r="E289" s="60"/>
      <c r="F289" s="60"/>
      <c r="G289" s="60"/>
      <c r="J289" s="99"/>
      <c r="K289" s="99"/>
      <c r="L289" s="99"/>
      <c r="M289" s="99"/>
      <c r="N289" s="43">
        <f t="shared" si="4"/>
        <v>0</v>
      </c>
    </row>
    <row r="290" spans="2:14">
      <c r="B290" s="57"/>
      <c r="C290" s="60"/>
      <c r="D290" s="60"/>
      <c r="E290" s="60"/>
      <c r="F290" s="60"/>
      <c r="G290" s="60"/>
      <c r="J290" s="99"/>
      <c r="K290" s="99"/>
      <c r="L290" s="99"/>
      <c r="M290" s="99"/>
      <c r="N290" s="43">
        <f t="shared" si="4"/>
        <v>0</v>
      </c>
    </row>
    <row r="291" spans="2:14">
      <c r="B291" s="57"/>
      <c r="C291" s="60"/>
      <c r="D291" s="60"/>
      <c r="E291" s="60"/>
      <c r="F291" s="60"/>
      <c r="G291" s="60"/>
      <c r="J291" s="99"/>
      <c r="K291" s="99"/>
      <c r="L291" s="99"/>
      <c r="M291" s="99"/>
      <c r="N291" s="43">
        <f t="shared" si="4"/>
        <v>0</v>
      </c>
    </row>
    <row r="292" spans="2:14">
      <c r="B292" s="57"/>
      <c r="C292" s="60"/>
      <c r="D292" s="60"/>
      <c r="E292" s="60"/>
      <c r="F292" s="60"/>
      <c r="G292" s="60"/>
      <c r="J292" s="99"/>
      <c r="K292" s="99"/>
      <c r="L292" s="99"/>
      <c r="M292" s="99"/>
      <c r="N292" s="43">
        <f t="shared" si="4"/>
        <v>0</v>
      </c>
    </row>
    <row r="293" spans="2:14">
      <c r="B293" s="57"/>
      <c r="C293" s="60"/>
      <c r="D293" s="60"/>
      <c r="E293" s="60"/>
      <c r="F293" s="60"/>
      <c r="G293" s="60"/>
      <c r="J293" s="99"/>
      <c r="K293" s="99"/>
      <c r="L293" s="99"/>
      <c r="M293" s="99"/>
      <c r="N293" s="43">
        <f t="shared" si="4"/>
        <v>0</v>
      </c>
    </row>
    <row r="294" spans="2:14">
      <c r="B294" s="57"/>
      <c r="C294" s="60"/>
      <c r="D294" s="60"/>
      <c r="E294" s="60"/>
      <c r="F294" s="60"/>
      <c r="G294" s="60"/>
      <c r="J294" s="99"/>
      <c r="K294" s="99"/>
      <c r="L294" s="99"/>
      <c r="M294" s="99"/>
      <c r="N294" s="43">
        <f t="shared" si="4"/>
        <v>0</v>
      </c>
    </row>
    <row r="295" spans="2:14">
      <c r="B295" s="57"/>
      <c r="C295" s="60"/>
      <c r="D295" s="60"/>
      <c r="E295" s="60"/>
      <c r="F295" s="60"/>
      <c r="G295" s="60"/>
      <c r="J295" s="99"/>
      <c r="K295" s="99"/>
      <c r="L295" s="99"/>
      <c r="M295" s="99"/>
      <c r="N295" s="43">
        <f t="shared" si="4"/>
        <v>0</v>
      </c>
    </row>
    <row r="296" spans="2:14">
      <c r="B296" s="57"/>
      <c r="C296" s="60"/>
      <c r="D296" s="60"/>
      <c r="E296" s="60"/>
      <c r="F296" s="60"/>
      <c r="G296" s="60"/>
      <c r="J296" s="99"/>
      <c r="K296" s="99"/>
      <c r="L296" s="99"/>
      <c r="M296" s="99"/>
      <c r="N296" s="43">
        <f t="shared" si="4"/>
        <v>0</v>
      </c>
    </row>
    <row r="297" spans="2:14">
      <c r="B297" s="57"/>
      <c r="C297" s="60"/>
      <c r="D297" s="60"/>
      <c r="E297" s="60"/>
      <c r="F297" s="60"/>
      <c r="G297" s="60"/>
      <c r="J297" s="99"/>
      <c r="K297" s="99"/>
      <c r="L297" s="99"/>
      <c r="M297" s="99"/>
      <c r="N297" s="43">
        <f t="shared" si="4"/>
        <v>0</v>
      </c>
    </row>
    <row r="298" spans="2:14">
      <c r="B298" s="57"/>
      <c r="C298" s="60"/>
      <c r="D298" s="60"/>
      <c r="E298" s="60"/>
      <c r="F298" s="60"/>
      <c r="G298" s="60"/>
      <c r="J298" s="99"/>
      <c r="K298" s="99"/>
      <c r="L298" s="99"/>
      <c r="M298" s="99"/>
      <c r="N298" s="43">
        <f t="shared" si="4"/>
        <v>0</v>
      </c>
    </row>
    <row r="299" spans="2:14">
      <c r="B299" s="57"/>
      <c r="C299" s="60"/>
      <c r="D299" s="60"/>
      <c r="E299" s="60"/>
      <c r="F299" s="60"/>
      <c r="G299" s="60"/>
      <c r="J299" s="99"/>
      <c r="K299" s="99"/>
      <c r="L299" s="99"/>
      <c r="M299" s="99"/>
      <c r="N299" s="43">
        <f t="shared" si="4"/>
        <v>0</v>
      </c>
    </row>
    <row r="300" spans="2:14">
      <c r="B300" s="57"/>
      <c r="C300" s="60"/>
      <c r="D300" s="60"/>
      <c r="E300" s="60"/>
      <c r="F300" s="60"/>
      <c r="G300" s="60"/>
      <c r="J300" s="99"/>
      <c r="K300" s="99"/>
      <c r="L300" s="99"/>
      <c r="M300" s="99"/>
      <c r="N300" s="43">
        <f t="shared" si="4"/>
        <v>0</v>
      </c>
    </row>
    <row r="301" spans="2:14">
      <c r="B301" s="57"/>
      <c r="C301" s="60"/>
      <c r="D301" s="60"/>
      <c r="E301" s="60"/>
      <c r="F301" s="60"/>
      <c r="G301" s="60"/>
      <c r="J301" s="99"/>
      <c r="K301" s="99"/>
      <c r="L301" s="99"/>
      <c r="M301" s="99"/>
      <c r="N301" s="43">
        <f t="shared" si="4"/>
        <v>0</v>
      </c>
    </row>
    <row r="302" spans="2:14">
      <c r="B302" s="57"/>
      <c r="C302" s="60"/>
      <c r="D302" s="60"/>
      <c r="E302" s="60"/>
      <c r="F302" s="60"/>
      <c r="G302" s="60"/>
      <c r="J302" s="99"/>
      <c r="K302" s="99"/>
      <c r="L302" s="99"/>
      <c r="M302" s="99"/>
      <c r="N302" s="43">
        <f t="shared" si="4"/>
        <v>0</v>
      </c>
    </row>
    <row r="303" spans="2:14">
      <c r="B303" s="57"/>
      <c r="C303" s="60"/>
      <c r="D303" s="60"/>
      <c r="E303" s="60"/>
      <c r="F303" s="60"/>
      <c r="G303" s="60"/>
      <c r="J303" s="99"/>
      <c r="K303" s="99"/>
      <c r="L303" s="99"/>
      <c r="M303" s="99"/>
      <c r="N303" s="43">
        <f t="shared" si="4"/>
        <v>0</v>
      </c>
    </row>
    <row r="304" spans="2:14">
      <c r="B304" s="57"/>
      <c r="C304" s="60"/>
      <c r="D304" s="60"/>
      <c r="E304" s="60"/>
      <c r="F304" s="60"/>
      <c r="G304" s="60"/>
      <c r="J304" s="99"/>
      <c r="K304" s="99"/>
      <c r="L304" s="99"/>
      <c r="M304" s="99"/>
      <c r="N304" s="43">
        <f t="shared" si="4"/>
        <v>0</v>
      </c>
    </row>
    <row r="305" spans="2:14">
      <c r="B305" s="57"/>
      <c r="C305" s="60"/>
      <c r="D305" s="60"/>
      <c r="E305" s="60"/>
      <c r="F305" s="60"/>
      <c r="G305" s="60"/>
      <c r="J305" s="99"/>
      <c r="K305" s="99"/>
      <c r="L305" s="99"/>
      <c r="M305" s="99"/>
      <c r="N305" s="43">
        <f t="shared" si="4"/>
        <v>0</v>
      </c>
    </row>
    <row r="306" spans="2:14">
      <c r="B306" s="57"/>
      <c r="C306" s="60"/>
      <c r="D306" s="60"/>
      <c r="E306" s="60"/>
      <c r="F306" s="60"/>
      <c r="G306" s="60"/>
      <c r="J306" s="99"/>
      <c r="K306" s="99"/>
      <c r="L306" s="99"/>
      <c r="M306" s="99"/>
      <c r="N306" s="43">
        <f t="shared" si="4"/>
        <v>0</v>
      </c>
    </row>
    <row r="307" spans="2:14">
      <c r="B307" s="57"/>
      <c r="C307" s="60"/>
      <c r="D307" s="60"/>
      <c r="E307" s="60"/>
      <c r="F307" s="60"/>
      <c r="G307" s="60"/>
      <c r="J307" s="99"/>
      <c r="K307" s="99"/>
      <c r="L307" s="99"/>
      <c r="M307" s="99"/>
      <c r="N307" s="43">
        <f t="shared" si="4"/>
        <v>0</v>
      </c>
    </row>
    <row r="308" spans="2:14">
      <c r="B308" s="57"/>
      <c r="C308" s="60"/>
      <c r="D308" s="60"/>
      <c r="E308" s="60"/>
      <c r="F308" s="60"/>
      <c r="G308" s="60"/>
      <c r="J308" s="99"/>
      <c r="K308" s="99"/>
      <c r="L308" s="99"/>
      <c r="M308" s="99"/>
      <c r="N308" s="43">
        <f t="shared" si="4"/>
        <v>0</v>
      </c>
    </row>
    <row r="309" spans="2:14">
      <c r="B309" s="57"/>
      <c r="C309" s="60"/>
      <c r="D309" s="60"/>
      <c r="E309" s="60"/>
      <c r="F309" s="60"/>
      <c r="G309" s="60"/>
      <c r="J309" s="99"/>
      <c r="K309" s="99"/>
      <c r="L309" s="99"/>
      <c r="M309" s="99"/>
      <c r="N309" s="43">
        <f t="shared" si="4"/>
        <v>0</v>
      </c>
    </row>
    <row r="310" spans="2:14">
      <c r="B310" s="57"/>
      <c r="C310" s="60"/>
      <c r="D310" s="60"/>
      <c r="E310" s="60"/>
      <c r="F310" s="60"/>
      <c r="G310" s="60"/>
      <c r="J310" s="99"/>
      <c r="K310" s="99"/>
      <c r="L310" s="99"/>
      <c r="M310" s="99"/>
      <c r="N310" s="43">
        <f t="shared" si="4"/>
        <v>0</v>
      </c>
    </row>
    <row r="311" spans="2:14">
      <c r="B311" s="57"/>
      <c r="C311" s="60"/>
      <c r="D311" s="60"/>
      <c r="E311" s="60"/>
      <c r="F311" s="60"/>
      <c r="G311" s="60"/>
      <c r="J311" s="99"/>
      <c r="K311" s="99"/>
      <c r="L311" s="99"/>
      <c r="M311" s="99"/>
      <c r="N311" s="43">
        <f t="shared" si="4"/>
        <v>0</v>
      </c>
    </row>
    <row r="312" spans="2:14">
      <c r="B312" s="57"/>
      <c r="C312" s="60"/>
      <c r="D312" s="60"/>
      <c r="E312" s="60"/>
      <c r="F312" s="60"/>
      <c r="G312" s="60"/>
      <c r="J312" s="99"/>
      <c r="K312" s="99"/>
      <c r="L312" s="99"/>
      <c r="M312" s="99"/>
      <c r="N312" s="43">
        <f t="shared" si="4"/>
        <v>0</v>
      </c>
    </row>
    <row r="313" spans="2:14">
      <c r="B313" s="57"/>
      <c r="C313" s="60"/>
      <c r="D313" s="60"/>
      <c r="E313" s="60"/>
      <c r="F313" s="60"/>
      <c r="G313" s="60"/>
      <c r="J313" s="99"/>
      <c r="K313" s="99"/>
      <c r="L313" s="99"/>
      <c r="M313" s="99"/>
      <c r="N313" s="43">
        <f t="shared" si="4"/>
        <v>0</v>
      </c>
    </row>
    <row r="314" spans="2:14">
      <c r="B314" s="57"/>
      <c r="C314" s="60"/>
      <c r="D314" s="60"/>
      <c r="E314" s="60"/>
      <c r="F314" s="60"/>
      <c r="G314" s="60"/>
      <c r="J314" s="99"/>
      <c r="K314" s="99"/>
      <c r="L314" s="99"/>
      <c r="M314" s="99"/>
      <c r="N314" s="43">
        <f t="shared" si="4"/>
        <v>0</v>
      </c>
    </row>
    <row r="315" spans="2:14">
      <c r="B315" s="57"/>
      <c r="C315" s="60"/>
      <c r="D315" s="60"/>
      <c r="E315" s="60"/>
      <c r="F315" s="60"/>
      <c r="G315" s="60"/>
      <c r="J315" s="99"/>
      <c r="K315" s="99"/>
      <c r="L315" s="99"/>
      <c r="M315" s="99"/>
      <c r="N315" s="43">
        <f t="shared" si="4"/>
        <v>0</v>
      </c>
    </row>
    <row r="316" spans="2:14">
      <c r="B316" s="57"/>
      <c r="C316" s="60"/>
      <c r="D316" s="60"/>
      <c r="E316" s="60"/>
      <c r="F316" s="60"/>
      <c r="G316" s="60"/>
      <c r="J316" s="99"/>
      <c r="K316" s="99"/>
      <c r="L316" s="99"/>
      <c r="M316" s="99"/>
      <c r="N316" s="43">
        <f t="shared" si="4"/>
        <v>0</v>
      </c>
    </row>
    <row r="317" spans="2:14">
      <c r="B317" s="57"/>
      <c r="C317" s="60"/>
      <c r="D317" s="60"/>
      <c r="E317" s="60"/>
      <c r="F317" s="60"/>
      <c r="G317" s="60"/>
      <c r="J317" s="99"/>
      <c r="K317" s="99"/>
      <c r="L317" s="99"/>
      <c r="M317" s="99"/>
      <c r="N317" s="43">
        <f t="shared" si="4"/>
        <v>0</v>
      </c>
    </row>
    <row r="318" spans="2:14">
      <c r="B318" s="57"/>
      <c r="C318" s="60"/>
      <c r="D318" s="60"/>
      <c r="E318" s="60"/>
      <c r="F318" s="60"/>
      <c r="G318" s="60"/>
      <c r="J318" s="99"/>
      <c r="K318" s="99"/>
      <c r="L318" s="99"/>
      <c r="M318" s="99"/>
      <c r="N318" s="43">
        <f t="shared" si="4"/>
        <v>0</v>
      </c>
    </row>
    <row r="319" spans="2:14">
      <c r="B319" s="57"/>
      <c r="C319" s="60"/>
      <c r="D319" s="60"/>
      <c r="E319" s="60"/>
      <c r="F319" s="60"/>
      <c r="G319" s="60"/>
      <c r="J319" s="99"/>
      <c r="K319" s="99"/>
      <c r="L319" s="99"/>
      <c r="M319" s="99"/>
      <c r="N319" s="43">
        <f t="shared" si="4"/>
        <v>0</v>
      </c>
    </row>
    <row r="320" spans="2:14">
      <c r="B320" s="57"/>
      <c r="C320" s="60"/>
      <c r="D320" s="60"/>
      <c r="E320" s="60"/>
      <c r="F320" s="60"/>
      <c r="G320" s="60"/>
      <c r="J320" s="99"/>
      <c r="K320" s="99"/>
      <c r="L320" s="99"/>
      <c r="M320" s="99"/>
      <c r="N320" s="43">
        <f t="shared" si="4"/>
        <v>0</v>
      </c>
    </row>
    <row r="321" spans="2:14">
      <c r="B321" s="57"/>
      <c r="C321" s="60"/>
      <c r="D321" s="60"/>
      <c r="E321" s="60"/>
      <c r="F321" s="60"/>
      <c r="G321" s="60"/>
      <c r="J321" s="99"/>
      <c r="K321" s="99"/>
      <c r="L321" s="99"/>
      <c r="M321" s="99"/>
      <c r="N321" s="43">
        <f t="shared" si="4"/>
        <v>0</v>
      </c>
    </row>
    <row r="322" spans="2:14">
      <c r="B322" s="57"/>
      <c r="C322" s="60"/>
      <c r="D322" s="60"/>
      <c r="E322" s="60"/>
      <c r="F322" s="60"/>
      <c r="G322" s="60"/>
      <c r="J322" s="99"/>
      <c r="K322" s="99"/>
      <c r="L322" s="99"/>
      <c r="M322" s="99"/>
      <c r="N322" s="43">
        <f t="shared" si="4"/>
        <v>0</v>
      </c>
    </row>
    <row r="323" spans="2:14">
      <c r="B323" s="57"/>
      <c r="C323" s="60"/>
      <c r="D323" s="60"/>
      <c r="E323" s="60"/>
      <c r="F323" s="60"/>
      <c r="G323" s="60"/>
      <c r="J323" s="99"/>
      <c r="K323" s="99"/>
      <c r="L323" s="99"/>
      <c r="M323" s="99"/>
      <c r="N323" s="43">
        <f t="shared" si="4"/>
        <v>0</v>
      </c>
    </row>
    <row r="324" spans="2:14">
      <c r="B324" s="57"/>
      <c r="C324" s="60"/>
      <c r="D324" s="60"/>
      <c r="E324" s="60"/>
      <c r="F324" s="60"/>
      <c r="G324" s="60"/>
      <c r="J324" s="99"/>
      <c r="K324" s="99"/>
      <c r="L324" s="99"/>
      <c r="M324" s="99"/>
      <c r="N324" s="43">
        <f t="shared" si="4"/>
        <v>0</v>
      </c>
    </row>
    <row r="325" spans="2:14">
      <c r="B325" s="57"/>
      <c r="C325" s="60"/>
      <c r="D325" s="60"/>
      <c r="E325" s="60"/>
      <c r="F325" s="60"/>
      <c r="G325" s="60"/>
      <c r="J325" s="99"/>
      <c r="K325" s="99"/>
      <c r="L325" s="99"/>
      <c r="M325" s="99"/>
      <c r="N325" s="43">
        <f t="shared" si="4"/>
        <v>0</v>
      </c>
    </row>
    <row r="326" spans="2:14">
      <c r="B326" s="57"/>
      <c r="C326" s="60"/>
      <c r="D326" s="60"/>
      <c r="E326" s="60"/>
      <c r="F326" s="60"/>
      <c r="G326" s="60"/>
      <c r="J326" s="99"/>
      <c r="K326" s="99"/>
      <c r="L326" s="99"/>
      <c r="M326" s="99"/>
      <c r="N326" s="43">
        <f t="shared" si="4"/>
        <v>0</v>
      </c>
    </row>
    <row r="327" spans="2:14">
      <c r="B327" s="57"/>
      <c r="C327" s="60"/>
      <c r="D327" s="60"/>
      <c r="E327" s="60"/>
      <c r="F327" s="60"/>
      <c r="G327" s="60"/>
      <c r="J327" s="99"/>
      <c r="K327" s="99"/>
      <c r="L327" s="99"/>
      <c r="M327" s="99"/>
      <c r="N327" s="43">
        <f t="shared" si="4"/>
        <v>0</v>
      </c>
    </row>
    <row r="328" spans="2:14">
      <c r="B328" s="57"/>
      <c r="C328" s="60"/>
      <c r="D328" s="60"/>
      <c r="E328" s="60"/>
      <c r="F328" s="60"/>
      <c r="G328" s="60"/>
      <c r="J328" s="99"/>
      <c r="K328" s="99"/>
      <c r="L328" s="99"/>
      <c r="M328" s="99"/>
      <c r="N328" s="43">
        <f t="shared" si="4"/>
        <v>0</v>
      </c>
    </row>
    <row r="329" spans="2:14">
      <c r="B329" s="57"/>
      <c r="C329" s="60"/>
      <c r="D329" s="60"/>
      <c r="E329" s="60"/>
      <c r="F329" s="60"/>
      <c r="G329" s="60"/>
      <c r="J329" s="99"/>
      <c r="K329" s="99"/>
      <c r="L329" s="99"/>
      <c r="M329" s="99"/>
      <c r="N329" s="43">
        <f t="shared" si="4"/>
        <v>0</v>
      </c>
    </row>
    <row r="330" spans="2:14">
      <c r="B330" s="57"/>
      <c r="C330" s="60"/>
      <c r="D330" s="60"/>
      <c r="E330" s="60"/>
      <c r="F330" s="60"/>
      <c r="G330" s="60"/>
      <c r="J330" s="99"/>
      <c r="K330" s="99"/>
      <c r="L330" s="99"/>
      <c r="M330" s="99"/>
      <c r="N330" s="43">
        <f t="shared" si="4"/>
        <v>0</v>
      </c>
    </row>
    <row r="331" spans="2:14">
      <c r="B331" s="57"/>
      <c r="C331" s="60"/>
      <c r="D331" s="60"/>
      <c r="E331" s="60"/>
      <c r="F331" s="60"/>
      <c r="G331" s="60"/>
      <c r="J331" s="99"/>
      <c r="K331" s="99"/>
      <c r="L331" s="99"/>
      <c r="M331" s="99"/>
      <c r="N331" s="43">
        <f t="shared" ref="N331:N394" si="5">IF($L$4=$C$10,C331,IF(D331="","",B331))</f>
        <v>0</v>
      </c>
    </row>
    <row r="332" spans="2:14">
      <c r="B332" s="57"/>
      <c r="C332" s="60"/>
      <c r="D332" s="60"/>
      <c r="E332" s="60"/>
      <c r="F332" s="60"/>
      <c r="G332" s="60"/>
      <c r="J332" s="99"/>
      <c r="K332" s="99"/>
      <c r="L332" s="99"/>
      <c r="M332" s="99"/>
      <c r="N332" s="43">
        <f t="shared" si="5"/>
        <v>0</v>
      </c>
    </row>
    <row r="333" spans="2:14">
      <c r="B333" s="57"/>
      <c r="C333" s="60"/>
      <c r="D333" s="60"/>
      <c r="E333" s="60"/>
      <c r="F333" s="60"/>
      <c r="G333" s="60"/>
      <c r="J333" s="99"/>
      <c r="K333" s="99"/>
      <c r="L333" s="99"/>
      <c r="M333" s="99"/>
      <c r="N333" s="43">
        <f t="shared" si="5"/>
        <v>0</v>
      </c>
    </row>
    <row r="334" spans="2:14">
      <c r="B334" s="57"/>
      <c r="C334" s="60"/>
      <c r="D334" s="60"/>
      <c r="E334" s="60"/>
      <c r="F334" s="60"/>
      <c r="G334" s="60"/>
      <c r="J334" s="99"/>
      <c r="K334" s="99"/>
      <c r="L334" s="99"/>
      <c r="M334" s="99"/>
      <c r="N334" s="43">
        <f t="shared" si="5"/>
        <v>0</v>
      </c>
    </row>
    <row r="335" spans="2:14">
      <c r="B335" s="57"/>
      <c r="C335" s="60"/>
      <c r="D335" s="60"/>
      <c r="E335" s="60"/>
      <c r="F335" s="60"/>
      <c r="G335" s="60"/>
      <c r="J335" s="99"/>
      <c r="K335" s="99"/>
      <c r="L335" s="99"/>
      <c r="M335" s="99"/>
      <c r="N335" s="43">
        <f t="shared" si="5"/>
        <v>0</v>
      </c>
    </row>
    <row r="336" spans="2:14">
      <c r="B336" s="57"/>
      <c r="C336" s="60"/>
      <c r="D336" s="60"/>
      <c r="E336" s="60"/>
      <c r="F336" s="60"/>
      <c r="G336" s="60"/>
      <c r="J336" s="99"/>
      <c r="K336" s="99"/>
      <c r="L336" s="99"/>
      <c r="M336" s="99"/>
      <c r="N336" s="43">
        <f t="shared" si="5"/>
        <v>0</v>
      </c>
    </row>
    <row r="337" spans="2:14">
      <c r="B337" s="57"/>
      <c r="C337" s="60"/>
      <c r="D337" s="60"/>
      <c r="E337" s="60"/>
      <c r="F337" s="60"/>
      <c r="G337" s="60"/>
      <c r="J337" s="99"/>
      <c r="K337" s="99"/>
      <c r="L337" s="99"/>
      <c r="M337" s="99"/>
      <c r="N337" s="43">
        <f t="shared" si="5"/>
        <v>0</v>
      </c>
    </row>
    <row r="338" spans="2:14">
      <c r="B338" s="57"/>
      <c r="C338" s="60"/>
      <c r="D338" s="60"/>
      <c r="E338" s="60"/>
      <c r="F338" s="60"/>
      <c r="G338" s="60"/>
      <c r="J338" s="99"/>
      <c r="K338" s="99"/>
      <c r="L338" s="99"/>
      <c r="M338" s="99"/>
      <c r="N338" s="43">
        <f t="shared" si="5"/>
        <v>0</v>
      </c>
    </row>
    <row r="339" spans="2:14">
      <c r="B339" s="57"/>
      <c r="C339" s="60"/>
      <c r="D339" s="60"/>
      <c r="E339" s="60"/>
      <c r="F339" s="60"/>
      <c r="G339" s="60"/>
      <c r="J339" s="99"/>
      <c r="K339" s="99"/>
      <c r="L339" s="99"/>
      <c r="M339" s="99"/>
      <c r="N339" s="43">
        <f t="shared" si="5"/>
        <v>0</v>
      </c>
    </row>
    <row r="340" spans="2:14">
      <c r="B340" s="57"/>
      <c r="C340" s="60"/>
      <c r="D340" s="60"/>
      <c r="E340" s="60"/>
      <c r="F340" s="60"/>
      <c r="G340" s="60"/>
      <c r="J340" s="99"/>
      <c r="K340" s="99"/>
      <c r="L340" s="99"/>
      <c r="M340" s="99"/>
      <c r="N340" s="43">
        <f t="shared" si="5"/>
        <v>0</v>
      </c>
    </row>
    <row r="341" spans="2:14">
      <c r="B341" s="57"/>
      <c r="C341" s="60"/>
      <c r="D341" s="60"/>
      <c r="E341" s="60"/>
      <c r="F341" s="60"/>
      <c r="G341" s="60"/>
      <c r="J341" s="99"/>
      <c r="K341" s="99"/>
      <c r="L341" s="99"/>
      <c r="M341" s="99"/>
      <c r="N341" s="43">
        <f t="shared" si="5"/>
        <v>0</v>
      </c>
    </row>
    <row r="342" spans="2:14">
      <c r="B342" s="57"/>
      <c r="C342" s="60"/>
      <c r="D342" s="60"/>
      <c r="E342" s="60"/>
      <c r="F342" s="60"/>
      <c r="G342" s="60"/>
      <c r="J342" s="99"/>
      <c r="K342" s="99"/>
      <c r="L342" s="99"/>
      <c r="M342" s="99"/>
      <c r="N342" s="43">
        <f t="shared" si="5"/>
        <v>0</v>
      </c>
    </row>
    <row r="343" spans="2:14">
      <c r="B343" s="57"/>
      <c r="C343" s="60"/>
      <c r="D343" s="60"/>
      <c r="E343" s="60"/>
      <c r="F343" s="60"/>
      <c r="G343" s="60"/>
      <c r="J343" s="99"/>
      <c r="K343" s="99"/>
      <c r="L343" s="99"/>
      <c r="M343" s="99"/>
      <c r="N343" s="43">
        <f t="shared" si="5"/>
        <v>0</v>
      </c>
    </row>
    <row r="344" spans="2:14">
      <c r="B344" s="57"/>
      <c r="C344" s="60"/>
      <c r="D344" s="60"/>
      <c r="E344" s="60"/>
      <c r="F344" s="60"/>
      <c r="G344" s="60"/>
      <c r="J344" s="99"/>
      <c r="K344" s="99"/>
      <c r="L344" s="99"/>
      <c r="M344" s="99"/>
      <c r="N344" s="43">
        <f t="shared" si="5"/>
        <v>0</v>
      </c>
    </row>
    <row r="345" spans="2:14">
      <c r="B345" s="57"/>
      <c r="C345" s="60"/>
      <c r="D345" s="60"/>
      <c r="E345" s="60"/>
      <c r="F345" s="60"/>
      <c r="G345" s="60"/>
      <c r="J345" s="99"/>
      <c r="K345" s="99"/>
      <c r="L345" s="99"/>
      <c r="M345" s="99"/>
      <c r="N345" s="43">
        <f t="shared" si="5"/>
        <v>0</v>
      </c>
    </row>
    <row r="346" spans="2:14">
      <c r="B346" s="57"/>
      <c r="C346" s="60"/>
      <c r="D346" s="60"/>
      <c r="E346" s="60"/>
      <c r="F346" s="60"/>
      <c r="G346" s="60"/>
      <c r="J346" s="99"/>
      <c r="K346" s="99"/>
      <c r="L346" s="99"/>
      <c r="M346" s="99"/>
      <c r="N346" s="43">
        <f t="shared" si="5"/>
        <v>0</v>
      </c>
    </row>
    <row r="347" spans="2:14">
      <c r="B347" s="57"/>
      <c r="C347" s="60"/>
      <c r="D347" s="60"/>
      <c r="E347" s="60"/>
      <c r="F347" s="60"/>
      <c r="G347" s="60"/>
      <c r="J347" s="99"/>
      <c r="K347" s="99"/>
      <c r="L347" s="99"/>
      <c r="M347" s="99"/>
      <c r="N347" s="43">
        <f t="shared" si="5"/>
        <v>0</v>
      </c>
    </row>
    <row r="348" spans="2:14">
      <c r="B348" s="57"/>
      <c r="C348" s="60"/>
      <c r="D348" s="60"/>
      <c r="E348" s="60"/>
      <c r="F348" s="60"/>
      <c r="G348" s="60"/>
      <c r="J348" s="99"/>
      <c r="K348" s="99"/>
      <c r="L348" s="99"/>
      <c r="M348" s="99"/>
      <c r="N348" s="43">
        <f t="shared" si="5"/>
        <v>0</v>
      </c>
    </row>
    <row r="349" spans="2:14">
      <c r="B349" s="57"/>
      <c r="C349" s="60"/>
      <c r="D349" s="60"/>
      <c r="E349" s="60"/>
      <c r="F349" s="60"/>
      <c r="G349" s="60"/>
      <c r="J349" s="99"/>
      <c r="K349" s="99"/>
      <c r="L349" s="99"/>
      <c r="M349" s="99"/>
      <c r="N349" s="43">
        <f t="shared" si="5"/>
        <v>0</v>
      </c>
    </row>
    <row r="350" spans="2:14">
      <c r="B350" s="57"/>
      <c r="C350" s="60"/>
      <c r="D350" s="60"/>
      <c r="E350" s="60"/>
      <c r="F350" s="60"/>
      <c r="G350" s="60"/>
      <c r="J350" s="99"/>
      <c r="K350" s="99"/>
      <c r="L350" s="99"/>
      <c r="M350" s="99"/>
      <c r="N350" s="43">
        <f t="shared" si="5"/>
        <v>0</v>
      </c>
    </row>
    <row r="351" spans="2:14">
      <c r="B351" s="57"/>
      <c r="C351" s="60"/>
      <c r="D351" s="60"/>
      <c r="E351" s="60"/>
      <c r="F351" s="60"/>
      <c r="G351" s="60"/>
      <c r="J351" s="99"/>
      <c r="K351" s="99"/>
      <c r="L351" s="99"/>
      <c r="M351" s="99"/>
      <c r="N351" s="43">
        <f t="shared" si="5"/>
        <v>0</v>
      </c>
    </row>
    <row r="352" spans="2:14">
      <c r="B352" s="57"/>
      <c r="C352" s="60"/>
      <c r="D352" s="60"/>
      <c r="E352" s="60"/>
      <c r="F352" s="60"/>
      <c r="G352" s="60"/>
      <c r="J352" s="99"/>
      <c r="K352" s="99"/>
      <c r="L352" s="99"/>
      <c r="M352" s="99"/>
      <c r="N352" s="43">
        <f t="shared" si="5"/>
        <v>0</v>
      </c>
    </row>
    <row r="353" spans="2:14">
      <c r="B353" s="57"/>
      <c r="C353" s="60"/>
      <c r="D353" s="60"/>
      <c r="E353" s="60"/>
      <c r="F353" s="60"/>
      <c r="G353" s="60"/>
      <c r="J353" s="99"/>
      <c r="K353" s="99"/>
      <c r="L353" s="99"/>
      <c r="M353" s="99"/>
      <c r="N353" s="43">
        <f t="shared" si="5"/>
        <v>0</v>
      </c>
    </row>
    <row r="354" spans="2:14">
      <c r="B354" s="57"/>
      <c r="C354" s="60"/>
      <c r="D354" s="60"/>
      <c r="E354" s="60"/>
      <c r="F354" s="60"/>
      <c r="G354" s="60"/>
      <c r="J354" s="99"/>
      <c r="K354" s="99"/>
      <c r="L354" s="99"/>
      <c r="M354" s="99"/>
      <c r="N354" s="43">
        <f t="shared" si="5"/>
        <v>0</v>
      </c>
    </row>
    <row r="355" spans="2:14">
      <c r="B355" s="57"/>
      <c r="C355" s="60"/>
      <c r="D355" s="60"/>
      <c r="E355" s="60"/>
      <c r="F355" s="60"/>
      <c r="G355" s="60"/>
      <c r="J355" s="99"/>
      <c r="K355" s="99"/>
      <c r="L355" s="99"/>
      <c r="M355" s="99"/>
      <c r="N355" s="43">
        <f t="shared" si="5"/>
        <v>0</v>
      </c>
    </row>
    <row r="356" spans="2:14">
      <c r="B356" s="57"/>
      <c r="C356" s="60"/>
      <c r="D356" s="60"/>
      <c r="E356" s="60"/>
      <c r="F356" s="60"/>
      <c r="G356" s="60"/>
      <c r="J356" s="99"/>
      <c r="K356" s="99"/>
      <c r="L356" s="99"/>
      <c r="M356" s="99"/>
      <c r="N356" s="43">
        <f t="shared" si="5"/>
        <v>0</v>
      </c>
    </row>
    <row r="357" spans="2:14">
      <c r="B357" s="57"/>
      <c r="C357" s="60"/>
      <c r="D357" s="60"/>
      <c r="E357" s="60"/>
      <c r="F357" s="60"/>
      <c r="G357" s="60"/>
      <c r="J357" s="99"/>
      <c r="K357" s="99"/>
      <c r="L357" s="99"/>
      <c r="M357" s="99"/>
      <c r="N357" s="43">
        <f t="shared" si="5"/>
        <v>0</v>
      </c>
    </row>
    <row r="358" spans="2:14">
      <c r="B358" s="57"/>
      <c r="C358" s="60"/>
      <c r="D358" s="60"/>
      <c r="E358" s="60"/>
      <c r="F358" s="60"/>
      <c r="G358" s="60"/>
      <c r="J358" s="99"/>
      <c r="K358" s="99"/>
      <c r="L358" s="99"/>
      <c r="M358" s="99"/>
      <c r="N358" s="43">
        <f t="shared" si="5"/>
        <v>0</v>
      </c>
    </row>
    <row r="359" spans="2:14">
      <c r="B359" s="57"/>
      <c r="C359" s="60"/>
      <c r="D359" s="60"/>
      <c r="E359" s="60"/>
      <c r="F359" s="60"/>
      <c r="G359" s="60"/>
      <c r="J359" s="99"/>
      <c r="K359" s="99"/>
      <c r="L359" s="99"/>
      <c r="M359" s="99"/>
      <c r="N359" s="43">
        <f t="shared" si="5"/>
        <v>0</v>
      </c>
    </row>
    <row r="360" spans="2:14">
      <c r="B360" s="57"/>
      <c r="C360" s="60"/>
      <c r="D360" s="60"/>
      <c r="E360" s="60"/>
      <c r="F360" s="60"/>
      <c r="G360" s="60"/>
      <c r="J360" s="99"/>
      <c r="K360" s="99"/>
      <c r="L360" s="99"/>
      <c r="M360" s="99"/>
      <c r="N360" s="43">
        <f t="shared" si="5"/>
        <v>0</v>
      </c>
    </row>
    <row r="361" spans="2:14">
      <c r="B361" s="57"/>
      <c r="C361" s="60"/>
      <c r="D361" s="60"/>
      <c r="E361" s="60"/>
      <c r="F361" s="60"/>
      <c r="G361" s="60"/>
      <c r="J361" s="99"/>
      <c r="K361" s="99"/>
      <c r="L361" s="99"/>
      <c r="M361" s="99"/>
      <c r="N361" s="43">
        <f t="shared" si="5"/>
        <v>0</v>
      </c>
    </row>
    <row r="362" spans="2:14">
      <c r="B362" s="57"/>
      <c r="C362" s="60"/>
      <c r="D362" s="60"/>
      <c r="E362" s="60"/>
      <c r="F362" s="60"/>
      <c r="G362" s="60"/>
      <c r="J362" s="99"/>
      <c r="K362" s="99"/>
      <c r="L362" s="99"/>
      <c r="M362" s="99"/>
      <c r="N362" s="43">
        <f t="shared" si="5"/>
        <v>0</v>
      </c>
    </row>
    <row r="363" spans="2:14">
      <c r="B363" s="57"/>
      <c r="C363" s="60"/>
      <c r="D363" s="60"/>
      <c r="E363" s="60"/>
      <c r="F363" s="60"/>
      <c r="G363" s="60"/>
      <c r="J363" s="99"/>
      <c r="K363" s="99"/>
      <c r="L363" s="99"/>
      <c r="M363" s="99"/>
      <c r="N363" s="43">
        <f t="shared" si="5"/>
        <v>0</v>
      </c>
    </row>
    <row r="364" spans="2:14">
      <c r="B364" s="57"/>
      <c r="C364" s="60"/>
      <c r="D364" s="60"/>
      <c r="E364" s="60"/>
      <c r="F364" s="60"/>
      <c r="G364" s="60"/>
      <c r="J364" s="99"/>
      <c r="K364" s="99"/>
      <c r="L364" s="99"/>
      <c r="M364" s="99"/>
      <c r="N364" s="43">
        <f t="shared" si="5"/>
        <v>0</v>
      </c>
    </row>
    <row r="365" spans="2:14">
      <c r="B365" s="57"/>
      <c r="C365" s="60"/>
      <c r="D365" s="60"/>
      <c r="E365" s="60"/>
      <c r="F365" s="60"/>
      <c r="G365" s="60"/>
      <c r="J365" s="99"/>
      <c r="K365" s="99"/>
      <c r="L365" s="99"/>
      <c r="M365" s="99"/>
      <c r="N365" s="43">
        <f t="shared" si="5"/>
        <v>0</v>
      </c>
    </row>
    <row r="366" spans="2:14">
      <c r="B366" s="57"/>
      <c r="C366" s="60"/>
      <c r="D366" s="60"/>
      <c r="E366" s="60"/>
      <c r="F366" s="60"/>
      <c r="G366" s="60"/>
      <c r="J366" s="99"/>
      <c r="K366" s="99"/>
      <c r="L366" s="99"/>
      <c r="M366" s="99"/>
      <c r="N366" s="43">
        <f t="shared" si="5"/>
        <v>0</v>
      </c>
    </row>
    <row r="367" spans="2:14">
      <c r="B367" s="57"/>
      <c r="C367" s="60"/>
      <c r="D367" s="60"/>
      <c r="E367" s="60"/>
      <c r="F367" s="60"/>
      <c r="G367" s="60"/>
      <c r="J367" s="99"/>
      <c r="K367" s="99"/>
      <c r="L367" s="99"/>
      <c r="M367" s="99"/>
      <c r="N367" s="43">
        <f t="shared" si="5"/>
        <v>0</v>
      </c>
    </row>
    <row r="368" spans="2:14">
      <c r="B368" s="57"/>
      <c r="C368" s="60"/>
      <c r="D368" s="60"/>
      <c r="E368" s="60"/>
      <c r="F368" s="60"/>
      <c r="G368" s="60"/>
      <c r="J368" s="99"/>
      <c r="K368" s="99"/>
      <c r="L368" s="99"/>
      <c r="M368" s="99"/>
      <c r="N368" s="43">
        <f t="shared" si="5"/>
        <v>0</v>
      </c>
    </row>
    <row r="369" spans="2:14">
      <c r="B369" s="57"/>
      <c r="C369" s="60"/>
      <c r="D369" s="60"/>
      <c r="E369" s="60"/>
      <c r="F369" s="60"/>
      <c r="G369" s="60"/>
      <c r="J369" s="99"/>
      <c r="K369" s="99"/>
      <c r="L369" s="99"/>
      <c r="M369" s="99"/>
      <c r="N369" s="43">
        <f t="shared" si="5"/>
        <v>0</v>
      </c>
    </row>
    <row r="370" spans="2:14">
      <c r="B370" s="57"/>
      <c r="C370" s="60"/>
      <c r="D370" s="60"/>
      <c r="E370" s="60"/>
      <c r="F370" s="60"/>
      <c r="G370" s="60"/>
      <c r="J370" s="99"/>
      <c r="K370" s="99"/>
      <c r="L370" s="99"/>
      <c r="M370" s="99"/>
      <c r="N370" s="43">
        <f t="shared" si="5"/>
        <v>0</v>
      </c>
    </row>
    <row r="371" spans="2:14">
      <c r="B371" s="57"/>
      <c r="C371" s="60"/>
      <c r="D371" s="60"/>
      <c r="E371" s="60"/>
      <c r="F371" s="60"/>
      <c r="G371" s="60"/>
      <c r="J371" s="99"/>
      <c r="K371" s="99"/>
      <c r="L371" s="99"/>
      <c r="M371" s="99"/>
      <c r="N371" s="43">
        <f t="shared" si="5"/>
        <v>0</v>
      </c>
    </row>
    <row r="372" spans="2:14">
      <c r="B372" s="57"/>
      <c r="C372" s="60"/>
      <c r="D372" s="60"/>
      <c r="E372" s="60"/>
      <c r="F372" s="60"/>
      <c r="G372" s="60"/>
      <c r="J372" s="99"/>
      <c r="K372" s="99"/>
      <c r="L372" s="99"/>
      <c r="M372" s="99"/>
      <c r="N372" s="43">
        <f t="shared" si="5"/>
        <v>0</v>
      </c>
    </row>
    <row r="373" spans="2:14">
      <c r="B373" s="57"/>
      <c r="C373" s="60"/>
      <c r="D373" s="60"/>
      <c r="E373" s="60"/>
      <c r="F373" s="60"/>
      <c r="G373" s="60"/>
      <c r="J373" s="99"/>
      <c r="K373" s="99"/>
      <c r="L373" s="99"/>
      <c r="M373" s="99"/>
      <c r="N373" s="43">
        <f t="shared" si="5"/>
        <v>0</v>
      </c>
    </row>
    <row r="374" spans="2:14">
      <c r="B374" s="57"/>
      <c r="C374" s="60"/>
      <c r="D374" s="60"/>
      <c r="E374" s="60"/>
      <c r="F374" s="60"/>
      <c r="G374" s="60"/>
      <c r="J374" s="99"/>
      <c r="K374" s="99"/>
      <c r="L374" s="99"/>
      <c r="M374" s="99"/>
      <c r="N374" s="43">
        <f t="shared" si="5"/>
        <v>0</v>
      </c>
    </row>
    <row r="375" spans="2:14">
      <c r="B375" s="57"/>
      <c r="C375" s="60"/>
      <c r="D375" s="60"/>
      <c r="E375" s="60"/>
      <c r="F375" s="60"/>
      <c r="G375" s="60"/>
      <c r="J375" s="99"/>
      <c r="K375" s="99"/>
      <c r="L375" s="99"/>
      <c r="M375" s="99"/>
      <c r="N375" s="43">
        <f t="shared" si="5"/>
        <v>0</v>
      </c>
    </row>
    <row r="376" spans="2:14">
      <c r="B376" s="57"/>
      <c r="C376" s="60"/>
      <c r="D376" s="60"/>
      <c r="E376" s="60"/>
      <c r="F376" s="60"/>
      <c r="G376" s="60"/>
      <c r="J376" s="99"/>
      <c r="K376" s="99"/>
      <c r="L376" s="99"/>
      <c r="M376" s="99"/>
      <c r="N376" s="43">
        <f t="shared" si="5"/>
        <v>0</v>
      </c>
    </row>
    <row r="377" spans="2:14">
      <c r="B377" s="57"/>
      <c r="C377" s="60"/>
      <c r="D377" s="60"/>
      <c r="E377" s="60"/>
      <c r="F377" s="60"/>
      <c r="G377" s="60"/>
      <c r="J377" s="99"/>
      <c r="K377" s="99"/>
      <c r="L377" s="99"/>
      <c r="M377" s="99"/>
      <c r="N377" s="43">
        <f t="shared" si="5"/>
        <v>0</v>
      </c>
    </row>
    <row r="378" spans="2:14">
      <c r="B378" s="57"/>
      <c r="C378" s="60"/>
      <c r="D378" s="60"/>
      <c r="E378" s="60"/>
      <c r="F378" s="60"/>
      <c r="G378" s="60"/>
      <c r="J378" s="99"/>
      <c r="K378" s="99"/>
      <c r="L378" s="99"/>
      <c r="M378" s="99"/>
      <c r="N378" s="43">
        <f t="shared" si="5"/>
        <v>0</v>
      </c>
    </row>
    <row r="379" spans="2:14">
      <c r="B379" s="57"/>
      <c r="C379" s="60"/>
      <c r="D379" s="60"/>
      <c r="E379" s="60"/>
      <c r="F379" s="60"/>
      <c r="G379" s="60"/>
      <c r="J379" s="99"/>
      <c r="K379" s="99"/>
      <c r="L379" s="99"/>
      <c r="M379" s="99"/>
      <c r="N379" s="43">
        <f t="shared" si="5"/>
        <v>0</v>
      </c>
    </row>
    <row r="380" spans="2:14">
      <c r="B380" s="57"/>
      <c r="C380" s="60"/>
      <c r="D380" s="60"/>
      <c r="E380" s="60"/>
      <c r="F380" s="60"/>
      <c r="G380" s="60"/>
      <c r="J380" s="99"/>
      <c r="K380" s="99"/>
      <c r="L380" s="99"/>
      <c r="M380" s="99"/>
      <c r="N380" s="43">
        <f t="shared" si="5"/>
        <v>0</v>
      </c>
    </row>
    <row r="381" spans="2:14">
      <c r="B381" s="57"/>
      <c r="C381" s="60"/>
      <c r="D381" s="60"/>
      <c r="E381" s="60"/>
      <c r="F381" s="60"/>
      <c r="G381" s="60"/>
      <c r="J381" s="99"/>
      <c r="K381" s="99"/>
      <c r="L381" s="99"/>
      <c r="M381" s="99"/>
      <c r="N381" s="43">
        <f t="shared" si="5"/>
        <v>0</v>
      </c>
    </row>
    <row r="382" spans="2:14">
      <c r="B382" s="57"/>
      <c r="C382" s="60"/>
      <c r="D382" s="60"/>
      <c r="E382" s="60"/>
      <c r="F382" s="60"/>
      <c r="G382" s="60"/>
      <c r="J382" s="99"/>
      <c r="K382" s="99"/>
      <c r="L382" s="99"/>
      <c r="M382" s="99"/>
      <c r="N382" s="43">
        <f t="shared" si="5"/>
        <v>0</v>
      </c>
    </row>
    <row r="383" spans="2:14">
      <c r="B383" s="57"/>
      <c r="C383" s="60"/>
      <c r="D383" s="60"/>
      <c r="E383" s="60"/>
      <c r="F383" s="60"/>
      <c r="G383" s="60"/>
      <c r="J383" s="99"/>
      <c r="K383" s="99"/>
      <c r="L383" s="99"/>
      <c r="M383" s="99"/>
      <c r="N383" s="43">
        <f t="shared" si="5"/>
        <v>0</v>
      </c>
    </row>
    <row r="384" spans="2:14">
      <c r="B384" s="57"/>
      <c r="C384" s="60"/>
      <c r="D384" s="60"/>
      <c r="E384" s="60"/>
      <c r="F384" s="60"/>
      <c r="G384" s="60"/>
      <c r="J384" s="99"/>
      <c r="K384" s="99"/>
      <c r="L384" s="99"/>
      <c r="M384" s="99"/>
      <c r="N384" s="43">
        <f t="shared" si="5"/>
        <v>0</v>
      </c>
    </row>
    <row r="385" spans="2:14">
      <c r="B385" s="57"/>
      <c r="C385" s="60"/>
      <c r="D385" s="60"/>
      <c r="E385" s="60"/>
      <c r="F385" s="60"/>
      <c r="G385" s="60"/>
      <c r="J385" s="99"/>
      <c r="K385" s="99"/>
      <c r="L385" s="99"/>
      <c r="M385" s="99"/>
      <c r="N385" s="43">
        <f t="shared" si="5"/>
        <v>0</v>
      </c>
    </row>
    <row r="386" spans="2:14">
      <c r="B386" s="57"/>
      <c r="C386" s="60"/>
      <c r="D386" s="60"/>
      <c r="E386" s="60"/>
      <c r="F386" s="60"/>
      <c r="G386" s="60"/>
      <c r="J386" s="99"/>
      <c r="K386" s="99"/>
      <c r="L386" s="99"/>
      <c r="M386" s="99"/>
      <c r="N386" s="43">
        <f t="shared" si="5"/>
        <v>0</v>
      </c>
    </row>
    <row r="387" spans="2:14">
      <c r="B387" s="57"/>
      <c r="C387" s="60"/>
      <c r="D387" s="60"/>
      <c r="E387" s="60"/>
      <c r="F387" s="60"/>
      <c r="G387" s="60"/>
      <c r="J387" s="99"/>
      <c r="K387" s="99"/>
      <c r="L387" s="99"/>
      <c r="M387" s="99"/>
      <c r="N387" s="43">
        <f t="shared" si="5"/>
        <v>0</v>
      </c>
    </row>
    <row r="388" spans="2:14">
      <c r="B388" s="57"/>
      <c r="C388" s="60"/>
      <c r="D388" s="60"/>
      <c r="E388" s="60"/>
      <c r="F388" s="60"/>
      <c r="G388" s="60"/>
      <c r="J388" s="99"/>
      <c r="K388" s="99"/>
      <c r="L388" s="99"/>
      <c r="M388" s="99"/>
      <c r="N388" s="43">
        <f t="shared" si="5"/>
        <v>0</v>
      </c>
    </row>
    <row r="389" spans="2:14">
      <c r="B389" s="57"/>
      <c r="C389" s="60"/>
      <c r="D389" s="60"/>
      <c r="E389" s="60"/>
      <c r="F389" s="60"/>
      <c r="G389" s="60"/>
      <c r="J389" s="99"/>
      <c r="K389" s="99"/>
      <c r="L389" s="99"/>
      <c r="M389" s="99"/>
      <c r="N389" s="43">
        <f t="shared" si="5"/>
        <v>0</v>
      </c>
    </row>
    <row r="390" spans="2:14">
      <c r="B390" s="57"/>
      <c r="C390" s="60"/>
      <c r="D390" s="60"/>
      <c r="E390" s="60"/>
      <c r="F390" s="60"/>
      <c r="G390" s="60"/>
      <c r="J390" s="99"/>
      <c r="K390" s="99"/>
      <c r="L390" s="99"/>
      <c r="M390" s="99"/>
      <c r="N390" s="43">
        <f t="shared" si="5"/>
        <v>0</v>
      </c>
    </row>
    <row r="391" spans="2:14">
      <c r="B391" s="57"/>
      <c r="C391" s="60"/>
      <c r="D391" s="60"/>
      <c r="E391" s="60"/>
      <c r="F391" s="60"/>
      <c r="G391" s="60"/>
      <c r="J391" s="99"/>
      <c r="K391" s="99"/>
      <c r="L391" s="99"/>
      <c r="M391" s="99"/>
      <c r="N391" s="43">
        <f t="shared" si="5"/>
        <v>0</v>
      </c>
    </row>
    <row r="392" spans="2:14">
      <c r="B392" s="57"/>
      <c r="C392" s="60"/>
      <c r="D392" s="60"/>
      <c r="E392" s="60"/>
      <c r="F392" s="60"/>
      <c r="G392" s="60"/>
      <c r="J392" s="99"/>
      <c r="K392" s="99"/>
      <c r="L392" s="99"/>
      <c r="M392" s="99"/>
      <c r="N392" s="43">
        <f t="shared" si="5"/>
        <v>0</v>
      </c>
    </row>
    <row r="393" spans="2:14">
      <c r="B393" s="57"/>
      <c r="C393" s="60"/>
      <c r="D393" s="60"/>
      <c r="E393" s="60"/>
      <c r="F393" s="60"/>
      <c r="G393" s="60"/>
      <c r="J393" s="99"/>
      <c r="K393" s="99"/>
      <c r="L393" s="99"/>
      <c r="M393" s="99"/>
      <c r="N393" s="43">
        <f t="shared" si="5"/>
        <v>0</v>
      </c>
    </row>
    <row r="394" spans="2:14">
      <c r="B394" s="57"/>
      <c r="C394" s="60"/>
      <c r="D394" s="60"/>
      <c r="E394" s="60"/>
      <c r="F394" s="60"/>
      <c r="G394" s="60"/>
      <c r="J394" s="99"/>
      <c r="K394" s="99"/>
      <c r="L394" s="99"/>
      <c r="M394" s="99"/>
      <c r="N394" s="43">
        <f t="shared" si="5"/>
        <v>0</v>
      </c>
    </row>
    <row r="395" spans="2:14">
      <c r="B395" s="57"/>
      <c r="C395" s="60"/>
      <c r="D395" s="60"/>
      <c r="E395" s="60"/>
      <c r="F395" s="60"/>
      <c r="G395" s="60"/>
      <c r="J395" s="99"/>
      <c r="K395" s="99"/>
      <c r="L395" s="99"/>
      <c r="M395" s="99"/>
      <c r="N395" s="43">
        <f t="shared" ref="N395:N458" si="6">IF($L$4=$C$10,C395,IF(D395="","",B395))</f>
        <v>0</v>
      </c>
    </row>
    <row r="396" spans="2:14">
      <c r="B396" s="57"/>
      <c r="C396" s="60"/>
      <c r="D396" s="60"/>
      <c r="E396" s="60"/>
      <c r="F396" s="60"/>
      <c r="G396" s="60"/>
      <c r="J396" s="99"/>
      <c r="K396" s="99"/>
      <c r="L396" s="99"/>
      <c r="M396" s="99"/>
      <c r="N396" s="43">
        <f t="shared" si="6"/>
        <v>0</v>
      </c>
    </row>
    <row r="397" spans="2:14">
      <c r="B397" s="57"/>
      <c r="C397" s="60"/>
      <c r="D397" s="60"/>
      <c r="E397" s="60"/>
      <c r="F397" s="60"/>
      <c r="G397" s="60"/>
      <c r="J397" s="99"/>
      <c r="K397" s="99"/>
      <c r="L397" s="99"/>
      <c r="M397" s="99"/>
      <c r="N397" s="43">
        <f t="shared" si="6"/>
        <v>0</v>
      </c>
    </row>
    <row r="398" spans="2:14">
      <c r="B398" s="57"/>
      <c r="C398" s="60"/>
      <c r="D398" s="60"/>
      <c r="E398" s="60"/>
      <c r="F398" s="60"/>
      <c r="G398" s="60"/>
      <c r="J398" s="99"/>
      <c r="K398" s="99"/>
      <c r="L398" s="99"/>
      <c r="M398" s="99"/>
      <c r="N398" s="43">
        <f t="shared" si="6"/>
        <v>0</v>
      </c>
    </row>
    <row r="399" spans="2:14">
      <c r="B399" s="57"/>
      <c r="C399" s="60"/>
      <c r="D399" s="60"/>
      <c r="E399" s="60"/>
      <c r="F399" s="60"/>
      <c r="G399" s="60"/>
      <c r="J399" s="99"/>
      <c r="K399" s="99"/>
      <c r="L399" s="99"/>
      <c r="M399" s="99"/>
      <c r="N399" s="43">
        <f t="shared" si="6"/>
        <v>0</v>
      </c>
    </row>
    <row r="400" spans="2:14">
      <c r="B400" s="57"/>
      <c r="C400" s="60"/>
      <c r="D400" s="60"/>
      <c r="E400" s="60"/>
      <c r="F400" s="60"/>
      <c r="G400" s="60"/>
      <c r="J400" s="99"/>
      <c r="K400" s="99"/>
      <c r="L400" s="99"/>
      <c r="M400" s="99"/>
      <c r="N400" s="43">
        <f t="shared" si="6"/>
        <v>0</v>
      </c>
    </row>
    <row r="401" spans="2:14">
      <c r="B401" s="57"/>
      <c r="C401" s="60"/>
      <c r="D401" s="60"/>
      <c r="E401" s="60"/>
      <c r="F401" s="60"/>
      <c r="G401" s="60"/>
      <c r="J401" s="99"/>
      <c r="K401" s="99"/>
      <c r="L401" s="99"/>
      <c r="M401" s="99"/>
      <c r="N401" s="43">
        <f t="shared" si="6"/>
        <v>0</v>
      </c>
    </row>
    <row r="402" spans="2:14">
      <c r="B402" s="57"/>
      <c r="C402" s="60"/>
      <c r="D402" s="60"/>
      <c r="E402" s="60"/>
      <c r="F402" s="60"/>
      <c r="G402" s="60"/>
      <c r="J402" s="99"/>
      <c r="K402" s="99"/>
      <c r="L402" s="99"/>
      <c r="M402" s="99"/>
      <c r="N402" s="43">
        <f t="shared" si="6"/>
        <v>0</v>
      </c>
    </row>
    <row r="403" spans="2:14">
      <c r="B403" s="57"/>
      <c r="C403" s="60"/>
      <c r="D403" s="60"/>
      <c r="E403" s="60"/>
      <c r="F403" s="60"/>
      <c r="G403" s="60"/>
      <c r="J403" s="99"/>
      <c r="K403" s="99"/>
      <c r="L403" s="99"/>
      <c r="M403" s="99"/>
      <c r="N403" s="43">
        <f t="shared" si="6"/>
        <v>0</v>
      </c>
    </row>
    <row r="404" spans="2:14">
      <c r="B404" s="57"/>
      <c r="C404" s="60"/>
      <c r="D404" s="60"/>
      <c r="E404" s="60"/>
      <c r="F404" s="60"/>
      <c r="G404" s="60"/>
      <c r="J404" s="99"/>
      <c r="K404" s="99"/>
      <c r="L404" s="99"/>
      <c r="M404" s="99"/>
      <c r="N404" s="43">
        <f t="shared" si="6"/>
        <v>0</v>
      </c>
    </row>
    <row r="405" spans="2:14">
      <c r="B405" s="57"/>
      <c r="C405" s="60"/>
      <c r="D405" s="60"/>
      <c r="E405" s="60"/>
      <c r="F405" s="60"/>
      <c r="G405" s="60"/>
      <c r="J405" s="99"/>
      <c r="K405" s="99"/>
      <c r="L405" s="99"/>
      <c r="M405" s="99"/>
      <c r="N405" s="43">
        <f t="shared" si="6"/>
        <v>0</v>
      </c>
    </row>
    <row r="406" spans="2:14">
      <c r="B406" s="57"/>
      <c r="C406" s="60"/>
      <c r="D406" s="60"/>
      <c r="E406" s="60"/>
      <c r="F406" s="60"/>
      <c r="G406" s="60"/>
      <c r="J406" s="99"/>
      <c r="K406" s="99"/>
      <c r="L406" s="99"/>
      <c r="M406" s="99"/>
      <c r="N406" s="43">
        <f t="shared" si="6"/>
        <v>0</v>
      </c>
    </row>
    <row r="407" spans="2:14">
      <c r="B407" s="57"/>
      <c r="C407" s="60"/>
      <c r="D407" s="60"/>
      <c r="E407" s="60"/>
      <c r="F407" s="60"/>
      <c r="G407" s="60"/>
      <c r="J407" s="99"/>
      <c r="K407" s="99"/>
      <c r="L407" s="99"/>
      <c r="M407" s="99"/>
      <c r="N407" s="43">
        <f t="shared" si="6"/>
        <v>0</v>
      </c>
    </row>
    <row r="408" spans="2:14">
      <c r="B408" s="57"/>
      <c r="C408" s="60"/>
      <c r="D408" s="60"/>
      <c r="E408" s="60"/>
      <c r="F408" s="60"/>
      <c r="G408" s="60"/>
      <c r="J408" s="99"/>
      <c r="K408" s="99"/>
      <c r="L408" s="99"/>
      <c r="M408" s="99"/>
      <c r="N408" s="43">
        <f t="shared" si="6"/>
        <v>0</v>
      </c>
    </row>
    <row r="409" spans="2:14">
      <c r="B409" s="57"/>
      <c r="C409" s="60"/>
      <c r="D409" s="60"/>
      <c r="E409" s="60"/>
      <c r="F409" s="60"/>
      <c r="G409" s="60"/>
      <c r="J409" s="99"/>
      <c r="K409" s="99"/>
      <c r="L409" s="99"/>
      <c r="M409" s="99"/>
      <c r="N409" s="43">
        <f t="shared" si="6"/>
        <v>0</v>
      </c>
    </row>
    <row r="410" spans="2:14">
      <c r="B410" s="57"/>
      <c r="C410" s="60"/>
      <c r="D410" s="60"/>
      <c r="E410" s="60"/>
      <c r="F410" s="60"/>
      <c r="G410" s="60"/>
      <c r="J410" s="99"/>
      <c r="K410" s="99"/>
      <c r="L410" s="99"/>
      <c r="M410" s="99"/>
      <c r="N410" s="43">
        <f t="shared" si="6"/>
        <v>0</v>
      </c>
    </row>
    <row r="411" spans="2:14">
      <c r="B411" s="57"/>
      <c r="C411" s="60"/>
      <c r="D411" s="60"/>
      <c r="E411" s="60"/>
      <c r="F411" s="60"/>
      <c r="G411" s="60"/>
      <c r="J411" s="99"/>
      <c r="K411" s="99"/>
      <c r="L411" s="99"/>
      <c r="M411" s="99"/>
      <c r="N411" s="43">
        <f t="shared" si="6"/>
        <v>0</v>
      </c>
    </row>
    <row r="412" spans="2:14">
      <c r="B412" s="57"/>
      <c r="C412" s="60"/>
      <c r="D412" s="60"/>
      <c r="E412" s="60"/>
      <c r="F412" s="60"/>
      <c r="G412" s="60"/>
      <c r="J412" s="99"/>
      <c r="K412" s="99"/>
      <c r="L412" s="99"/>
      <c r="M412" s="99"/>
      <c r="N412" s="43">
        <f t="shared" si="6"/>
        <v>0</v>
      </c>
    </row>
    <row r="413" spans="2:14">
      <c r="B413" s="57"/>
      <c r="C413" s="60"/>
      <c r="D413" s="60"/>
      <c r="E413" s="60"/>
      <c r="F413" s="60"/>
      <c r="G413" s="60"/>
      <c r="J413" s="99"/>
      <c r="K413" s="99"/>
      <c r="L413" s="99"/>
      <c r="M413" s="99"/>
      <c r="N413" s="43">
        <f t="shared" si="6"/>
        <v>0</v>
      </c>
    </row>
    <row r="414" spans="2:14">
      <c r="B414" s="57"/>
      <c r="C414" s="60"/>
      <c r="D414" s="60"/>
      <c r="E414" s="60"/>
      <c r="F414" s="60"/>
      <c r="G414" s="60"/>
      <c r="J414" s="99"/>
      <c r="K414" s="99"/>
      <c r="L414" s="99"/>
      <c r="M414" s="99"/>
      <c r="N414" s="43">
        <f t="shared" si="6"/>
        <v>0</v>
      </c>
    </row>
    <row r="415" spans="2:14">
      <c r="B415" s="57"/>
      <c r="C415" s="60"/>
      <c r="D415" s="60"/>
      <c r="E415" s="60"/>
      <c r="F415" s="60"/>
      <c r="G415" s="60"/>
      <c r="J415" s="99"/>
      <c r="K415" s="99"/>
      <c r="L415" s="99"/>
      <c r="M415" s="99"/>
      <c r="N415" s="43">
        <f t="shared" si="6"/>
        <v>0</v>
      </c>
    </row>
    <row r="416" spans="2:14">
      <c r="B416" s="57"/>
      <c r="C416" s="60"/>
      <c r="D416" s="60"/>
      <c r="E416" s="60"/>
      <c r="F416" s="60"/>
      <c r="G416" s="60"/>
      <c r="J416" s="99"/>
      <c r="K416" s="99"/>
      <c r="L416" s="99"/>
      <c r="M416" s="99"/>
      <c r="N416" s="43">
        <f t="shared" si="6"/>
        <v>0</v>
      </c>
    </row>
    <row r="417" spans="2:14">
      <c r="B417" s="57"/>
      <c r="C417" s="60"/>
      <c r="D417" s="60"/>
      <c r="E417" s="60"/>
      <c r="F417" s="60"/>
      <c r="G417" s="60"/>
      <c r="J417" s="99"/>
      <c r="K417" s="99"/>
      <c r="L417" s="99"/>
      <c r="M417" s="99"/>
      <c r="N417" s="43">
        <f t="shared" si="6"/>
        <v>0</v>
      </c>
    </row>
    <row r="418" spans="2:14">
      <c r="B418" s="57"/>
      <c r="C418" s="60"/>
      <c r="D418" s="60"/>
      <c r="E418" s="60"/>
      <c r="F418" s="60"/>
      <c r="G418" s="60"/>
      <c r="J418" s="99"/>
      <c r="K418" s="99"/>
      <c r="L418" s="99"/>
      <c r="M418" s="99"/>
      <c r="N418" s="43">
        <f t="shared" si="6"/>
        <v>0</v>
      </c>
    </row>
    <row r="419" spans="2:14">
      <c r="B419" s="57"/>
      <c r="C419" s="60"/>
      <c r="D419" s="60"/>
      <c r="E419" s="60"/>
      <c r="F419" s="60"/>
      <c r="G419" s="60"/>
      <c r="J419" s="99"/>
      <c r="K419" s="99"/>
      <c r="L419" s="99"/>
      <c r="M419" s="99"/>
      <c r="N419" s="43">
        <f t="shared" si="6"/>
        <v>0</v>
      </c>
    </row>
    <row r="420" spans="2:14">
      <c r="B420" s="57"/>
      <c r="C420" s="60"/>
      <c r="D420" s="60"/>
      <c r="E420" s="60"/>
      <c r="F420" s="60"/>
      <c r="G420" s="60"/>
      <c r="J420" s="99"/>
      <c r="K420" s="99"/>
      <c r="L420" s="99"/>
      <c r="M420" s="99"/>
      <c r="N420" s="43">
        <f t="shared" si="6"/>
        <v>0</v>
      </c>
    </row>
    <row r="421" spans="2:14">
      <c r="B421" s="57"/>
      <c r="C421" s="60"/>
      <c r="D421" s="60"/>
      <c r="E421" s="60"/>
      <c r="F421" s="60"/>
      <c r="G421" s="60"/>
      <c r="J421" s="99"/>
      <c r="K421" s="99"/>
      <c r="L421" s="99"/>
      <c r="M421" s="99"/>
      <c r="N421" s="43">
        <f t="shared" si="6"/>
        <v>0</v>
      </c>
    </row>
    <row r="422" spans="2:14">
      <c r="B422" s="57"/>
      <c r="C422" s="60"/>
      <c r="D422" s="60"/>
      <c r="E422" s="60"/>
      <c r="F422" s="60"/>
      <c r="G422" s="60"/>
      <c r="J422" s="99"/>
      <c r="K422" s="99"/>
      <c r="L422" s="99"/>
      <c r="M422" s="99"/>
      <c r="N422" s="43">
        <f t="shared" si="6"/>
        <v>0</v>
      </c>
    </row>
    <row r="423" spans="2:14">
      <c r="B423" s="57"/>
      <c r="C423" s="60"/>
      <c r="D423" s="60"/>
      <c r="E423" s="60"/>
      <c r="F423" s="60"/>
      <c r="G423" s="60"/>
      <c r="J423" s="99"/>
      <c r="K423" s="99"/>
      <c r="L423" s="99"/>
      <c r="M423" s="99"/>
      <c r="N423" s="43">
        <f t="shared" si="6"/>
        <v>0</v>
      </c>
    </row>
    <row r="424" spans="2:14">
      <c r="B424" s="57"/>
      <c r="C424" s="60"/>
      <c r="D424" s="60"/>
      <c r="E424" s="60"/>
      <c r="F424" s="60"/>
      <c r="G424" s="60"/>
      <c r="J424" s="99"/>
      <c r="K424" s="99"/>
      <c r="L424" s="99"/>
      <c r="M424" s="99"/>
      <c r="N424" s="43">
        <f t="shared" si="6"/>
        <v>0</v>
      </c>
    </row>
    <row r="425" spans="2:14">
      <c r="B425" s="57"/>
      <c r="C425" s="60"/>
      <c r="D425" s="60"/>
      <c r="E425" s="60"/>
      <c r="F425" s="60"/>
      <c r="G425" s="60"/>
      <c r="J425" s="99"/>
      <c r="K425" s="99"/>
      <c r="L425" s="99"/>
      <c r="M425" s="99"/>
      <c r="N425" s="43">
        <f t="shared" si="6"/>
        <v>0</v>
      </c>
    </row>
    <row r="426" spans="2:14">
      <c r="B426" s="57"/>
      <c r="C426" s="60"/>
      <c r="D426" s="60"/>
      <c r="E426" s="60"/>
      <c r="F426" s="60"/>
      <c r="G426" s="60"/>
      <c r="J426" s="99"/>
      <c r="K426" s="99"/>
      <c r="L426" s="99"/>
      <c r="M426" s="99"/>
      <c r="N426" s="43">
        <f t="shared" si="6"/>
        <v>0</v>
      </c>
    </row>
    <row r="427" spans="2:14">
      <c r="B427" s="57"/>
      <c r="C427" s="60"/>
      <c r="D427" s="60"/>
      <c r="E427" s="60"/>
      <c r="F427" s="60"/>
      <c r="G427" s="60"/>
      <c r="J427" s="99"/>
      <c r="K427" s="99"/>
      <c r="L427" s="99"/>
      <c r="M427" s="99"/>
      <c r="N427" s="43">
        <f t="shared" si="6"/>
        <v>0</v>
      </c>
    </row>
    <row r="428" spans="2:14">
      <c r="B428" s="57"/>
      <c r="C428" s="60"/>
      <c r="D428" s="60"/>
      <c r="E428" s="60"/>
      <c r="F428" s="60"/>
      <c r="G428" s="60"/>
      <c r="J428" s="99"/>
      <c r="K428" s="99"/>
      <c r="L428" s="99"/>
      <c r="M428" s="99"/>
      <c r="N428" s="43">
        <f t="shared" si="6"/>
        <v>0</v>
      </c>
    </row>
    <row r="429" spans="2:14" ht="1.5" customHeight="1">
      <c r="B429" s="57"/>
      <c r="C429" s="60"/>
      <c r="D429" s="60"/>
      <c r="E429" s="60"/>
      <c r="F429" s="60"/>
      <c r="G429" s="60"/>
      <c r="J429" s="99"/>
      <c r="K429" s="99"/>
      <c r="L429" s="99"/>
      <c r="M429" s="99"/>
      <c r="N429" s="43">
        <f t="shared" si="6"/>
        <v>0</v>
      </c>
    </row>
    <row r="430" spans="2:14" ht="1.5" customHeight="1">
      <c r="B430" s="57"/>
      <c r="C430" s="60"/>
      <c r="D430" s="60"/>
      <c r="E430" s="60"/>
      <c r="F430" s="60"/>
      <c r="G430" s="60"/>
      <c r="J430" s="99"/>
      <c r="K430" s="99"/>
      <c r="L430" s="99"/>
      <c r="M430" s="99"/>
      <c r="N430" s="43">
        <f t="shared" si="6"/>
        <v>0</v>
      </c>
    </row>
    <row r="431" spans="2:14" ht="1.5" customHeight="1">
      <c r="B431" s="57"/>
      <c r="C431" s="60"/>
      <c r="D431" s="60"/>
      <c r="E431" s="60"/>
      <c r="F431" s="60"/>
      <c r="G431" s="60"/>
      <c r="J431" s="99"/>
      <c r="K431" s="99"/>
      <c r="L431" s="99"/>
      <c r="M431" s="99"/>
      <c r="N431" s="43">
        <f t="shared" si="6"/>
        <v>0</v>
      </c>
    </row>
    <row r="432" spans="2:14" ht="1.5" customHeight="1">
      <c r="B432" s="57"/>
      <c r="C432" s="60"/>
      <c r="D432" s="60"/>
      <c r="E432" s="60"/>
      <c r="F432" s="60"/>
      <c r="G432" s="60"/>
      <c r="J432" s="99"/>
      <c r="K432" s="99"/>
      <c r="L432" s="99"/>
      <c r="M432" s="99"/>
      <c r="N432" s="43">
        <f t="shared" si="6"/>
        <v>0</v>
      </c>
    </row>
    <row r="433" spans="2:14" ht="1.5" customHeight="1">
      <c r="B433" s="57"/>
      <c r="C433" s="60"/>
      <c r="D433" s="60"/>
      <c r="E433" s="60"/>
      <c r="F433" s="60"/>
      <c r="G433" s="60"/>
      <c r="J433" s="99"/>
      <c r="K433" s="99"/>
      <c r="L433" s="99"/>
      <c r="M433" s="99"/>
      <c r="N433" s="43">
        <f t="shared" si="6"/>
        <v>0</v>
      </c>
    </row>
    <row r="434" spans="2:14" ht="1.5" customHeight="1">
      <c r="B434" s="57"/>
      <c r="C434" s="60"/>
      <c r="D434" s="60"/>
      <c r="E434" s="60"/>
      <c r="F434" s="60"/>
      <c r="G434" s="60"/>
      <c r="J434" s="99"/>
      <c r="K434" s="99"/>
      <c r="L434" s="99"/>
      <c r="M434" s="99"/>
      <c r="N434" s="43">
        <f t="shared" si="6"/>
        <v>0</v>
      </c>
    </row>
    <row r="435" spans="2:14" ht="1.5" customHeight="1">
      <c r="B435" s="57"/>
      <c r="C435" s="60"/>
      <c r="D435" s="60"/>
      <c r="E435" s="60"/>
      <c r="F435" s="60"/>
      <c r="G435" s="60"/>
      <c r="J435" s="99"/>
      <c r="K435" s="99"/>
      <c r="L435" s="99"/>
      <c r="M435" s="99"/>
      <c r="N435" s="43">
        <f t="shared" si="6"/>
        <v>0</v>
      </c>
    </row>
    <row r="436" spans="2:14" ht="1.5" customHeight="1">
      <c r="B436" s="57"/>
      <c r="C436" s="60"/>
      <c r="D436" s="60"/>
      <c r="E436" s="60"/>
      <c r="F436" s="60"/>
      <c r="G436" s="60"/>
      <c r="J436" s="99"/>
      <c r="K436" s="99"/>
      <c r="L436" s="99"/>
      <c r="M436" s="99"/>
      <c r="N436" s="43">
        <f t="shared" si="6"/>
        <v>0</v>
      </c>
    </row>
    <row r="437" spans="2:14" ht="1.5" customHeight="1">
      <c r="B437" s="57"/>
      <c r="C437" s="60"/>
      <c r="D437" s="60"/>
      <c r="E437" s="60"/>
      <c r="F437" s="60"/>
      <c r="G437" s="60"/>
      <c r="J437" s="99"/>
      <c r="K437" s="99"/>
      <c r="L437" s="99"/>
      <c r="M437" s="99"/>
      <c r="N437" s="43">
        <f t="shared" si="6"/>
        <v>0</v>
      </c>
    </row>
    <row r="438" spans="2:14" ht="1.5" customHeight="1">
      <c r="B438" s="57"/>
      <c r="C438" s="60"/>
      <c r="D438" s="60"/>
      <c r="E438" s="60"/>
      <c r="F438" s="60"/>
      <c r="G438" s="60"/>
      <c r="J438" s="99"/>
      <c r="K438" s="99"/>
      <c r="L438" s="99"/>
      <c r="M438" s="99"/>
      <c r="N438" s="43">
        <f t="shared" si="6"/>
        <v>0</v>
      </c>
    </row>
    <row r="439" spans="2:14" ht="1.5" customHeight="1">
      <c r="B439" s="57"/>
      <c r="C439" s="60"/>
      <c r="D439" s="60"/>
      <c r="E439" s="60"/>
      <c r="F439" s="60"/>
      <c r="G439" s="60"/>
      <c r="J439" s="99"/>
      <c r="K439" s="99"/>
      <c r="L439" s="99"/>
      <c r="M439" s="99"/>
      <c r="N439" s="43">
        <f t="shared" si="6"/>
        <v>0</v>
      </c>
    </row>
    <row r="440" spans="2:14" ht="1.5" customHeight="1">
      <c r="B440" s="57"/>
      <c r="C440" s="60"/>
      <c r="D440" s="60"/>
      <c r="E440" s="60"/>
      <c r="F440" s="60"/>
      <c r="G440" s="60"/>
      <c r="J440" s="99"/>
      <c r="K440" s="99"/>
      <c r="L440" s="99"/>
      <c r="M440" s="99"/>
      <c r="N440" s="43">
        <f t="shared" si="6"/>
        <v>0</v>
      </c>
    </row>
    <row r="441" spans="2:14" ht="1.5" customHeight="1">
      <c r="B441" s="57"/>
      <c r="C441" s="60"/>
      <c r="D441" s="60"/>
      <c r="E441" s="60"/>
      <c r="F441" s="60"/>
      <c r="G441" s="60"/>
      <c r="J441" s="99"/>
      <c r="K441" s="99"/>
      <c r="L441" s="99"/>
      <c r="M441" s="99"/>
      <c r="N441" s="43">
        <f t="shared" si="6"/>
        <v>0</v>
      </c>
    </row>
    <row r="442" spans="2:14" ht="1.5" customHeight="1">
      <c r="B442" s="57"/>
      <c r="C442" s="60"/>
      <c r="D442" s="60"/>
      <c r="E442" s="60"/>
      <c r="F442" s="60"/>
      <c r="G442" s="60"/>
      <c r="J442" s="99"/>
      <c r="K442" s="99"/>
      <c r="L442" s="99"/>
      <c r="M442" s="99"/>
      <c r="N442" s="43">
        <f t="shared" si="6"/>
        <v>0</v>
      </c>
    </row>
    <row r="443" spans="2:14" ht="1.5" customHeight="1">
      <c r="B443" s="57"/>
      <c r="C443" s="60"/>
      <c r="D443" s="60"/>
      <c r="E443" s="60"/>
      <c r="F443" s="60"/>
      <c r="G443" s="60"/>
      <c r="J443" s="99"/>
      <c r="K443" s="99"/>
      <c r="L443" s="99"/>
      <c r="M443" s="99"/>
      <c r="N443" s="43">
        <f t="shared" si="6"/>
        <v>0</v>
      </c>
    </row>
    <row r="444" spans="2:14" ht="1.5" customHeight="1">
      <c r="B444" s="57"/>
      <c r="C444" s="60"/>
      <c r="D444" s="60"/>
      <c r="E444" s="60"/>
      <c r="F444" s="60"/>
      <c r="G444" s="60"/>
      <c r="J444" s="99"/>
      <c r="K444" s="99"/>
      <c r="L444" s="99"/>
      <c r="M444" s="99"/>
      <c r="N444" s="43">
        <f t="shared" si="6"/>
        <v>0</v>
      </c>
    </row>
    <row r="445" spans="2:14" ht="1.5" customHeight="1">
      <c r="B445" s="57"/>
      <c r="C445" s="60"/>
      <c r="D445" s="60"/>
      <c r="E445" s="60"/>
      <c r="F445" s="60"/>
      <c r="G445" s="60"/>
      <c r="J445" s="99"/>
      <c r="K445" s="99"/>
      <c r="L445" s="99"/>
      <c r="M445" s="99"/>
      <c r="N445" s="43">
        <f t="shared" si="6"/>
        <v>0</v>
      </c>
    </row>
    <row r="446" spans="2:14" ht="1.5" customHeight="1">
      <c r="B446" s="57"/>
      <c r="C446" s="60"/>
      <c r="D446" s="60"/>
      <c r="E446" s="60"/>
      <c r="F446" s="60"/>
      <c r="G446" s="60"/>
      <c r="J446" s="99"/>
      <c r="K446" s="99"/>
      <c r="L446" s="99"/>
      <c r="M446" s="99"/>
      <c r="N446" s="43">
        <f t="shared" si="6"/>
        <v>0</v>
      </c>
    </row>
    <row r="447" spans="2:14" ht="1.5" customHeight="1">
      <c r="B447" s="57"/>
      <c r="C447" s="60"/>
      <c r="D447" s="60"/>
      <c r="E447" s="60"/>
      <c r="F447" s="60"/>
      <c r="G447" s="60"/>
      <c r="J447" s="99"/>
      <c r="K447" s="99"/>
      <c r="L447" s="99"/>
      <c r="M447" s="99"/>
      <c r="N447" s="43">
        <f t="shared" si="6"/>
        <v>0</v>
      </c>
    </row>
    <row r="448" spans="2:14" ht="1.5" customHeight="1">
      <c r="B448" s="57"/>
      <c r="C448" s="60"/>
      <c r="D448" s="60"/>
      <c r="E448" s="60"/>
      <c r="F448" s="60"/>
      <c r="G448" s="60"/>
      <c r="J448" s="99"/>
      <c r="K448" s="99"/>
      <c r="L448" s="99"/>
      <c r="M448" s="99"/>
      <c r="N448" s="43">
        <f t="shared" si="6"/>
        <v>0</v>
      </c>
    </row>
    <row r="449" spans="2:14" ht="1.5" customHeight="1">
      <c r="B449" s="57"/>
      <c r="C449" s="60"/>
      <c r="D449" s="60"/>
      <c r="E449" s="60"/>
      <c r="F449" s="60"/>
      <c r="G449" s="60"/>
      <c r="J449" s="99"/>
      <c r="K449" s="99"/>
      <c r="L449" s="99"/>
      <c r="M449" s="99"/>
      <c r="N449" s="43">
        <f t="shared" si="6"/>
        <v>0</v>
      </c>
    </row>
    <row r="450" spans="2:14" ht="1.5" customHeight="1">
      <c r="B450" s="57"/>
      <c r="C450" s="60"/>
      <c r="D450" s="60"/>
      <c r="E450" s="60"/>
      <c r="F450" s="60"/>
      <c r="G450" s="60"/>
      <c r="J450" s="99"/>
      <c r="K450" s="99"/>
      <c r="L450" s="99"/>
      <c r="M450" s="99"/>
      <c r="N450" s="43">
        <f t="shared" si="6"/>
        <v>0</v>
      </c>
    </row>
    <row r="451" spans="2:14" ht="1.5" customHeight="1">
      <c r="B451" s="57"/>
      <c r="C451" s="60"/>
      <c r="D451" s="60"/>
      <c r="E451" s="60"/>
      <c r="F451" s="60"/>
      <c r="G451" s="60"/>
      <c r="J451" s="99"/>
      <c r="K451" s="99"/>
      <c r="L451" s="99"/>
      <c r="M451" s="99"/>
      <c r="N451" s="43">
        <f t="shared" si="6"/>
        <v>0</v>
      </c>
    </row>
    <row r="452" spans="2:14" ht="1.5" customHeight="1">
      <c r="B452" s="57"/>
      <c r="C452" s="60"/>
      <c r="D452" s="60"/>
      <c r="E452" s="60"/>
      <c r="F452" s="60"/>
      <c r="G452" s="60"/>
      <c r="J452" s="99"/>
      <c r="K452" s="99"/>
      <c r="L452" s="99"/>
      <c r="M452" s="99"/>
      <c r="N452" s="43">
        <f t="shared" si="6"/>
        <v>0</v>
      </c>
    </row>
    <row r="453" spans="2:14" ht="1.5" customHeight="1">
      <c r="B453" s="57"/>
      <c r="C453" s="60"/>
      <c r="D453" s="60"/>
      <c r="E453" s="60"/>
      <c r="F453" s="60"/>
      <c r="G453" s="60"/>
      <c r="J453" s="99"/>
      <c r="K453" s="99"/>
      <c r="L453" s="99"/>
      <c r="M453" s="99"/>
      <c r="N453" s="43">
        <f t="shared" si="6"/>
        <v>0</v>
      </c>
    </row>
    <row r="454" spans="2:14" ht="1.5" customHeight="1">
      <c r="B454" s="57"/>
      <c r="C454" s="60"/>
      <c r="D454" s="60"/>
      <c r="E454" s="60"/>
      <c r="F454" s="60"/>
      <c r="G454" s="60"/>
      <c r="J454" s="99"/>
      <c r="K454" s="99"/>
      <c r="L454" s="99"/>
      <c r="M454" s="99"/>
      <c r="N454" s="43">
        <f t="shared" si="6"/>
        <v>0</v>
      </c>
    </row>
    <row r="455" spans="2:14" ht="1.5" customHeight="1">
      <c r="B455" s="57"/>
      <c r="C455" s="60"/>
      <c r="D455" s="60"/>
      <c r="E455" s="60"/>
      <c r="F455" s="60"/>
      <c r="G455" s="60"/>
      <c r="J455" s="99"/>
      <c r="K455" s="99"/>
      <c r="L455" s="99"/>
      <c r="M455" s="99"/>
      <c r="N455" s="43">
        <f t="shared" si="6"/>
        <v>0</v>
      </c>
    </row>
    <row r="456" spans="2:14" ht="1.5" customHeight="1">
      <c r="B456" s="57"/>
      <c r="C456" s="60"/>
      <c r="D456" s="60"/>
      <c r="E456" s="60"/>
      <c r="F456" s="60"/>
      <c r="G456" s="60"/>
      <c r="J456" s="99"/>
      <c r="K456" s="99"/>
      <c r="L456" s="99"/>
      <c r="M456" s="99"/>
      <c r="N456" s="43">
        <f t="shared" si="6"/>
        <v>0</v>
      </c>
    </row>
    <row r="457" spans="2:14" ht="1.5" customHeight="1">
      <c r="B457" s="57"/>
      <c r="C457" s="60"/>
      <c r="D457" s="60"/>
      <c r="E457" s="60"/>
      <c r="F457" s="60"/>
      <c r="G457" s="60"/>
      <c r="J457" s="99"/>
      <c r="K457" s="99"/>
      <c r="L457" s="99"/>
      <c r="M457" s="99"/>
      <c r="N457" s="43">
        <f t="shared" si="6"/>
        <v>0</v>
      </c>
    </row>
    <row r="458" spans="2:14" ht="1.5" customHeight="1">
      <c r="B458" s="57"/>
      <c r="C458" s="60"/>
      <c r="D458" s="60"/>
      <c r="E458" s="60"/>
      <c r="F458" s="60"/>
      <c r="G458" s="60"/>
      <c r="J458" s="99"/>
      <c r="K458" s="99"/>
      <c r="L458" s="99"/>
      <c r="M458" s="99"/>
      <c r="N458" s="43">
        <f t="shared" si="6"/>
        <v>0</v>
      </c>
    </row>
    <row r="459" spans="2:14" ht="1.5" customHeight="1">
      <c r="B459" s="57"/>
      <c r="C459" s="60"/>
      <c r="D459" s="60"/>
      <c r="E459" s="60"/>
      <c r="F459" s="60"/>
      <c r="G459" s="60"/>
      <c r="J459" s="99"/>
      <c r="K459" s="99"/>
      <c r="L459" s="99"/>
      <c r="M459" s="99"/>
      <c r="N459" s="43">
        <f t="shared" ref="N459:N522" si="7">IF($L$4=$C$10,C459,IF(D459="","",B459))</f>
        <v>0</v>
      </c>
    </row>
    <row r="460" spans="2:14" ht="1.5" customHeight="1">
      <c r="B460" s="57"/>
      <c r="C460" s="60"/>
      <c r="D460" s="60"/>
      <c r="E460" s="60"/>
      <c r="F460" s="60"/>
      <c r="G460" s="60"/>
      <c r="J460" s="99"/>
      <c r="K460" s="99"/>
      <c r="L460" s="99"/>
      <c r="M460" s="99"/>
      <c r="N460" s="43">
        <f t="shared" si="7"/>
        <v>0</v>
      </c>
    </row>
    <row r="461" spans="2:14" ht="1.5" customHeight="1">
      <c r="B461" s="57"/>
      <c r="C461" s="60"/>
      <c r="D461" s="60"/>
      <c r="E461" s="60"/>
      <c r="F461" s="60"/>
      <c r="G461" s="60"/>
      <c r="J461" s="99"/>
      <c r="K461" s="99"/>
      <c r="L461" s="99"/>
      <c r="M461" s="99"/>
      <c r="N461" s="43">
        <f t="shared" si="7"/>
        <v>0</v>
      </c>
    </row>
    <row r="462" spans="2:14" ht="1.5" customHeight="1">
      <c r="B462" s="57"/>
      <c r="C462" s="60"/>
      <c r="D462" s="60"/>
      <c r="E462" s="60"/>
      <c r="F462" s="60"/>
      <c r="G462" s="60"/>
      <c r="J462" s="99"/>
      <c r="K462" s="99"/>
      <c r="L462" s="99"/>
      <c r="M462" s="99"/>
      <c r="N462" s="43">
        <f t="shared" si="7"/>
        <v>0</v>
      </c>
    </row>
    <row r="463" spans="2:14" ht="1.5" customHeight="1">
      <c r="B463" s="57"/>
      <c r="C463" s="60"/>
      <c r="D463" s="60"/>
      <c r="E463" s="60"/>
      <c r="F463" s="60"/>
      <c r="G463" s="60"/>
      <c r="J463" s="99"/>
      <c r="K463" s="99"/>
      <c r="L463" s="99"/>
      <c r="M463" s="99"/>
      <c r="N463" s="43">
        <f t="shared" si="7"/>
        <v>0</v>
      </c>
    </row>
    <row r="464" spans="2:14" ht="1.5" customHeight="1">
      <c r="B464" s="57"/>
      <c r="C464" s="60"/>
      <c r="D464" s="60"/>
      <c r="E464" s="60"/>
      <c r="F464" s="60"/>
      <c r="G464" s="60"/>
      <c r="J464" s="99"/>
      <c r="K464" s="99"/>
      <c r="L464" s="99"/>
      <c r="M464" s="99"/>
      <c r="N464" s="43">
        <f t="shared" si="7"/>
        <v>0</v>
      </c>
    </row>
    <row r="465" spans="2:14" ht="1.5" customHeight="1">
      <c r="B465" s="57"/>
      <c r="C465" s="60"/>
      <c r="D465" s="60"/>
      <c r="E465" s="60"/>
      <c r="F465" s="60"/>
      <c r="G465" s="60"/>
      <c r="J465" s="99"/>
      <c r="K465" s="99"/>
      <c r="L465" s="99"/>
      <c r="M465" s="99"/>
      <c r="N465" s="43">
        <f t="shared" si="7"/>
        <v>0</v>
      </c>
    </row>
    <row r="466" spans="2:14" ht="1.5" customHeight="1">
      <c r="B466" s="57"/>
      <c r="C466" s="60"/>
      <c r="D466" s="60"/>
      <c r="E466" s="60"/>
      <c r="F466" s="60"/>
      <c r="G466" s="60"/>
      <c r="J466" s="99"/>
      <c r="K466" s="99"/>
      <c r="L466" s="99"/>
      <c r="M466" s="99"/>
      <c r="N466" s="43">
        <f t="shared" si="7"/>
        <v>0</v>
      </c>
    </row>
    <row r="467" spans="2:14" ht="1.5" customHeight="1">
      <c r="B467" s="57"/>
      <c r="C467" s="60"/>
      <c r="D467" s="60"/>
      <c r="E467" s="60"/>
      <c r="F467" s="60"/>
      <c r="G467" s="60"/>
      <c r="J467" s="99"/>
      <c r="K467" s="99"/>
      <c r="L467" s="99"/>
      <c r="M467" s="99"/>
      <c r="N467" s="43">
        <f t="shared" si="7"/>
        <v>0</v>
      </c>
    </row>
    <row r="468" spans="2:14" ht="1.5" customHeight="1">
      <c r="B468" s="57"/>
      <c r="C468" s="60"/>
      <c r="D468" s="60"/>
      <c r="E468" s="60"/>
      <c r="F468" s="60"/>
      <c r="G468" s="60"/>
      <c r="J468" s="99"/>
      <c r="K468" s="99"/>
      <c r="L468" s="99"/>
      <c r="M468" s="99"/>
      <c r="N468" s="43">
        <f t="shared" si="7"/>
        <v>0</v>
      </c>
    </row>
    <row r="469" spans="2:14" ht="1.5" customHeight="1">
      <c r="B469" s="57"/>
      <c r="C469" s="60"/>
      <c r="D469" s="60"/>
      <c r="E469" s="60"/>
      <c r="F469" s="60"/>
      <c r="G469" s="60"/>
      <c r="J469" s="99"/>
      <c r="K469" s="99"/>
      <c r="L469" s="99"/>
      <c r="M469" s="99"/>
      <c r="N469" s="43">
        <f t="shared" si="7"/>
        <v>0</v>
      </c>
    </row>
    <row r="470" spans="2:14" ht="1.5" customHeight="1">
      <c r="B470" s="57"/>
      <c r="C470" s="60"/>
      <c r="D470" s="60"/>
      <c r="E470" s="60"/>
      <c r="F470" s="60"/>
      <c r="G470" s="60"/>
      <c r="J470" s="99"/>
      <c r="K470" s="99"/>
      <c r="L470" s="99"/>
      <c r="M470" s="99"/>
      <c r="N470" s="43">
        <f t="shared" si="7"/>
        <v>0</v>
      </c>
    </row>
    <row r="471" spans="2:14" ht="1.5" customHeight="1">
      <c r="B471" s="57"/>
      <c r="C471" s="60"/>
      <c r="D471" s="60"/>
      <c r="E471" s="60"/>
      <c r="F471" s="60"/>
      <c r="G471" s="60"/>
      <c r="J471" s="99"/>
      <c r="K471" s="99"/>
      <c r="L471" s="99"/>
      <c r="M471" s="99"/>
      <c r="N471" s="43">
        <f t="shared" si="7"/>
        <v>0</v>
      </c>
    </row>
    <row r="472" spans="2:14" ht="1.5" customHeight="1">
      <c r="B472" s="57"/>
      <c r="C472" s="60"/>
      <c r="D472" s="60"/>
      <c r="E472" s="60"/>
      <c r="F472" s="60"/>
      <c r="G472" s="60"/>
      <c r="J472" s="99"/>
      <c r="K472" s="99"/>
      <c r="L472" s="99"/>
      <c r="M472" s="99"/>
      <c r="N472" s="43">
        <f t="shared" si="7"/>
        <v>0</v>
      </c>
    </row>
    <row r="473" spans="2:14" ht="1.5" customHeight="1">
      <c r="B473" s="57"/>
      <c r="C473" s="60"/>
      <c r="D473" s="60"/>
      <c r="E473" s="60"/>
      <c r="F473" s="60"/>
      <c r="G473" s="60"/>
      <c r="J473" s="99"/>
      <c r="K473" s="99"/>
      <c r="L473" s="99"/>
      <c r="M473" s="99"/>
      <c r="N473" s="43">
        <f t="shared" si="7"/>
        <v>0</v>
      </c>
    </row>
    <row r="474" spans="2:14" ht="1.5" customHeight="1">
      <c r="B474" s="57"/>
      <c r="C474" s="60"/>
      <c r="D474" s="60"/>
      <c r="E474" s="60"/>
      <c r="F474" s="60"/>
      <c r="G474" s="60"/>
      <c r="J474" s="99"/>
      <c r="K474" s="99"/>
      <c r="L474" s="99"/>
      <c r="M474" s="99"/>
      <c r="N474" s="43">
        <f t="shared" si="7"/>
        <v>0</v>
      </c>
    </row>
    <row r="475" spans="2:14" ht="1.5" customHeight="1">
      <c r="B475" s="57"/>
      <c r="C475" s="60"/>
      <c r="D475" s="60"/>
      <c r="E475" s="60"/>
      <c r="F475" s="60"/>
      <c r="G475" s="60"/>
      <c r="J475" s="99"/>
      <c r="K475" s="99"/>
      <c r="L475" s="99"/>
      <c r="M475" s="99"/>
      <c r="N475" s="43">
        <f t="shared" si="7"/>
        <v>0</v>
      </c>
    </row>
    <row r="476" spans="2:14" ht="1.5" customHeight="1">
      <c r="B476" s="57"/>
      <c r="C476" s="60"/>
      <c r="D476" s="60"/>
      <c r="E476" s="60"/>
      <c r="F476" s="60"/>
      <c r="G476" s="60"/>
      <c r="J476" s="99"/>
      <c r="K476" s="99"/>
      <c r="L476" s="99"/>
      <c r="M476" s="99"/>
      <c r="N476" s="43">
        <f t="shared" si="7"/>
        <v>0</v>
      </c>
    </row>
    <row r="477" spans="2:14" ht="1.5" customHeight="1">
      <c r="B477" s="57"/>
      <c r="C477" s="60"/>
      <c r="D477" s="60"/>
      <c r="E477" s="60"/>
      <c r="F477" s="60"/>
      <c r="G477" s="60"/>
      <c r="J477" s="99"/>
      <c r="K477" s="99"/>
      <c r="L477" s="99"/>
      <c r="M477" s="99"/>
      <c r="N477" s="43">
        <f t="shared" si="7"/>
        <v>0</v>
      </c>
    </row>
    <row r="478" spans="2:14" ht="1.5" customHeight="1">
      <c r="B478" s="57"/>
      <c r="C478" s="60"/>
      <c r="D478" s="60"/>
      <c r="E478" s="60"/>
      <c r="F478" s="60"/>
      <c r="G478" s="60"/>
      <c r="J478" s="99"/>
      <c r="K478" s="99"/>
      <c r="L478" s="99"/>
      <c r="M478" s="99"/>
      <c r="N478" s="43">
        <f t="shared" si="7"/>
        <v>0</v>
      </c>
    </row>
    <row r="479" spans="2:14" ht="1.5" customHeight="1">
      <c r="B479" s="57"/>
      <c r="C479" s="60"/>
      <c r="D479" s="60"/>
      <c r="E479" s="60"/>
      <c r="F479" s="60"/>
      <c r="G479" s="60"/>
      <c r="J479" s="99"/>
      <c r="K479" s="99"/>
      <c r="L479" s="99"/>
      <c r="M479" s="99"/>
      <c r="N479" s="43">
        <f t="shared" si="7"/>
        <v>0</v>
      </c>
    </row>
    <row r="480" spans="2:14" ht="1.5" customHeight="1">
      <c r="B480" s="57"/>
      <c r="C480" s="60"/>
      <c r="D480" s="60"/>
      <c r="E480" s="60"/>
      <c r="F480" s="60"/>
      <c r="G480" s="60"/>
      <c r="J480" s="99"/>
      <c r="K480" s="99"/>
      <c r="L480" s="99"/>
      <c r="M480" s="99"/>
      <c r="N480" s="43">
        <f t="shared" si="7"/>
        <v>0</v>
      </c>
    </row>
    <row r="481" spans="2:14" ht="1.5" customHeight="1">
      <c r="B481" s="57"/>
      <c r="C481" s="60"/>
      <c r="D481" s="60"/>
      <c r="E481" s="60"/>
      <c r="F481" s="60"/>
      <c r="G481" s="60"/>
      <c r="J481" s="99"/>
      <c r="K481" s="99"/>
      <c r="L481" s="99"/>
      <c r="M481" s="99"/>
      <c r="N481" s="43">
        <f t="shared" si="7"/>
        <v>0</v>
      </c>
    </row>
    <row r="482" spans="2:14" ht="1.5" customHeight="1">
      <c r="B482" s="57"/>
      <c r="C482" s="60"/>
      <c r="D482" s="60"/>
      <c r="E482" s="60"/>
      <c r="F482" s="60"/>
      <c r="G482" s="60"/>
      <c r="J482" s="99"/>
      <c r="K482" s="99"/>
      <c r="L482" s="99"/>
      <c r="M482" s="99"/>
      <c r="N482" s="43">
        <f t="shared" si="7"/>
        <v>0</v>
      </c>
    </row>
    <row r="483" spans="2:14" ht="1.5" customHeight="1">
      <c r="B483" s="57"/>
      <c r="C483" s="60"/>
      <c r="D483" s="60"/>
      <c r="E483" s="60"/>
      <c r="F483" s="60"/>
      <c r="G483" s="60"/>
      <c r="J483" s="99"/>
      <c r="K483" s="99"/>
      <c r="L483" s="99"/>
      <c r="M483" s="99"/>
      <c r="N483" s="43">
        <f t="shared" si="7"/>
        <v>0</v>
      </c>
    </row>
    <row r="484" spans="2:14" ht="1.5" customHeight="1">
      <c r="B484" s="57"/>
      <c r="C484" s="60"/>
      <c r="D484" s="60"/>
      <c r="E484" s="60"/>
      <c r="F484" s="60"/>
      <c r="G484" s="60"/>
      <c r="J484" s="99"/>
      <c r="K484" s="99"/>
      <c r="L484" s="99"/>
      <c r="M484" s="99"/>
      <c r="N484" s="43">
        <f t="shared" si="7"/>
        <v>0</v>
      </c>
    </row>
    <row r="485" spans="2:14" ht="1.5" customHeight="1">
      <c r="B485" s="57"/>
      <c r="C485" s="60"/>
      <c r="D485" s="60"/>
      <c r="E485" s="60"/>
      <c r="F485" s="60"/>
      <c r="G485" s="60"/>
      <c r="J485" s="99"/>
      <c r="K485" s="99"/>
      <c r="L485" s="99"/>
      <c r="M485" s="99"/>
      <c r="N485" s="43">
        <f t="shared" si="7"/>
        <v>0</v>
      </c>
    </row>
    <row r="486" spans="2:14" ht="1.5" customHeight="1">
      <c r="B486" s="57"/>
      <c r="C486" s="60"/>
      <c r="D486" s="60"/>
      <c r="E486" s="60"/>
      <c r="F486" s="60"/>
      <c r="G486" s="60"/>
      <c r="J486" s="99"/>
      <c r="K486" s="99"/>
      <c r="L486" s="99"/>
      <c r="M486" s="99"/>
      <c r="N486" s="43">
        <f t="shared" si="7"/>
        <v>0</v>
      </c>
    </row>
    <row r="487" spans="2:14" ht="1.5" customHeight="1">
      <c r="B487" s="57"/>
      <c r="C487" s="60"/>
      <c r="D487" s="60"/>
      <c r="E487" s="60"/>
      <c r="F487" s="60"/>
      <c r="G487" s="60"/>
      <c r="J487" s="99"/>
      <c r="K487" s="99"/>
      <c r="L487" s="99"/>
      <c r="M487" s="99"/>
      <c r="N487" s="43">
        <f t="shared" si="7"/>
        <v>0</v>
      </c>
    </row>
    <row r="488" spans="2:14" ht="1.5" customHeight="1">
      <c r="B488" s="57"/>
      <c r="C488" s="60"/>
      <c r="D488" s="60"/>
      <c r="E488" s="60"/>
      <c r="F488" s="60"/>
      <c r="G488" s="60"/>
      <c r="J488" s="99"/>
      <c r="K488" s="99"/>
      <c r="L488" s="99"/>
      <c r="M488" s="99"/>
      <c r="N488" s="43">
        <f t="shared" si="7"/>
        <v>0</v>
      </c>
    </row>
    <row r="489" spans="2:14" ht="1.5" customHeight="1">
      <c r="B489" s="57"/>
      <c r="C489" s="60"/>
      <c r="D489" s="60"/>
      <c r="E489" s="60"/>
      <c r="F489" s="60"/>
      <c r="G489" s="60"/>
      <c r="J489" s="99"/>
      <c r="K489" s="99"/>
      <c r="L489" s="99"/>
      <c r="M489" s="99"/>
      <c r="N489" s="43">
        <f t="shared" si="7"/>
        <v>0</v>
      </c>
    </row>
    <row r="490" spans="2:14" ht="1.5" customHeight="1">
      <c r="B490" s="57"/>
      <c r="C490" s="60"/>
      <c r="D490" s="60"/>
      <c r="E490" s="60"/>
      <c r="F490" s="60"/>
      <c r="G490" s="60"/>
      <c r="J490" s="99"/>
      <c r="K490" s="99"/>
      <c r="L490" s="99"/>
      <c r="M490" s="99"/>
      <c r="N490" s="43">
        <f t="shared" si="7"/>
        <v>0</v>
      </c>
    </row>
    <row r="491" spans="2:14" ht="1.5" customHeight="1">
      <c r="B491" s="57"/>
      <c r="C491" s="60"/>
      <c r="D491" s="60"/>
      <c r="E491" s="60"/>
      <c r="F491" s="60"/>
      <c r="G491" s="60"/>
      <c r="J491" s="99"/>
      <c r="K491" s="99"/>
      <c r="L491" s="99"/>
      <c r="M491" s="99"/>
      <c r="N491" s="43">
        <f t="shared" si="7"/>
        <v>0</v>
      </c>
    </row>
    <row r="492" spans="2:14" ht="1.5" customHeight="1">
      <c r="B492" s="57"/>
      <c r="C492" s="60"/>
      <c r="D492" s="60"/>
      <c r="E492" s="60"/>
      <c r="F492" s="60"/>
      <c r="G492" s="60"/>
      <c r="J492" s="99"/>
      <c r="K492" s="99"/>
      <c r="L492" s="99"/>
      <c r="M492" s="99"/>
      <c r="N492" s="43">
        <f t="shared" si="7"/>
        <v>0</v>
      </c>
    </row>
    <row r="493" spans="2:14" ht="1.5" customHeight="1">
      <c r="B493" s="57"/>
      <c r="C493" s="60"/>
      <c r="D493" s="60"/>
      <c r="E493" s="60"/>
      <c r="F493" s="60"/>
      <c r="G493" s="60"/>
      <c r="J493" s="99"/>
      <c r="K493" s="99"/>
      <c r="L493" s="99"/>
      <c r="M493" s="99"/>
      <c r="N493" s="43">
        <f t="shared" si="7"/>
        <v>0</v>
      </c>
    </row>
    <row r="494" spans="2:14" ht="1.5" customHeight="1">
      <c r="B494" s="57"/>
      <c r="C494" s="60"/>
      <c r="D494" s="60"/>
      <c r="E494" s="60"/>
      <c r="F494" s="60"/>
      <c r="G494" s="60"/>
      <c r="J494" s="99"/>
      <c r="K494" s="99"/>
      <c r="L494" s="99"/>
      <c r="M494" s="99"/>
      <c r="N494" s="43">
        <f t="shared" si="7"/>
        <v>0</v>
      </c>
    </row>
    <row r="495" spans="2:14" ht="1.5" customHeight="1">
      <c r="B495" s="57"/>
      <c r="C495" s="60"/>
      <c r="D495" s="60"/>
      <c r="E495" s="60"/>
      <c r="F495" s="60"/>
      <c r="G495" s="60"/>
      <c r="J495" s="99"/>
      <c r="K495" s="99"/>
      <c r="L495" s="99"/>
      <c r="M495" s="99"/>
      <c r="N495" s="43">
        <f t="shared" si="7"/>
        <v>0</v>
      </c>
    </row>
    <row r="496" spans="2:14" ht="1.5" customHeight="1">
      <c r="B496" s="57"/>
      <c r="C496" s="60"/>
      <c r="D496" s="60"/>
      <c r="E496" s="60"/>
      <c r="F496" s="60"/>
      <c r="G496" s="60"/>
      <c r="J496" s="99"/>
      <c r="K496" s="99"/>
      <c r="L496" s="99"/>
      <c r="M496" s="99"/>
      <c r="N496" s="43">
        <f t="shared" si="7"/>
        <v>0</v>
      </c>
    </row>
    <row r="497" spans="2:14" ht="1.5" customHeight="1">
      <c r="B497" s="57"/>
      <c r="C497" s="60"/>
      <c r="D497" s="60"/>
      <c r="E497" s="60"/>
      <c r="F497" s="60"/>
      <c r="G497" s="60"/>
      <c r="J497" s="99"/>
      <c r="K497" s="99"/>
      <c r="L497" s="99"/>
      <c r="M497" s="99"/>
      <c r="N497" s="43">
        <f t="shared" si="7"/>
        <v>0</v>
      </c>
    </row>
    <row r="498" spans="2:14" ht="1.5" customHeight="1">
      <c r="B498" s="57"/>
      <c r="C498" s="60"/>
      <c r="D498" s="60"/>
      <c r="E498" s="60"/>
      <c r="F498" s="60"/>
      <c r="G498" s="60"/>
      <c r="J498" s="99"/>
      <c r="K498" s="99"/>
      <c r="L498" s="99"/>
      <c r="M498" s="99"/>
      <c r="N498" s="43">
        <f t="shared" si="7"/>
        <v>0</v>
      </c>
    </row>
    <row r="499" spans="2:14" ht="1.5" customHeight="1">
      <c r="B499" s="57"/>
      <c r="C499" s="60"/>
      <c r="D499" s="60"/>
      <c r="E499" s="60"/>
      <c r="F499" s="60"/>
      <c r="G499" s="60"/>
      <c r="J499" s="99"/>
      <c r="K499" s="99"/>
      <c r="L499" s="99"/>
      <c r="M499" s="99"/>
      <c r="N499" s="43">
        <f t="shared" si="7"/>
        <v>0</v>
      </c>
    </row>
    <row r="500" spans="2:14" ht="1.5" customHeight="1">
      <c r="B500" s="57"/>
      <c r="C500" s="60"/>
      <c r="D500" s="60"/>
      <c r="E500" s="60"/>
      <c r="F500" s="60"/>
      <c r="G500" s="60"/>
      <c r="J500" s="99"/>
      <c r="K500" s="99"/>
      <c r="L500" s="99"/>
      <c r="M500" s="99"/>
      <c r="N500" s="43">
        <f t="shared" si="7"/>
        <v>0</v>
      </c>
    </row>
    <row r="501" spans="2:14" ht="1.5" customHeight="1">
      <c r="B501" s="57"/>
      <c r="C501" s="60"/>
      <c r="D501" s="60"/>
      <c r="E501" s="60"/>
      <c r="F501" s="60"/>
      <c r="G501" s="60"/>
      <c r="J501" s="99"/>
      <c r="K501" s="99"/>
      <c r="L501" s="99"/>
      <c r="M501" s="99"/>
      <c r="N501" s="43">
        <f t="shared" si="7"/>
        <v>0</v>
      </c>
    </row>
    <row r="502" spans="2:14" ht="1.5" customHeight="1">
      <c r="B502" s="57"/>
      <c r="C502" s="60"/>
      <c r="D502" s="60"/>
      <c r="E502" s="60"/>
      <c r="F502" s="60"/>
      <c r="G502" s="60"/>
      <c r="J502" s="99"/>
      <c r="K502" s="99"/>
      <c r="L502" s="99"/>
      <c r="M502" s="99"/>
      <c r="N502" s="43">
        <f t="shared" si="7"/>
        <v>0</v>
      </c>
    </row>
    <row r="503" spans="2:14" ht="1.5" customHeight="1">
      <c r="B503" s="57"/>
      <c r="C503" s="60"/>
      <c r="D503" s="60"/>
      <c r="E503" s="60"/>
      <c r="F503" s="60"/>
      <c r="G503" s="60"/>
      <c r="J503" s="99"/>
      <c r="K503" s="99"/>
      <c r="L503" s="99"/>
      <c r="M503" s="99"/>
      <c r="N503" s="43">
        <f t="shared" si="7"/>
        <v>0</v>
      </c>
    </row>
    <row r="504" spans="2:14" ht="1.5" customHeight="1">
      <c r="B504" s="57"/>
      <c r="C504" s="60"/>
      <c r="D504" s="60"/>
      <c r="E504" s="60"/>
      <c r="F504" s="60"/>
      <c r="G504" s="60"/>
      <c r="J504" s="99"/>
      <c r="K504" s="99"/>
      <c r="L504" s="99"/>
      <c r="M504" s="99"/>
      <c r="N504" s="43">
        <f t="shared" si="7"/>
        <v>0</v>
      </c>
    </row>
    <row r="505" spans="2:14" ht="1.5" customHeight="1">
      <c r="B505" s="57"/>
      <c r="C505" s="60"/>
      <c r="D505" s="60"/>
      <c r="E505" s="60"/>
      <c r="F505" s="60"/>
      <c r="G505" s="60"/>
      <c r="J505" s="99"/>
      <c r="K505" s="99"/>
      <c r="L505" s="99"/>
      <c r="M505" s="99"/>
      <c r="N505" s="43">
        <f t="shared" si="7"/>
        <v>0</v>
      </c>
    </row>
    <row r="506" spans="2:14" ht="1.5" customHeight="1">
      <c r="B506" s="57"/>
      <c r="C506" s="60"/>
      <c r="D506" s="60"/>
      <c r="E506" s="60"/>
      <c r="F506" s="60"/>
      <c r="G506" s="60"/>
      <c r="J506" s="99"/>
      <c r="K506" s="99"/>
      <c r="L506" s="99"/>
      <c r="M506" s="99"/>
      <c r="N506" s="43">
        <f t="shared" si="7"/>
        <v>0</v>
      </c>
    </row>
    <row r="507" spans="2:14" ht="1.5" customHeight="1">
      <c r="B507" s="57"/>
      <c r="C507" s="60"/>
      <c r="D507" s="60"/>
      <c r="E507" s="60"/>
      <c r="F507" s="60"/>
      <c r="G507" s="60"/>
      <c r="J507" s="99"/>
      <c r="K507" s="99"/>
      <c r="L507" s="99"/>
      <c r="M507" s="99"/>
      <c r="N507" s="43">
        <f t="shared" si="7"/>
        <v>0</v>
      </c>
    </row>
    <row r="508" spans="2:14" ht="1.5" customHeight="1">
      <c r="B508" s="57"/>
      <c r="C508" s="60"/>
      <c r="D508" s="60"/>
      <c r="E508" s="60"/>
      <c r="F508" s="60"/>
      <c r="G508" s="60"/>
      <c r="J508" s="99"/>
      <c r="K508" s="99"/>
      <c r="L508" s="99"/>
      <c r="M508" s="99"/>
      <c r="N508" s="43">
        <f t="shared" si="7"/>
        <v>0</v>
      </c>
    </row>
    <row r="509" spans="2:14" ht="1.5" customHeight="1">
      <c r="B509" s="57"/>
      <c r="C509" s="60"/>
      <c r="D509" s="60"/>
      <c r="E509" s="60"/>
      <c r="F509" s="60"/>
      <c r="G509" s="60"/>
      <c r="J509" s="99"/>
      <c r="K509" s="99"/>
      <c r="L509" s="99"/>
      <c r="M509" s="99"/>
      <c r="N509" s="43">
        <f t="shared" si="7"/>
        <v>0</v>
      </c>
    </row>
    <row r="510" spans="2:14" ht="1.5" customHeight="1">
      <c r="B510" s="57"/>
      <c r="C510" s="60"/>
      <c r="D510" s="60"/>
      <c r="E510" s="60"/>
      <c r="F510" s="60"/>
      <c r="G510" s="60"/>
      <c r="J510" s="99"/>
      <c r="K510" s="99"/>
      <c r="L510" s="99"/>
      <c r="M510" s="99"/>
      <c r="N510" s="43">
        <f t="shared" si="7"/>
        <v>0</v>
      </c>
    </row>
    <row r="511" spans="2:14" ht="1.5" customHeight="1">
      <c r="B511" s="57"/>
      <c r="C511" s="60"/>
      <c r="D511" s="60"/>
      <c r="E511" s="60"/>
      <c r="F511" s="60"/>
      <c r="G511" s="60"/>
      <c r="J511" s="99"/>
      <c r="K511" s="99"/>
      <c r="L511" s="99"/>
      <c r="M511" s="99"/>
      <c r="N511" s="43">
        <f t="shared" si="7"/>
        <v>0</v>
      </c>
    </row>
    <row r="512" spans="2:14" ht="1.5" customHeight="1">
      <c r="B512" s="57"/>
      <c r="C512" s="60"/>
      <c r="D512" s="60"/>
      <c r="E512" s="60"/>
      <c r="F512" s="60"/>
      <c r="G512" s="60"/>
      <c r="J512" s="99"/>
      <c r="K512" s="99"/>
      <c r="L512" s="99"/>
      <c r="M512" s="99"/>
      <c r="N512" s="43">
        <f t="shared" si="7"/>
        <v>0</v>
      </c>
    </row>
    <row r="513" spans="2:14" ht="1.5" customHeight="1">
      <c r="B513" s="57"/>
      <c r="C513" s="60"/>
      <c r="D513" s="60"/>
      <c r="E513" s="60"/>
      <c r="F513" s="60"/>
      <c r="G513" s="60"/>
      <c r="J513" s="99"/>
      <c r="K513" s="99"/>
      <c r="L513" s="99"/>
      <c r="M513" s="99"/>
      <c r="N513" s="43">
        <f t="shared" si="7"/>
        <v>0</v>
      </c>
    </row>
    <row r="514" spans="2:14" ht="1.5" customHeight="1">
      <c r="B514" s="57"/>
      <c r="C514" s="60"/>
      <c r="D514" s="60"/>
      <c r="E514" s="60"/>
      <c r="F514" s="60"/>
      <c r="G514" s="60"/>
      <c r="J514" s="99"/>
      <c r="K514" s="99"/>
      <c r="L514" s="99"/>
      <c r="M514" s="99"/>
      <c r="N514" s="43">
        <f t="shared" si="7"/>
        <v>0</v>
      </c>
    </row>
    <row r="515" spans="2:14" ht="1.5" customHeight="1">
      <c r="B515" s="57"/>
      <c r="C515" s="60"/>
      <c r="D515" s="60"/>
      <c r="E515" s="60"/>
      <c r="F515" s="60"/>
      <c r="G515" s="60"/>
      <c r="J515" s="99"/>
      <c r="K515" s="99"/>
      <c r="L515" s="99"/>
      <c r="M515" s="99"/>
      <c r="N515" s="43">
        <f t="shared" si="7"/>
        <v>0</v>
      </c>
    </row>
    <row r="516" spans="2:14" ht="1.5" customHeight="1">
      <c r="B516" s="57"/>
      <c r="C516" s="60"/>
      <c r="D516" s="60"/>
      <c r="E516" s="60"/>
      <c r="F516" s="60"/>
      <c r="G516" s="60"/>
      <c r="J516" s="99"/>
      <c r="K516" s="99"/>
      <c r="L516" s="99"/>
      <c r="M516" s="99"/>
      <c r="N516" s="43">
        <f t="shared" si="7"/>
        <v>0</v>
      </c>
    </row>
    <row r="517" spans="2:14" ht="1.5" customHeight="1">
      <c r="B517" s="57"/>
      <c r="C517" s="60"/>
      <c r="D517" s="60"/>
      <c r="E517" s="60"/>
      <c r="F517" s="60"/>
      <c r="G517" s="60"/>
      <c r="J517" s="99"/>
      <c r="K517" s="99"/>
      <c r="L517" s="99"/>
      <c r="M517" s="99"/>
      <c r="N517" s="43">
        <f t="shared" si="7"/>
        <v>0</v>
      </c>
    </row>
    <row r="518" spans="2:14" ht="1.5" customHeight="1">
      <c r="B518" s="57"/>
      <c r="C518" s="60"/>
      <c r="D518" s="60"/>
      <c r="E518" s="60"/>
      <c r="F518" s="60"/>
      <c r="G518" s="60"/>
      <c r="J518" s="99"/>
      <c r="K518" s="99"/>
      <c r="L518" s="99"/>
      <c r="M518" s="99"/>
      <c r="N518" s="43">
        <f t="shared" si="7"/>
        <v>0</v>
      </c>
    </row>
    <row r="519" spans="2:14" ht="1.5" customHeight="1">
      <c r="B519" s="57"/>
      <c r="C519" s="60"/>
      <c r="D519" s="60"/>
      <c r="E519" s="60"/>
      <c r="F519" s="60"/>
      <c r="G519" s="60"/>
      <c r="J519" s="99"/>
      <c r="K519" s="99"/>
      <c r="L519" s="99"/>
      <c r="M519" s="99"/>
      <c r="N519" s="43">
        <f t="shared" si="7"/>
        <v>0</v>
      </c>
    </row>
    <row r="520" spans="2:14" ht="1.5" customHeight="1">
      <c r="B520" s="57"/>
      <c r="C520" s="60"/>
      <c r="D520" s="60"/>
      <c r="E520" s="60"/>
      <c r="F520" s="60"/>
      <c r="G520" s="60"/>
      <c r="J520" s="99"/>
      <c r="K520" s="99"/>
      <c r="L520" s="99"/>
      <c r="M520" s="99"/>
      <c r="N520" s="43">
        <f t="shared" si="7"/>
        <v>0</v>
      </c>
    </row>
    <row r="521" spans="2:14" ht="1.5" customHeight="1">
      <c r="B521" s="57"/>
      <c r="C521" s="60"/>
      <c r="D521" s="60"/>
      <c r="E521" s="60"/>
      <c r="F521" s="60"/>
      <c r="G521" s="60"/>
      <c r="J521" s="99"/>
      <c r="K521" s="99"/>
      <c r="L521" s="99"/>
      <c r="M521" s="99"/>
      <c r="N521" s="43">
        <f t="shared" si="7"/>
        <v>0</v>
      </c>
    </row>
    <row r="522" spans="2:14" ht="1.5" customHeight="1">
      <c r="B522" s="57"/>
      <c r="C522" s="60"/>
      <c r="D522" s="60"/>
      <c r="E522" s="60"/>
      <c r="F522" s="60"/>
      <c r="G522" s="60"/>
      <c r="J522" s="99"/>
      <c r="K522" s="99"/>
      <c r="L522" s="99"/>
      <c r="M522" s="99"/>
      <c r="N522" s="43">
        <f t="shared" si="7"/>
        <v>0</v>
      </c>
    </row>
    <row r="523" spans="2:14" ht="1.5" customHeight="1">
      <c r="B523" s="57"/>
      <c r="C523" s="60"/>
      <c r="D523" s="60"/>
      <c r="E523" s="60"/>
      <c r="F523" s="60"/>
      <c r="G523" s="60"/>
      <c r="J523" s="99"/>
      <c r="K523" s="99"/>
      <c r="L523" s="99"/>
      <c r="M523" s="99"/>
      <c r="N523" s="43">
        <f t="shared" ref="N523:N586" si="8">IF($L$4=$C$10,C523,IF(D523="","",B523))</f>
        <v>0</v>
      </c>
    </row>
    <row r="524" spans="2:14" ht="1.5" customHeight="1">
      <c r="B524" s="57"/>
      <c r="C524" s="60"/>
      <c r="D524" s="60"/>
      <c r="E524" s="60"/>
      <c r="F524" s="60"/>
      <c r="G524" s="60"/>
      <c r="J524" s="99"/>
      <c r="K524" s="99"/>
      <c r="L524" s="99"/>
      <c r="M524" s="99"/>
      <c r="N524" s="43">
        <f t="shared" si="8"/>
        <v>0</v>
      </c>
    </row>
    <row r="525" spans="2:14" ht="1.5" customHeight="1">
      <c r="B525" s="57"/>
      <c r="C525" s="60"/>
      <c r="D525" s="60"/>
      <c r="E525" s="60"/>
      <c r="F525" s="60"/>
      <c r="G525" s="60"/>
      <c r="J525" s="99"/>
      <c r="K525" s="99"/>
      <c r="L525" s="99"/>
      <c r="M525" s="99"/>
      <c r="N525" s="43">
        <f t="shared" si="8"/>
        <v>0</v>
      </c>
    </row>
    <row r="526" spans="2:14" ht="1.5" customHeight="1">
      <c r="B526" s="57"/>
      <c r="C526" s="60"/>
      <c r="D526" s="60"/>
      <c r="E526" s="60"/>
      <c r="F526" s="60"/>
      <c r="G526" s="60"/>
      <c r="J526" s="99"/>
      <c r="K526" s="99"/>
      <c r="L526" s="99"/>
      <c r="M526" s="99"/>
      <c r="N526" s="43">
        <f t="shared" si="8"/>
        <v>0</v>
      </c>
    </row>
    <row r="527" spans="2:14" ht="1.5" customHeight="1">
      <c r="B527" s="57"/>
      <c r="C527" s="60"/>
      <c r="D527" s="60"/>
      <c r="E527" s="60"/>
      <c r="F527" s="60"/>
      <c r="G527" s="60"/>
      <c r="J527" s="99"/>
      <c r="K527" s="99"/>
      <c r="L527" s="99"/>
      <c r="M527" s="99"/>
      <c r="N527" s="43">
        <f t="shared" si="8"/>
        <v>0</v>
      </c>
    </row>
    <row r="528" spans="2:14" ht="1.5" customHeight="1">
      <c r="B528" s="57"/>
      <c r="C528" s="60"/>
      <c r="D528" s="60"/>
      <c r="E528" s="60"/>
      <c r="F528" s="60"/>
      <c r="G528" s="60"/>
      <c r="J528" s="99"/>
      <c r="K528" s="99"/>
      <c r="L528" s="99"/>
      <c r="M528" s="99"/>
      <c r="N528" s="43">
        <f t="shared" si="8"/>
        <v>0</v>
      </c>
    </row>
    <row r="529" spans="2:14" ht="1.5" customHeight="1">
      <c r="B529" s="57"/>
      <c r="C529" s="60"/>
      <c r="D529" s="60"/>
      <c r="E529" s="60"/>
      <c r="F529" s="60"/>
      <c r="G529" s="60"/>
      <c r="J529" s="99"/>
      <c r="K529" s="99"/>
      <c r="L529" s="99"/>
      <c r="M529" s="99"/>
      <c r="N529" s="43">
        <f t="shared" si="8"/>
        <v>0</v>
      </c>
    </row>
    <row r="530" spans="2:14" ht="1.5" customHeight="1">
      <c r="B530" s="57"/>
      <c r="C530" s="60"/>
      <c r="D530" s="60"/>
      <c r="E530" s="60"/>
      <c r="F530" s="60"/>
      <c r="G530" s="60"/>
      <c r="J530" s="99"/>
      <c r="K530" s="99"/>
      <c r="L530" s="99"/>
      <c r="M530" s="99"/>
      <c r="N530" s="43">
        <f t="shared" si="8"/>
        <v>0</v>
      </c>
    </row>
    <row r="531" spans="2:14" ht="1.5" customHeight="1">
      <c r="B531" s="57"/>
      <c r="C531" s="60"/>
      <c r="D531" s="60"/>
      <c r="E531" s="60"/>
      <c r="F531" s="60"/>
      <c r="G531" s="60"/>
      <c r="J531" s="99"/>
      <c r="K531" s="99"/>
      <c r="L531" s="99"/>
      <c r="M531" s="99"/>
      <c r="N531" s="43">
        <f t="shared" si="8"/>
        <v>0</v>
      </c>
    </row>
    <row r="532" spans="2:14" ht="1.5" customHeight="1">
      <c r="B532" s="57"/>
      <c r="C532" s="60"/>
      <c r="D532" s="60"/>
      <c r="E532" s="60"/>
      <c r="F532" s="60"/>
      <c r="G532" s="60"/>
      <c r="J532" s="99"/>
      <c r="K532" s="99"/>
      <c r="L532" s="99"/>
      <c r="M532" s="99"/>
      <c r="N532" s="43">
        <f t="shared" si="8"/>
        <v>0</v>
      </c>
    </row>
    <row r="533" spans="2:14" ht="1.5" customHeight="1">
      <c r="B533" s="57"/>
      <c r="C533" s="60"/>
      <c r="D533" s="60"/>
      <c r="E533" s="60"/>
      <c r="F533" s="60"/>
      <c r="G533" s="60"/>
      <c r="J533" s="99"/>
      <c r="K533" s="99"/>
      <c r="L533" s="99"/>
      <c r="M533" s="99"/>
      <c r="N533" s="43">
        <f t="shared" si="8"/>
        <v>0</v>
      </c>
    </row>
    <row r="534" spans="2:14" ht="1.5" customHeight="1">
      <c r="B534" s="57"/>
      <c r="C534" s="60"/>
      <c r="D534" s="60"/>
      <c r="E534" s="60"/>
      <c r="F534" s="60"/>
      <c r="G534" s="60"/>
      <c r="J534" s="99"/>
      <c r="K534" s="99"/>
      <c r="L534" s="99"/>
      <c r="M534" s="99"/>
      <c r="N534" s="43">
        <f t="shared" si="8"/>
        <v>0</v>
      </c>
    </row>
    <row r="535" spans="2:14" ht="1.5" customHeight="1">
      <c r="B535" s="57"/>
      <c r="C535" s="60"/>
      <c r="D535" s="60"/>
      <c r="E535" s="60"/>
      <c r="F535" s="60"/>
      <c r="G535" s="60"/>
      <c r="J535" s="99"/>
      <c r="K535" s="99"/>
      <c r="L535" s="99"/>
      <c r="M535" s="99"/>
      <c r="N535" s="43">
        <f t="shared" si="8"/>
        <v>0</v>
      </c>
    </row>
    <row r="536" spans="2:14" ht="1.5" customHeight="1">
      <c r="B536" s="57"/>
      <c r="C536" s="60"/>
      <c r="D536" s="60"/>
      <c r="E536" s="60"/>
      <c r="F536" s="60"/>
      <c r="G536" s="60"/>
      <c r="J536" s="99"/>
      <c r="K536" s="99"/>
      <c r="L536" s="99"/>
      <c r="M536" s="99"/>
      <c r="N536" s="43">
        <f t="shared" si="8"/>
        <v>0</v>
      </c>
    </row>
    <row r="537" spans="2:14" ht="1.5" customHeight="1">
      <c r="B537" s="57"/>
      <c r="C537" s="60"/>
      <c r="D537" s="60"/>
      <c r="E537" s="60"/>
      <c r="F537" s="60"/>
      <c r="G537" s="60"/>
      <c r="J537" s="99"/>
      <c r="K537" s="99"/>
      <c r="L537" s="99"/>
      <c r="M537" s="99"/>
      <c r="N537" s="43">
        <f t="shared" si="8"/>
        <v>0</v>
      </c>
    </row>
    <row r="538" spans="2:14" ht="1.5" customHeight="1">
      <c r="B538" s="57"/>
      <c r="C538" s="60"/>
      <c r="D538" s="60"/>
      <c r="E538" s="60"/>
      <c r="F538" s="60"/>
      <c r="G538" s="60"/>
      <c r="J538" s="99"/>
      <c r="K538" s="99"/>
      <c r="L538" s="99"/>
      <c r="M538" s="99"/>
      <c r="N538" s="43">
        <f t="shared" si="8"/>
        <v>0</v>
      </c>
    </row>
    <row r="539" spans="2:14" ht="1.5" customHeight="1">
      <c r="B539" s="57"/>
      <c r="C539" s="60"/>
      <c r="D539" s="60"/>
      <c r="E539" s="60"/>
      <c r="F539" s="60"/>
      <c r="G539" s="60"/>
      <c r="J539" s="99"/>
      <c r="K539" s="99"/>
      <c r="L539" s="99"/>
      <c r="M539" s="99"/>
      <c r="N539" s="43">
        <f t="shared" si="8"/>
        <v>0</v>
      </c>
    </row>
    <row r="540" spans="2:14" ht="1.5" customHeight="1">
      <c r="B540" s="57"/>
      <c r="C540" s="60"/>
      <c r="D540" s="60"/>
      <c r="E540" s="60"/>
      <c r="F540" s="60"/>
      <c r="G540" s="60"/>
      <c r="J540" s="99"/>
      <c r="K540" s="99"/>
      <c r="L540" s="99"/>
      <c r="M540" s="99"/>
      <c r="N540" s="43">
        <f t="shared" si="8"/>
        <v>0</v>
      </c>
    </row>
    <row r="541" spans="2:14" ht="1.5" customHeight="1">
      <c r="B541" s="57"/>
      <c r="C541" s="60"/>
      <c r="D541" s="60"/>
      <c r="E541" s="60"/>
      <c r="F541" s="60"/>
      <c r="G541" s="60"/>
      <c r="J541" s="99"/>
      <c r="K541" s="99"/>
      <c r="L541" s="99"/>
      <c r="M541" s="99"/>
      <c r="N541" s="43">
        <f t="shared" si="8"/>
        <v>0</v>
      </c>
    </row>
    <row r="542" spans="2:14" ht="1.5" customHeight="1">
      <c r="B542" s="57"/>
      <c r="C542" s="60"/>
      <c r="D542" s="60"/>
      <c r="E542" s="60"/>
      <c r="F542" s="60"/>
      <c r="G542" s="60"/>
      <c r="J542" s="99"/>
      <c r="K542" s="99"/>
      <c r="L542" s="99"/>
      <c r="M542" s="99"/>
      <c r="N542" s="43">
        <f t="shared" si="8"/>
        <v>0</v>
      </c>
    </row>
    <row r="543" spans="2:14" ht="1.5" customHeight="1">
      <c r="B543" s="57"/>
      <c r="C543" s="60"/>
      <c r="D543" s="60"/>
      <c r="E543" s="60"/>
      <c r="F543" s="60"/>
      <c r="G543" s="60"/>
      <c r="J543" s="99"/>
      <c r="K543" s="99"/>
      <c r="L543" s="99"/>
      <c r="M543" s="99"/>
      <c r="N543" s="43">
        <f t="shared" si="8"/>
        <v>0</v>
      </c>
    </row>
    <row r="544" spans="2:14" ht="1.5" customHeight="1">
      <c r="B544" s="57"/>
      <c r="C544" s="60"/>
      <c r="D544" s="60"/>
      <c r="E544" s="60"/>
      <c r="F544" s="60"/>
      <c r="G544" s="60"/>
      <c r="J544" s="99"/>
      <c r="K544" s="99"/>
      <c r="L544" s="99"/>
      <c r="M544" s="99"/>
      <c r="N544" s="43">
        <f t="shared" si="8"/>
        <v>0</v>
      </c>
    </row>
    <row r="545" spans="2:14" ht="1.5" customHeight="1">
      <c r="B545" s="57"/>
      <c r="C545" s="60"/>
      <c r="D545" s="60"/>
      <c r="E545" s="60"/>
      <c r="F545" s="60"/>
      <c r="G545" s="60"/>
      <c r="J545" s="99"/>
      <c r="K545" s="99"/>
      <c r="L545" s="99"/>
      <c r="M545" s="99"/>
      <c r="N545" s="43">
        <f t="shared" si="8"/>
        <v>0</v>
      </c>
    </row>
    <row r="546" spans="2:14" ht="1.5" customHeight="1">
      <c r="B546" s="57"/>
      <c r="C546" s="60"/>
      <c r="D546" s="60"/>
      <c r="E546" s="60"/>
      <c r="F546" s="60"/>
      <c r="G546" s="60"/>
      <c r="J546" s="99"/>
      <c r="K546" s="99"/>
      <c r="L546" s="99"/>
      <c r="M546" s="99"/>
      <c r="N546" s="43">
        <f t="shared" si="8"/>
        <v>0</v>
      </c>
    </row>
    <row r="547" spans="2:14" ht="1.5" customHeight="1">
      <c r="B547" s="57"/>
      <c r="C547" s="60"/>
      <c r="D547" s="60"/>
      <c r="E547" s="60"/>
      <c r="F547" s="60"/>
      <c r="G547" s="60"/>
      <c r="J547" s="99"/>
      <c r="K547" s="99"/>
      <c r="L547" s="99"/>
      <c r="M547" s="99"/>
      <c r="N547" s="43">
        <f t="shared" si="8"/>
        <v>0</v>
      </c>
    </row>
    <row r="548" spans="2:14" ht="1.5" customHeight="1">
      <c r="B548" s="57"/>
      <c r="C548" s="60"/>
      <c r="D548" s="60"/>
      <c r="E548" s="60"/>
      <c r="F548" s="60"/>
      <c r="G548" s="60"/>
      <c r="J548" s="99"/>
      <c r="K548" s="99"/>
      <c r="L548" s="99"/>
      <c r="M548" s="99"/>
      <c r="N548" s="43">
        <f t="shared" si="8"/>
        <v>0</v>
      </c>
    </row>
    <row r="549" spans="2:14" ht="1.5" customHeight="1">
      <c r="B549" s="57"/>
      <c r="C549" s="60"/>
      <c r="D549" s="60"/>
      <c r="E549" s="60"/>
      <c r="F549" s="60"/>
      <c r="G549" s="60"/>
      <c r="J549" s="99"/>
      <c r="K549" s="99"/>
      <c r="L549" s="99"/>
      <c r="M549" s="99"/>
      <c r="N549" s="43">
        <f t="shared" si="8"/>
        <v>0</v>
      </c>
    </row>
    <row r="550" spans="2:14" ht="1.5" customHeight="1">
      <c r="B550" s="57"/>
      <c r="C550" s="60"/>
      <c r="D550" s="60"/>
      <c r="E550" s="60"/>
      <c r="F550" s="60"/>
      <c r="G550" s="60"/>
      <c r="J550" s="99"/>
      <c r="K550" s="99"/>
      <c r="L550" s="99"/>
      <c r="M550" s="99"/>
      <c r="N550" s="43">
        <f t="shared" si="8"/>
        <v>0</v>
      </c>
    </row>
    <row r="551" spans="2:14" ht="1.5" customHeight="1">
      <c r="B551" s="57"/>
      <c r="C551" s="60"/>
      <c r="D551" s="60"/>
      <c r="E551" s="60"/>
      <c r="F551" s="60"/>
      <c r="G551" s="60"/>
      <c r="J551" s="99"/>
      <c r="K551" s="99"/>
      <c r="L551" s="99"/>
      <c r="M551" s="99"/>
      <c r="N551" s="43">
        <f t="shared" si="8"/>
        <v>0</v>
      </c>
    </row>
    <row r="552" spans="2:14" ht="1.5" customHeight="1">
      <c r="B552" s="57"/>
      <c r="C552" s="60"/>
      <c r="D552" s="60"/>
      <c r="E552" s="60"/>
      <c r="F552" s="60"/>
      <c r="G552" s="60"/>
      <c r="J552" s="99"/>
      <c r="K552" s="99"/>
      <c r="L552" s="99"/>
      <c r="M552" s="99"/>
      <c r="N552" s="43">
        <f t="shared" si="8"/>
        <v>0</v>
      </c>
    </row>
    <row r="553" spans="2:14" ht="1.5" customHeight="1">
      <c r="B553" s="57"/>
      <c r="C553" s="60"/>
      <c r="D553" s="60"/>
      <c r="E553" s="60"/>
      <c r="F553" s="60"/>
      <c r="G553" s="60"/>
      <c r="J553" s="99"/>
      <c r="K553" s="99"/>
      <c r="L553" s="99"/>
      <c r="M553" s="99"/>
      <c r="N553" s="43">
        <f t="shared" si="8"/>
        <v>0</v>
      </c>
    </row>
    <row r="554" spans="2:14" ht="1.5" customHeight="1">
      <c r="B554" s="57"/>
      <c r="C554" s="60"/>
      <c r="D554" s="60"/>
      <c r="E554" s="60"/>
      <c r="F554" s="60"/>
      <c r="G554" s="60"/>
      <c r="J554" s="99"/>
      <c r="K554" s="99"/>
      <c r="L554" s="99"/>
      <c r="M554" s="99"/>
      <c r="N554" s="43">
        <f t="shared" si="8"/>
        <v>0</v>
      </c>
    </row>
    <row r="555" spans="2:14" ht="1.5" customHeight="1">
      <c r="B555" s="57"/>
      <c r="C555" s="60"/>
      <c r="D555" s="60"/>
      <c r="E555" s="60"/>
      <c r="F555" s="60"/>
      <c r="G555" s="60"/>
      <c r="J555" s="99"/>
      <c r="K555" s="99"/>
      <c r="L555" s="99"/>
      <c r="M555" s="99"/>
      <c r="N555" s="43">
        <f t="shared" si="8"/>
        <v>0</v>
      </c>
    </row>
    <row r="556" spans="2:14" ht="1.5" customHeight="1">
      <c r="B556" s="57"/>
      <c r="C556" s="60"/>
      <c r="D556" s="60"/>
      <c r="E556" s="60"/>
      <c r="F556" s="60"/>
      <c r="G556" s="60"/>
      <c r="J556" s="99"/>
      <c r="K556" s="99"/>
      <c r="L556" s="99"/>
      <c r="M556" s="99"/>
      <c r="N556" s="43">
        <f t="shared" si="8"/>
        <v>0</v>
      </c>
    </row>
    <row r="557" spans="2:14" ht="1.5" customHeight="1">
      <c r="B557" s="57"/>
      <c r="C557" s="60"/>
      <c r="D557" s="60"/>
      <c r="E557" s="60"/>
      <c r="F557" s="60"/>
      <c r="G557" s="60"/>
      <c r="J557" s="99"/>
      <c r="K557" s="99"/>
      <c r="L557" s="99"/>
      <c r="M557" s="99"/>
      <c r="N557" s="43">
        <f t="shared" si="8"/>
        <v>0</v>
      </c>
    </row>
    <row r="558" spans="2:14" ht="1.5" customHeight="1">
      <c r="B558" s="57"/>
      <c r="C558" s="60"/>
      <c r="D558" s="60"/>
      <c r="E558" s="60"/>
      <c r="F558" s="60"/>
      <c r="G558" s="60"/>
      <c r="J558" s="99"/>
      <c r="K558" s="99"/>
      <c r="L558" s="99"/>
      <c r="M558" s="99"/>
      <c r="N558" s="43">
        <f t="shared" si="8"/>
        <v>0</v>
      </c>
    </row>
    <row r="559" spans="2:14" ht="1.5" customHeight="1">
      <c r="B559" s="57"/>
      <c r="C559" s="60"/>
      <c r="D559" s="60"/>
      <c r="E559" s="60"/>
      <c r="F559" s="60"/>
      <c r="G559" s="60"/>
      <c r="J559" s="99"/>
      <c r="K559" s="99"/>
      <c r="L559" s="99"/>
      <c r="M559" s="99"/>
      <c r="N559" s="43">
        <f t="shared" si="8"/>
        <v>0</v>
      </c>
    </row>
    <row r="560" spans="2:14" ht="1.5" customHeight="1">
      <c r="B560" s="57"/>
      <c r="C560" s="60"/>
      <c r="D560" s="60"/>
      <c r="E560" s="60"/>
      <c r="F560" s="60"/>
      <c r="G560" s="60"/>
      <c r="J560" s="99"/>
      <c r="K560" s="99"/>
      <c r="L560" s="99"/>
      <c r="M560" s="99"/>
      <c r="N560" s="43">
        <f t="shared" si="8"/>
        <v>0</v>
      </c>
    </row>
    <row r="561" spans="2:14" ht="1.5" customHeight="1">
      <c r="B561" s="57"/>
      <c r="C561" s="60"/>
      <c r="D561" s="60"/>
      <c r="E561" s="60"/>
      <c r="F561" s="60"/>
      <c r="G561" s="60"/>
      <c r="J561" s="99"/>
      <c r="K561" s="99"/>
      <c r="L561" s="99"/>
      <c r="M561" s="99"/>
      <c r="N561" s="43">
        <f t="shared" si="8"/>
        <v>0</v>
      </c>
    </row>
    <row r="562" spans="2:14" ht="1.5" customHeight="1">
      <c r="B562" s="57"/>
      <c r="C562" s="60"/>
      <c r="D562" s="60"/>
      <c r="E562" s="60"/>
      <c r="F562" s="60"/>
      <c r="G562" s="60"/>
      <c r="J562" s="99"/>
      <c r="K562" s="99"/>
      <c r="L562" s="99"/>
      <c r="M562" s="99"/>
      <c r="N562" s="43">
        <f t="shared" si="8"/>
        <v>0</v>
      </c>
    </row>
    <row r="563" spans="2:14" ht="1.5" customHeight="1">
      <c r="B563" s="57"/>
      <c r="C563" s="60"/>
      <c r="D563" s="60"/>
      <c r="E563" s="60"/>
      <c r="F563" s="60"/>
      <c r="G563" s="60"/>
      <c r="J563" s="99"/>
      <c r="K563" s="99"/>
      <c r="L563" s="99"/>
      <c r="M563" s="99"/>
      <c r="N563" s="43">
        <f t="shared" si="8"/>
        <v>0</v>
      </c>
    </row>
    <row r="564" spans="2:14" ht="1.5" customHeight="1">
      <c r="B564" s="57"/>
      <c r="C564" s="60"/>
      <c r="D564" s="60"/>
      <c r="E564" s="60"/>
      <c r="F564" s="60"/>
      <c r="G564" s="60"/>
      <c r="J564" s="99"/>
      <c r="K564" s="99"/>
      <c r="L564" s="99"/>
      <c r="M564" s="99"/>
      <c r="N564" s="43">
        <f t="shared" si="8"/>
        <v>0</v>
      </c>
    </row>
    <row r="565" spans="2:14" ht="1.5" customHeight="1">
      <c r="B565" s="57"/>
      <c r="C565" s="60"/>
      <c r="D565" s="60"/>
      <c r="E565" s="60"/>
      <c r="F565" s="60"/>
      <c r="G565" s="60"/>
      <c r="J565" s="99"/>
      <c r="K565" s="99"/>
      <c r="L565" s="99"/>
      <c r="M565" s="99"/>
      <c r="N565" s="43">
        <f t="shared" si="8"/>
        <v>0</v>
      </c>
    </row>
    <row r="566" spans="2:14" ht="1.5" customHeight="1">
      <c r="B566" s="57"/>
      <c r="C566" s="60"/>
      <c r="D566" s="60"/>
      <c r="E566" s="60"/>
      <c r="F566" s="60"/>
      <c r="G566" s="60"/>
      <c r="J566" s="99"/>
      <c r="K566" s="99"/>
      <c r="L566" s="99"/>
      <c r="M566" s="99"/>
      <c r="N566" s="43">
        <f t="shared" si="8"/>
        <v>0</v>
      </c>
    </row>
    <row r="567" spans="2:14" ht="1.5" customHeight="1">
      <c r="B567" s="57"/>
      <c r="C567" s="60"/>
      <c r="D567" s="60"/>
      <c r="E567" s="60"/>
      <c r="F567" s="60"/>
      <c r="G567" s="60"/>
      <c r="J567" s="99"/>
      <c r="K567" s="99"/>
      <c r="L567" s="99"/>
      <c r="M567" s="99"/>
      <c r="N567" s="43">
        <f t="shared" si="8"/>
        <v>0</v>
      </c>
    </row>
    <row r="568" spans="2:14" ht="1.5" customHeight="1">
      <c r="B568" s="57"/>
      <c r="C568" s="60"/>
      <c r="D568" s="60"/>
      <c r="E568" s="60"/>
      <c r="F568" s="60"/>
      <c r="G568" s="60"/>
      <c r="J568" s="99"/>
      <c r="K568" s="99"/>
      <c r="L568" s="99"/>
      <c r="M568" s="99"/>
      <c r="N568" s="43">
        <f t="shared" si="8"/>
        <v>0</v>
      </c>
    </row>
    <row r="569" spans="2:14" ht="1.5" customHeight="1">
      <c r="B569" s="57"/>
      <c r="C569" s="60"/>
      <c r="D569" s="60"/>
      <c r="E569" s="60"/>
      <c r="F569" s="60"/>
      <c r="G569" s="60"/>
      <c r="J569" s="99"/>
      <c r="K569" s="99"/>
      <c r="L569" s="99"/>
      <c r="M569" s="99"/>
      <c r="N569" s="43">
        <f t="shared" si="8"/>
        <v>0</v>
      </c>
    </row>
    <row r="570" spans="2:14" ht="1.5" customHeight="1">
      <c r="B570" s="57"/>
      <c r="C570" s="60"/>
      <c r="D570" s="60"/>
      <c r="E570" s="60"/>
      <c r="F570" s="60"/>
      <c r="G570" s="60"/>
      <c r="J570" s="99"/>
      <c r="K570" s="99"/>
      <c r="L570" s="99"/>
      <c r="M570" s="99"/>
      <c r="N570" s="43">
        <f t="shared" si="8"/>
        <v>0</v>
      </c>
    </row>
    <row r="571" spans="2:14" ht="1.5" customHeight="1">
      <c r="B571" s="57"/>
      <c r="C571" s="60"/>
      <c r="D571" s="60"/>
      <c r="E571" s="60"/>
      <c r="F571" s="60"/>
      <c r="G571" s="60"/>
      <c r="J571" s="99"/>
      <c r="K571" s="99"/>
      <c r="L571" s="99"/>
      <c r="M571" s="99"/>
      <c r="N571" s="43">
        <f t="shared" si="8"/>
        <v>0</v>
      </c>
    </row>
    <row r="572" spans="2:14" ht="1.5" customHeight="1">
      <c r="B572" s="57"/>
      <c r="C572" s="60"/>
      <c r="D572" s="60"/>
      <c r="E572" s="60"/>
      <c r="F572" s="60"/>
      <c r="G572" s="60"/>
      <c r="J572" s="99"/>
      <c r="K572" s="99"/>
      <c r="L572" s="99"/>
      <c r="M572" s="99"/>
      <c r="N572" s="43">
        <f t="shared" si="8"/>
        <v>0</v>
      </c>
    </row>
    <row r="573" spans="2:14" ht="1.5" customHeight="1">
      <c r="B573" s="57"/>
      <c r="C573" s="60"/>
      <c r="D573" s="60"/>
      <c r="E573" s="60"/>
      <c r="F573" s="60"/>
      <c r="G573" s="60"/>
      <c r="J573" s="99"/>
      <c r="K573" s="99"/>
      <c r="L573" s="99"/>
      <c r="M573" s="99"/>
      <c r="N573" s="43">
        <f t="shared" si="8"/>
        <v>0</v>
      </c>
    </row>
    <row r="574" spans="2:14" ht="1.5" customHeight="1">
      <c r="B574" s="57"/>
      <c r="C574" s="60"/>
      <c r="D574" s="60"/>
      <c r="E574" s="60"/>
      <c r="F574" s="60"/>
      <c r="G574" s="60"/>
      <c r="J574" s="99"/>
      <c r="K574" s="99"/>
      <c r="L574" s="99"/>
      <c r="M574" s="99"/>
      <c r="N574" s="43">
        <f t="shared" si="8"/>
        <v>0</v>
      </c>
    </row>
    <row r="575" spans="2:14" ht="1.5" customHeight="1">
      <c r="B575" s="57"/>
      <c r="C575" s="60"/>
      <c r="D575" s="60"/>
      <c r="E575" s="60"/>
      <c r="F575" s="60"/>
      <c r="G575" s="60"/>
      <c r="J575" s="99"/>
      <c r="K575" s="99"/>
      <c r="L575" s="99"/>
      <c r="M575" s="99"/>
      <c r="N575" s="43">
        <f t="shared" si="8"/>
        <v>0</v>
      </c>
    </row>
    <row r="576" spans="2:14" ht="1.5" customHeight="1">
      <c r="B576" s="57"/>
      <c r="C576" s="60"/>
      <c r="D576" s="60"/>
      <c r="E576" s="60"/>
      <c r="F576" s="60"/>
      <c r="G576" s="60"/>
      <c r="J576" s="99"/>
      <c r="K576" s="99"/>
      <c r="L576" s="99"/>
      <c r="M576" s="99"/>
      <c r="N576" s="43">
        <f t="shared" si="8"/>
        <v>0</v>
      </c>
    </row>
    <row r="577" spans="2:14" ht="1.5" customHeight="1">
      <c r="B577" s="57"/>
      <c r="C577" s="60"/>
      <c r="D577" s="60"/>
      <c r="E577" s="60"/>
      <c r="F577" s="60"/>
      <c r="G577" s="60"/>
      <c r="J577" s="99"/>
      <c r="K577" s="99"/>
      <c r="L577" s="99"/>
      <c r="M577" s="99"/>
      <c r="N577" s="43">
        <f t="shared" si="8"/>
        <v>0</v>
      </c>
    </row>
    <row r="578" spans="2:14" ht="1.5" customHeight="1">
      <c r="B578" s="57"/>
      <c r="C578" s="60"/>
      <c r="D578" s="60"/>
      <c r="E578" s="60"/>
      <c r="F578" s="60"/>
      <c r="G578" s="60"/>
      <c r="J578" s="99"/>
      <c r="K578" s="99"/>
      <c r="L578" s="99"/>
      <c r="M578" s="99"/>
      <c r="N578" s="43">
        <f t="shared" si="8"/>
        <v>0</v>
      </c>
    </row>
    <row r="579" spans="2:14" ht="1.5" customHeight="1">
      <c r="B579" s="57"/>
      <c r="C579" s="60"/>
      <c r="D579" s="60"/>
      <c r="E579" s="60"/>
      <c r="F579" s="60"/>
      <c r="G579" s="60"/>
      <c r="J579" s="99"/>
      <c r="K579" s="99"/>
      <c r="L579" s="99"/>
      <c r="M579" s="99"/>
      <c r="N579" s="43">
        <f t="shared" si="8"/>
        <v>0</v>
      </c>
    </row>
    <row r="580" spans="2:14" ht="1.5" customHeight="1">
      <c r="B580" s="57"/>
      <c r="C580" s="60"/>
      <c r="D580" s="60"/>
      <c r="E580" s="60"/>
      <c r="F580" s="60"/>
      <c r="G580" s="60"/>
      <c r="J580" s="99"/>
      <c r="K580" s="99"/>
      <c r="L580" s="99"/>
      <c r="M580" s="99"/>
      <c r="N580" s="43">
        <f t="shared" si="8"/>
        <v>0</v>
      </c>
    </row>
    <row r="581" spans="2:14" ht="1.5" customHeight="1">
      <c r="B581" s="57"/>
      <c r="C581" s="60"/>
      <c r="D581" s="60"/>
      <c r="E581" s="60"/>
      <c r="F581" s="60"/>
      <c r="G581" s="60"/>
      <c r="J581" s="99"/>
      <c r="K581" s="99"/>
      <c r="L581" s="99"/>
      <c r="M581" s="99"/>
      <c r="N581" s="43">
        <f t="shared" si="8"/>
        <v>0</v>
      </c>
    </row>
    <row r="582" spans="2:14" ht="1.5" customHeight="1">
      <c r="B582" s="57"/>
      <c r="C582" s="60"/>
      <c r="D582" s="60"/>
      <c r="E582" s="60"/>
      <c r="F582" s="60"/>
      <c r="G582" s="60"/>
      <c r="J582" s="99"/>
      <c r="K582" s="99"/>
      <c r="L582" s="99"/>
      <c r="M582" s="99"/>
      <c r="N582" s="43">
        <f t="shared" si="8"/>
        <v>0</v>
      </c>
    </row>
    <row r="583" spans="2:14" ht="1.5" customHeight="1">
      <c r="B583" s="57"/>
      <c r="C583" s="60"/>
      <c r="D583" s="60"/>
      <c r="E583" s="60"/>
      <c r="F583" s="60"/>
      <c r="G583" s="60"/>
      <c r="J583" s="99"/>
      <c r="K583" s="99"/>
      <c r="L583" s="99"/>
      <c r="M583" s="99"/>
      <c r="N583" s="43">
        <f t="shared" si="8"/>
        <v>0</v>
      </c>
    </row>
    <row r="584" spans="2:14" ht="1.5" customHeight="1">
      <c r="B584" s="57"/>
      <c r="C584" s="60"/>
      <c r="D584" s="60"/>
      <c r="E584" s="60"/>
      <c r="F584" s="60"/>
      <c r="G584" s="60"/>
      <c r="J584" s="99"/>
      <c r="K584" s="99"/>
      <c r="L584" s="99"/>
      <c r="M584" s="99"/>
      <c r="N584" s="43">
        <f t="shared" si="8"/>
        <v>0</v>
      </c>
    </row>
    <row r="585" spans="2:14" ht="1.5" customHeight="1">
      <c r="B585" s="57"/>
      <c r="C585" s="60"/>
      <c r="D585" s="60"/>
      <c r="E585" s="60"/>
      <c r="F585" s="60"/>
      <c r="G585" s="60"/>
      <c r="J585" s="99"/>
      <c r="K585" s="99"/>
      <c r="L585" s="99"/>
      <c r="M585" s="99"/>
      <c r="N585" s="43">
        <f t="shared" si="8"/>
        <v>0</v>
      </c>
    </row>
    <row r="586" spans="2:14" ht="1.5" customHeight="1">
      <c r="B586" s="57"/>
      <c r="C586" s="60"/>
      <c r="D586" s="60"/>
      <c r="E586" s="60"/>
      <c r="F586" s="60"/>
      <c r="G586" s="60"/>
      <c r="J586" s="99"/>
      <c r="K586" s="99"/>
      <c r="L586" s="99"/>
      <c r="M586" s="99"/>
      <c r="N586" s="43">
        <f t="shared" si="8"/>
        <v>0</v>
      </c>
    </row>
    <row r="587" spans="2:14" ht="1.5" customHeight="1">
      <c r="B587" s="57"/>
      <c r="C587" s="60"/>
      <c r="D587" s="60"/>
      <c r="E587" s="60"/>
      <c r="F587" s="60"/>
      <c r="G587" s="60"/>
      <c r="J587" s="99"/>
      <c r="K587" s="99"/>
      <c r="L587" s="99"/>
      <c r="M587" s="99"/>
      <c r="N587" s="43">
        <f t="shared" ref="N587:N650" si="9">IF($L$4=$C$10,C587,IF(D587="","",B587))</f>
        <v>0</v>
      </c>
    </row>
    <row r="588" spans="2:14" ht="1.5" customHeight="1">
      <c r="B588" s="57"/>
      <c r="C588" s="60"/>
      <c r="D588" s="60"/>
      <c r="E588" s="60"/>
      <c r="F588" s="60"/>
      <c r="G588" s="60"/>
      <c r="J588" s="99"/>
      <c r="K588" s="99"/>
      <c r="L588" s="99"/>
      <c r="M588" s="99"/>
      <c r="N588" s="43">
        <f t="shared" si="9"/>
        <v>0</v>
      </c>
    </row>
    <row r="589" spans="2:14" ht="1.5" customHeight="1">
      <c r="B589" s="57"/>
      <c r="C589" s="60"/>
      <c r="D589" s="60"/>
      <c r="E589" s="60"/>
      <c r="F589" s="60"/>
      <c r="G589" s="60"/>
      <c r="J589" s="99"/>
      <c r="K589" s="99"/>
      <c r="L589" s="99"/>
      <c r="M589" s="99"/>
      <c r="N589" s="43">
        <f t="shared" si="9"/>
        <v>0</v>
      </c>
    </row>
    <row r="590" spans="2:14" ht="1.5" customHeight="1">
      <c r="B590" s="57"/>
      <c r="C590" s="60"/>
      <c r="D590" s="60"/>
      <c r="E590" s="60"/>
      <c r="F590" s="60"/>
      <c r="G590" s="60"/>
      <c r="J590" s="99"/>
      <c r="K590" s="99"/>
      <c r="L590" s="99"/>
      <c r="M590" s="99"/>
      <c r="N590" s="43">
        <f t="shared" si="9"/>
        <v>0</v>
      </c>
    </row>
    <row r="591" spans="2:14" ht="1.5" customHeight="1">
      <c r="B591" s="57"/>
      <c r="C591" s="60"/>
      <c r="D591" s="60"/>
      <c r="E591" s="60"/>
      <c r="F591" s="60"/>
      <c r="G591" s="60"/>
      <c r="J591" s="99"/>
      <c r="K591" s="99"/>
      <c r="L591" s="99"/>
      <c r="M591" s="99"/>
      <c r="N591" s="43">
        <f t="shared" si="9"/>
        <v>0</v>
      </c>
    </row>
    <row r="592" spans="2:14" ht="1.5" customHeight="1">
      <c r="B592" s="57"/>
      <c r="C592" s="60"/>
      <c r="D592" s="60"/>
      <c r="E592" s="60"/>
      <c r="F592" s="60"/>
      <c r="G592" s="60"/>
      <c r="J592" s="99"/>
      <c r="K592" s="99"/>
      <c r="L592" s="99"/>
      <c r="M592" s="99"/>
      <c r="N592" s="43">
        <f t="shared" si="9"/>
        <v>0</v>
      </c>
    </row>
    <row r="593" spans="2:14" ht="1.5" customHeight="1">
      <c r="B593" s="57"/>
      <c r="C593" s="60"/>
      <c r="D593" s="60"/>
      <c r="E593" s="60"/>
      <c r="F593" s="60"/>
      <c r="G593" s="60"/>
      <c r="J593" s="99"/>
      <c r="K593" s="99"/>
      <c r="L593" s="99"/>
      <c r="M593" s="99"/>
      <c r="N593" s="43">
        <f t="shared" si="9"/>
        <v>0</v>
      </c>
    </row>
    <row r="594" spans="2:14" ht="1.5" customHeight="1">
      <c r="B594" s="57"/>
      <c r="C594" s="60"/>
      <c r="D594" s="60"/>
      <c r="E594" s="60"/>
      <c r="F594" s="60"/>
      <c r="G594" s="60"/>
      <c r="J594" s="99"/>
      <c r="K594" s="99"/>
      <c r="L594" s="99"/>
      <c r="M594" s="99"/>
      <c r="N594" s="43">
        <f t="shared" si="9"/>
        <v>0</v>
      </c>
    </row>
    <row r="595" spans="2:14" ht="1.5" customHeight="1">
      <c r="B595" s="57"/>
      <c r="C595" s="60"/>
      <c r="D595" s="60"/>
      <c r="E595" s="60"/>
      <c r="F595" s="60"/>
      <c r="G595" s="60"/>
      <c r="J595" s="99"/>
      <c r="K595" s="99"/>
      <c r="L595" s="99"/>
      <c r="M595" s="99"/>
      <c r="N595" s="43">
        <f t="shared" si="9"/>
        <v>0</v>
      </c>
    </row>
    <row r="596" spans="2:14" ht="1.5" customHeight="1">
      <c r="B596" s="57"/>
      <c r="C596" s="60"/>
      <c r="D596" s="60"/>
      <c r="E596" s="60"/>
      <c r="F596" s="60"/>
      <c r="G596" s="60"/>
      <c r="J596" s="99"/>
      <c r="K596" s="99"/>
      <c r="L596" s="99"/>
      <c r="M596" s="99"/>
      <c r="N596" s="43">
        <f t="shared" si="9"/>
        <v>0</v>
      </c>
    </row>
    <row r="597" spans="2:14" ht="1.5" customHeight="1">
      <c r="B597" s="57"/>
      <c r="C597" s="60"/>
      <c r="D597" s="60"/>
      <c r="E597" s="60"/>
      <c r="F597" s="60"/>
      <c r="G597" s="60"/>
      <c r="J597" s="99"/>
      <c r="K597" s="99"/>
      <c r="L597" s="99"/>
      <c r="M597" s="99"/>
      <c r="N597" s="43">
        <f t="shared" si="9"/>
        <v>0</v>
      </c>
    </row>
    <row r="598" spans="2:14" ht="1.5" customHeight="1">
      <c r="B598" s="57"/>
      <c r="C598" s="60"/>
      <c r="D598" s="60"/>
      <c r="E598" s="60"/>
      <c r="F598" s="60"/>
      <c r="G598" s="60"/>
      <c r="J598" s="99"/>
      <c r="K598" s="99"/>
      <c r="L598" s="99"/>
      <c r="M598" s="99"/>
      <c r="N598" s="43">
        <f t="shared" si="9"/>
        <v>0</v>
      </c>
    </row>
    <row r="599" spans="2:14" ht="1.5" customHeight="1">
      <c r="B599" s="57"/>
      <c r="C599" s="60"/>
      <c r="D599" s="60"/>
      <c r="E599" s="60"/>
      <c r="F599" s="60"/>
      <c r="G599" s="60"/>
      <c r="J599" s="99"/>
      <c r="K599" s="99"/>
      <c r="L599" s="99"/>
      <c r="M599" s="99"/>
      <c r="N599" s="43">
        <f t="shared" si="9"/>
        <v>0</v>
      </c>
    </row>
    <row r="600" spans="2:14" ht="1.5" customHeight="1">
      <c r="B600" s="57"/>
      <c r="C600" s="60"/>
      <c r="D600" s="60"/>
      <c r="E600" s="60"/>
      <c r="F600" s="60"/>
      <c r="G600" s="60"/>
      <c r="J600" s="99"/>
      <c r="K600" s="99"/>
      <c r="L600" s="99"/>
      <c r="M600" s="99"/>
      <c r="N600" s="43">
        <f t="shared" si="9"/>
        <v>0</v>
      </c>
    </row>
    <row r="601" spans="2:14" ht="1.5" customHeight="1">
      <c r="B601" s="57"/>
      <c r="C601" s="60"/>
      <c r="D601" s="60"/>
      <c r="E601" s="60"/>
      <c r="F601" s="60"/>
      <c r="G601" s="60"/>
      <c r="J601" s="99"/>
      <c r="K601" s="99"/>
      <c r="L601" s="99"/>
      <c r="M601" s="99"/>
      <c r="N601" s="43">
        <f t="shared" si="9"/>
        <v>0</v>
      </c>
    </row>
    <row r="602" spans="2:14" ht="1.5" customHeight="1">
      <c r="B602" s="57"/>
      <c r="C602" s="60"/>
      <c r="D602" s="60"/>
      <c r="E602" s="60"/>
      <c r="F602" s="60"/>
      <c r="G602" s="60"/>
      <c r="J602" s="99"/>
      <c r="K602" s="99"/>
      <c r="L602" s="99"/>
      <c r="M602" s="99"/>
      <c r="N602" s="43">
        <f t="shared" si="9"/>
        <v>0</v>
      </c>
    </row>
    <row r="603" spans="2:14" ht="1.5" customHeight="1">
      <c r="B603" s="57"/>
      <c r="C603" s="60"/>
      <c r="D603" s="60"/>
      <c r="E603" s="60"/>
      <c r="F603" s="60"/>
      <c r="G603" s="60"/>
      <c r="J603" s="99"/>
      <c r="K603" s="99"/>
      <c r="L603" s="99"/>
      <c r="M603" s="99"/>
      <c r="N603" s="43">
        <f t="shared" si="9"/>
        <v>0</v>
      </c>
    </row>
    <row r="604" spans="2:14" ht="1.5" customHeight="1">
      <c r="B604" s="57"/>
      <c r="C604" s="60"/>
      <c r="D604" s="60"/>
      <c r="E604" s="60"/>
      <c r="F604" s="60"/>
      <c r="G604" s="60"/>
      <c r="J604" s="99"/>
      <c r="K604" s="99"/>
      <c r="L604" s="99"/>
      <c r="M604" s="99"/>
      <c r="N604" s="43">
        <f t="shared" si="9"/>
        <v>0</v>
      </c>
    </row>
    <row r="605" spans="2:14" ht="1.5" customHeight="1">
      <c r="B605" s="57"/>
      <c r="C605" s="60"/>
      <c r="D605" s="60"/>
      <c r="E605" s="60"/>
      <c r="F605" s="60"/>
      <c r="G605" s="60"/>
      <c r="J605" s="99"/>
      <c r="K605" s="99"/>
      <c r="L605" s="99"/>
      <c r="M605" s="99"/>
      <c r="N605" s="43">
        <f t="shared" si="9"/>
        <v>0</v>
      </c>
    </row>
    <row r="606" spans="2:14" ht="1.5" customHeight="1">
      <c r="B606" s="57"/>
      <c r="C606" s="60"/>
      <c r="D606" s="60"/>
      <c r="E606" s="60"/>
      <c r="F606" s="60"/>
      <c r="G606" s="60"/>
      <c r="J606" s="99"/>
      <c r="K606" s="99"/>
      <c r="L606" s="99"/>
      <c r="M606" s="99"/>
      <c r="N606" s="43">
        <f t="shared" si="9"/>
        <v>0</v>
      </c>
    </row>
    <row r="607" spans="2:14" ht="1.5" customHeight="1">
      <c r="B607" s="57"/>
      <c r="C607" s="60"/>
      <c r="D607" s="60"/>
      <c r="E607" s="60"/>
      <c r="F607" s="60"/>
      <c r="G607" s="60"/>
      <c r="J607" s="99"/>
      <c r="K607" s="99"/>
      <c r="L607" s="99"/>
      <c r="M607" s="99"/>
      <c r="N607" s="43">
        <f t="shared" si="9"/>
        <v>0</v>
      </c>
    </row>
    <row r="608" spans="2:14" ht="1.5" customHeight="1">
      <c r="B608" s="57"/>
      <c r="C608" s="60"/>
      <c r="D608" s="60"/>
      <c r="E608" s="60"/>
      <c r="F608" s="60"/>
      <c r="G608" s="60"/>
      <c r="J608" s="99"/>
      <c r="K608" s="99"/>
      <c r="L608" s="99"/>
      <c r="M608" s="99"/>
      <c r="N608" s="43">
        <f t="shared" si="9"/>
        <v>0</v>
      </c>
    </row>
    <row r="609" spans="2:14" ht="1.5" customHeight="1">
      <c r="B609" s="57"/>
      <c r="C609" s="60"/>
      <c r="D609" s="60"/>
      <c r="E609" s="60"/>
      <c r="F609" s="60"/>
      <c r="G609" s="60"/>
      <c r="J609" s="99"/>
      <c r="K609" s="99"/>
      <c r="L609" s="99"/>
      <c r="M609" s="99"/>
      <c r="N609" s="43">
        <f t="shared" si="9"/>
        <v>0</v>
      </c>
    </row>
    <row r="610" spans="2:14" ht="1.5" customHeight="1">
      <c r="B610" s="57"/>
      <c r="C610" s="60"/>
      <c r="D610" s="60"/>
      <c r="E610" s="60"/>
      <c r="F610" s="60"/>
      <c r="G610" s="60"/>
      <c r="J610" s="99"/>
      <c r="K610" s="99"/>
      <c r="L610" s="99"/>
      <c r="M610" s="99"/>
      <c r="N610" s="43">
        <f t="shared" si="9"/>
        <v>0</v>
      </c>
    </row>
    <row r="611" spans="2:14" ht="1.5" customHeight="1">
      <c r="B611" s="57"/>
      <c r="C611" s="60"/>
      <c r="D611" s="60"/>
      <c r="E611" s="60"/>
      <c r="F611" s="60"/>
      <c r="G611" s="60"/>
      <c r="J611" s="99"/>
      <c r="K611" s="99"/>
      <c r="L611" s="99"/>
      <c r="M611" s="99"/>
      <c r="N611" s="43">
        <f t="shared" si="9"/>
        <v>0</v>
      </c>
    </row>
    <row r="612" spans="2:14" ht="1.5" customHeight="1">
      <c r="B612" s="57"/>
      <c r="C612" s="60"/>
      <c r="D612" s="60"/>
      <c r="E612" s="60"/>
      <c r="F612" s="60"/>
      <c r="G612" s="60"/>
      <c r="J612" s="99"/>
      <c r="K612" s="99"/>
      <c r="L612" s="99"/>
      <c r="M612" s="99"/>
      <c r="N612" s="43">
        <f t="shared" si="9"/>
        <v>0</v>
      </c>
    </row>
    <row r="613" spans="2:14" ht="1.5" customHeight="1">
      <c r="B613" s="57"/>
      <c r="C613" s="60"/>
      <c r="D613" s="60"/>
      <c r="E613" s="60"/>
      <c r="F613" s="60"/>
      <c r="G613" s="60"/>
      <c r="J613" s="99"/>
      <c r="K613" s="99"/>
      <c r="L613" s="99"/>
      <c r="M613" s="99"/>
      <c r="N613" s="43">
        <f t="shared" si="9"/>
        <v>0</v>
      </c>
    </row>
    <row r="614" spans="2:14" ht="1.5" customHeight="1">
      <c r="B614" s="57"/>
      <c r="C614" s="60"/>
      <c r="D614" s="60"/>
      <c r="E614" s="60"/>
      <c r="F614" s="60"/>
      <c r="G614" s="60"/>
      <c r="J614" s="99"/>
      <c r="K614" s="99"/>
      <c r="L614" s="99"/>
      <c r="M614" s="99"/>
      <c r="N614" s="43">
        <f t="shared" si="9"/>
        <v>0</v>
      </c>
    </row>
    <row r="615" spans="2:14" ht="1.5" customHeight="1">
      <c r="B615" s="57"/>
      <c r="C615" s="60"/>
      <c r="D615" s="60"/>
      <c r="E615" s="60"/>
      <c r="F615" s="60"/>
      <c r="G615" s="60"/>
      <c r="J615" s="99"/>
      <c r="K615" s="99"/>
      <c r="L615" s="99"/>
      <c r="M615" s="99"/>
      <c r="N615" s="43">
        <f t="shared" si="9"/>
        <v>0</v>
      </c>
    </row>
    <row r="616" spans="2:14" ht="1.5" customHeight="1">
      <c r="B616" s="57"/>
      <c r="C616" s="60"/>
      <c r="D616" s="60"/>
      <c r="E616" s="60"/>
      <c r="F616" s="60"/>
      <c r="G616" s="60"/>
      <c r="J616" s="99"/>
      <c r="K616" s="99"/>
      <c r="L616" s="99"/>
      <c r="M616" s="99"/>
      <c r="N616" s="43">
        <f t="shared" si="9"/>
        <v>0</v>
      </c>
    </row>
    <row r="617" spans="2:14" ht="1.5" customHeight="1">
      <c r="B617" s="57"/>
      <c r="C617" s="60"/>
      <c r="D617" s="60"/>
      <c r="E617" s="60"/>
      <c r="F617" s="60"/>
      <c r="G617" s="60"/>
      <c r="J617" s="99"/>
      <c r="K617" s="99"/>
      <c r="L617" s="99"/>
      <c r="M617" s="99"/>
      <c r="N617" s="43">
        <f t="shared" si="9"/>
        <v>0</v>
      </c>
    </row>
    <row r="618" spans="2:14" ht="1.5" customHeight="1">
      <c r="B618" s="57"/>
      <c r="C618" s="60"/>
      <c r="D618" s="60"/>
      <c r="E618" s="60"/>
      <c r="F618" s="60"/>
      <c r="G618" s="60"/>
      <c r="J618" s="99"/>
      <c r="K618" s="99"/>
      <c r="L618" s="99"/>
      <c r="M618" s="99"/>
      <c r="N618" s="43">
        <f t="shared" si="9"/>
        <v>0</v>
      </c>
    </row>
    <row r="619" spans="2:14" ht="1.5" customHeight="1">
      <c r="B619" s="57"/>
      <c r="C619" s="60"/>
      <c r="D619" s="60"/>
      <c r="E619" s="60"/>
      <c r="F619" s="60"/>
      <c r="G619" s="60"/>
      <c r="J619" s="99"/>
      <c r="K619" s="99"/>
      <c r="L619" s="99"/>
      <c r="M619" s="99"/>
      <c r="N619" s="43">
        <f t="shared" si="9"/>
        <v>0</v>
      </c>
    </row>
    <row r="620" spans="2:14" ht="1.5" customHeight="1">
      <c r="B620" s="57"/>
      <c r="C620" s="60"/>
      <c r="D620" s="60"/>
      <c r="E620" s="60"/>
      <c r="F620" s="60"/>
      <c r="G620" s="60"/>
      <c r="J620" s="99"/>
      <c r="K620" s="99"/>
      <c r="L620" s="99"/>
      <c r="M620" s="99"/>
      <c r="N620" s="43">
        <f t="shared" si="9"/>
        <v>0</v>
      </c>
    </row>
    <row r="621" spans="2:14" ht="1.5" customHeight="1">
      <c r="B621" s="57"/>
      <c r="C621" s="60"/>
      <c r="D621" s="60"/>
      <c r="E621" s="60"/>
      <c r="F621" s="60"/>
      <c r="G621" s="60"/>
      <c r="J621" s="99"/>
      <c r="K621" s="99"/>
      <c r="L621" s="99"/>
      <c r="M621" s="99"/>
      <c r="N621" s="43">
        <f t="shared" si="9"/>
        <v>0</v>
      </c>
    </row>
    <row r="622" spans="2:14" ht="1.5" customHeight="1">
      <c r="B622" s="57"/>
      <c r="C622" s="60"/>
      <c r="D622" s="60"/>
      <c r="E622" s="60"/>
      <c r="F622" s="60"/>
      <c r="G622" s="60"/>
      <c r="J622" s="99"/>
      <c r="K622" s="99"/>
      <c r="L622" s="99"/>
      <c r="M622" s="99"/>
      <c r="N622" s="43">
        <f t="shared" si="9"/>
        <v>0</v>
      </c>
    </row>
    <row r="623" spans="2:14" ht="1.5" customHeight="1">
      <c r="B623" s="57"/>
      <c r="C623" s="60"/>
      <c r="D623" s="60"/>
      <c r="E623" s="60"/>
      <c r="F623" s="60"/>
      <c r="G623" s="60"/>
      <c r="J623" s="99"/>
      <c r="K623" s="99"/>
      <c r="L623" s="99"/>
      <c r="M623" s="99"/>
      <c r="N623" s="43">
        <f t="shared" si="9"/>
        <v>0</v>
      </c>
    </row>
    <row r="624" spans="2:14" ht="1.5" customHeight="1">
      <c r="B624" s="57"/>
      <c r="C624" s="60"/>
      <c r="D624" s="60"/>
      <c r="E624" s="60"/>
      <c r="F624" s="60"/>
      <c r="G624" s="60"/>
      <c r="J624" s="99"/>
      <c r="K624" s="99"/>
      <c r="L624" s="99"/>
      <c r="M624" s="99"/>
      <c r="N624" s="43">
        <f t="shared" si="9"/>
        <v>0</v>
      </c>
    </row>
    <row r="625" spans="2:14" ht="1.5" customHeight="1">
      <c r="B625" s="57"/>
      <c r="C625" s="60"/>
      <c r="D625" s="60"/>
      <c r="E625" s="60"/>
      <c r="F625" s="60"/>
      <c r="G625" s="60"/>
      <c r="J625" s="99"/>
      <c r="K625" s="99"/>
      <c r="L625" s="99"/>
      <c r="M625" s="99"/>
      <c r="N625" s="43">
        <f t="shared" si="9"/>
        <v>0</v>
      </c>
    </row>
    <row r="626" spans="2:14" ht="1.5" customHeight="1">
      <c r="B626" s="57"/>
      <c r="C626" s="60"/>
      <c r="D626" s="60"/>
      <c r="E626" s="60"/>
      <c r="F626" s="60"/>
      <c r="G626" s="60"/>
      <c r="J626" s="99"/>
      <c r="K626" s="99"/>
      <c r="L626" s="99"/>
      <c r="M626" s="99"/>
      <c r="N626" s="43">
        <f t="shared" si="9"/>
        <v>0</v>
      </c>
    </row>
    <row r="627" spans="2:14" ht="1.5" customHeight="1">
      <c r="B627" s="57"/>
      <c r="C627" s="60"/>
      <c r="D627" s="60"/>
      <c r="E627" s="60"/>
      <c r="F627" s="60"/>
      <c r="G627" s="60"/>
      <c r="J627" s="99"/>
      <c r="K627" s="99"/>
      <c r="L627" s="99"/>
      <c r="M627" s="99"/>
      <c r="N627" s="43">
        <f t="shared" si="9"/>
        <v>0</v>
      </c>
    </row>
    <row r="628" spans="2:14" ht="1.5" customHeight="1">
      <c r="B628" s="57"/>
      <c r="C628" s="60"/>
      <c r="D628" s="60"/>
      <c r="E628" s="60"/>
      <c r="F628" s="60"/>
      <c r="G628" s="60"/>
      <c r="J628" s="99"/>
      <c r="K628" s="99"/>
      <c r="L628" s="99"/>
      <c r="M628" s="99"/>
      <c r="N628" s="43">
        <f t="shared" si="9"/>
        <v>0</v>
      </c>
    </row>
    <row r="629" spans="2:14" ht="1.5" customHeight="1">
      <c r="B629" s="57"/>
      <c r="C629" s="60"/>
      <c r="D629" s="60"/>
      <c r="E629" s="60"/>
      <c r="F629" s="60"/>
      <c r="G629" s="60"/>
      <c r="J629" s="99"/>
      <c r="K629" s="99"/>
      <c r="L629" s="99"/>
      <c r="M629" s="99"/>
      <c r="N629" s="43">
        <f t="shared" si="9"/>
        <v>0</v>
      </c>
    </row>
    <row r="630" spans="2:14" ht="1.5" customHeight="1">
      <c r="B630" s="57"/>
      <c r="C630" s="60"/>
      <c r="D630" s="60"/>
      <c r="E630" s="60"/>
      <c r="F630" s="60"/>
      <c r="G630" s="60"/>
      <c r="J630" s="99"/>
      <c r="K630" s="99"/>
      <c r="L630" s="99"/>
      <c r="M630" s="99"/>
      <c r="N630" s="43">
        <f t="shared" si="9"/>
        <v>0</v>
      </c>
    </row>
    <row r="631" spans="2:14" ht="1.5" customHeight="1">
      <c r="B631" s="57"/>
      <c r="C631" s="60"/>
      <c r="D631" s="60"/>
      <c r="E631" s="60"/>
      <c r="F631" s="60"/>
      <c r="G631" s="60"/>
      <c r="J631" s="99"/>
      <c r="K631" s="99"/>
      <c r="L631" s="99"/>
      <c r="M631" s="99"/>
      <c r="N631" s="43">
        <f t="shared" si="9"/>
        <v>0</v>
      </c>
    </row>
    <row r="632" spans="2:14" ht="1.5" customHeight="1">
      <c r="B632" s="57"/>
      <c r="C632" s="60"/>
      <c r="D632" s="60"/>
      <c r="E632" s="60"/>
      <c r="F632" s="60"/>
      <c r="G632" s="60"/>
      <c r="J632" s="99"/>
      <c r="K632" s="99"/>
      <c r="L632" s="99"/>
      <c r="M632" s="99"/>
      <c r="N632" s="43">
        <f t="shared" si="9"/>
        <v>0</v>
      </c>
    </row>
    <row r="633" spans="2:14" ht="1.5" customHeight="1">
      <c r="B633" s="57"/>
      <c r="C633" s="60"/>
      <c r="D633" s="60"/>
      <c r="E633" s="60"/>
      <c r="F633" s="60"/>
      <c r="G633" s="60"/>
      <c r="J633" s="99"/>
      <c r="K633" s="99"/>
      <c r="L633" s="99"/>
      <c r="M633" s="99"/>
      <c r="N633" s="43">
        <f t="shared" si="9"/>
        <v>0</v>
      </c>
    </row>
    <row r="634" spans="2:14" ht="1.5" customHeight="1">
      <c r="B634" s="57"/>
      <c r="C634" s="60"/>
      <c r="D634" s="60"/>
      <c r="E634" s="60"/>
      <c r="F634" s="60"/>
      <c r="G634" s="60"/>
      <c r="J634" s="99"/>
      <c r="K634" s="99"/>
      <c r="L634" s="99"/>
      <c r="M634" s="99"/>
      <c r="N634" s="43">
        <f t="shared" si="9"/>
        <v>0</v>
      </c>
    </row>
    <row r="635" spans="2:14" ht="1.5" customHeight="1">
      <c r="B635" s="57"/>
      <c r="C635" s="60"/>
      <c r="D635" s="60"/>
      <c r="E635" s="60"/>
      <c r="F635" s="60"/>
      <c r="G635" s="60"/>
      <c r="J635" s="99"/>
      <c r="K635" s="99"/>
      <c r="L635" s="99"/>
      <c r="M635" s="99"/>
      <c r="N635" s="43">
        <f t="shared" si="9"/>
        <v>0</v>
      </c>
    </row>
    <row r="636" spans="2:14" ht="1.5" customHeight="1">
      <c r="B636" s="57"/>
      <c r="C636" s="60"/>
      <c r="D636" s="60"/>
      <c r="E636" s="60"/>
      <c r="F636" s="60"/>
      <c r="G636" s="60"/>
      <c r="J636" s="99"/>
      <c r="K636" s="99"/>
      <c r="L636" s="99"/>
      <c r="M636" s="99"/>
      <c r="N636" s="43">
        <f t="shared" si="9"/>
        <v>0</v>
      </c>
    </row>
    <row r="637" spans="2:14" ht="1.5" customHeight="1">
      <c r="B637" s="57"/>
      <c r="C637" s="60"/>
      <c r="D637" s="60"/>
      <c r="E637" s="60"/>
      <c r="F637" s="60"/>
      <c r="G637" s="60"/>
      <c r="J637" s="99"/>
      <c r="K637" s="99"/>
      <c r="L637" s="99"/>
      <c r="M637" s="99"/>
      <c r="N637" s="43">
        <f t="shared" si="9"/>
        <v>0</v>
      </c>
    </row>
    <row r="638" spans="2:14" ht="1.5" customHeight="1">
      <c r="B638" s="57"/>
      <c r="C638" s="60"/>
      <c r="D638" s="60"/>
      <c r="E638" s="60"/>
      <c r="F638" s="60"/>
      <c r="G638" s="60"/>
      <c r="J638" s="99"/>
      <c r="K638" s="99"/>
      <c r="L638" s="99"/>
      <c r="M638" s="99"/>
      <c r="N638" s="43">
        <f t="shared" si="9"/>
        <v>0</v>
      </c>
    </row>
    <row r="639" spans="2:14" ht="1.5" customHeight="1">
      <c r="B639" s="57"/>
      <c r="C639" s="60"/>
      <c r="D639" s="60"/>
      <c r="E639" s="60"/>
      <c r="F639" s="60"/>
      <c r="G639" s="60"/>
      <c r="J639" s="99"/>
      <c r="K639" s="99"/>
      <c r="L639" s="99"/>
      <c r="M639" s="99"/>
      <c r="N639" s="43">
        <f t="shared" si="9"/>
        <v>0</v>
      </c>
    </row>
    <row r="640" spans="2:14" ht="1.5" customHeight="1">
      <c r="B640" s="57"/>
      <c r="C640" s="60"/>
      <c r="D640" s="60"/>
      <c r="E640" s="60"/>
      <c r="F640" s="60"/>
      <c r="G640" s="60"/>
      <c r="J640" s="99"/>
      <c r="K640" s="99"/>
      <c r="L640" s="99"/>
      <c r="M640" s="99"/>
      <c r="N640" s="43">
        <f t="shared" si="9"/>
        <v>0</v>
      </c>
    </row>
    <row r="641" spans="2:14" ht="1.5" customHeight="1">
      <c r="B641" s="57"/>
      <c r="C641" s="60"/>
      <c r="D641" s="60"/>
      <c r="E641" s="60"/>
      <c r="F641" s="60"/>
      <c r="G641" s="60"/>
      <c r="J641" s="99"/>
      <c r="K641" s="99"/>
      <c r="L641" s="99"/>
      <c r="M641" s="99"/>
      <c r="N641" s="43">
        <f t="shared" si="9"/>
        <v>0</v>
      </c>
    </row>
    <row r="642" spans="2:14" ht="1.5" customHeight="1">
      <c r="B642" s="57"/>
      <c r="C642" s="60"/>
      <c r="D642" s="60"/>
      <c r="E642" s="60"/>
      <c r="F642" s="60"/>
      <c r="G642" s="60"/>
      <c r="J642" s="99"/>
      <c r="K642" s="99"/>
      <c r="L642" s="99"/>
      <c r="M642" s="99"/>
      <c r="N642" s="43">
        <f t="shared" si="9"/>
        <v>0</v>
      </c>
    </row>
    <row r="643" spans="2:14" ht="1.5" customHeight="1">
      <c r="B643" s="57"/>
      <c r="C643" s="60"/>
      <c r="D643" s="60"/>
      <c r="E643" s="60"/>
      <c r="F643" s="60"/>
      <c r="G643" s="60"/>
      <c r="J643" s="99"/>
      <c r="K643" s="99"/>
      <c r="L643" s="99"/>
      <c r="M643" s="99"/>
      <c r="N643" s="43">
        <f t="shared" si="9"/>
        <v>0</v>
      </c>
    </row>
    <row r="644" spans="2:14" ht="1.5" customHeight="1">
      <c r="B644" s="57"/>
      <c r="C644" s="60"/>
      <c r="D644" s="60"/>
      <c r="E644" s="60"/>
      <c r="F644" s="60"/>
      <c r="G644" s="60"/>
      <c r="J644" s="99"/>
      <c r="K644" s="99"/>
      <c r="L644" s="99"/>
      <c r="M644" s="99"/>
      <c r="N644" s="43">
        <f t="shared" si="9"/>
        <v>0</v>
      </c>
    </row>
    <row r="645" spans="2:14" ht="1.5" customHeight="1">
      <c r="B645" s="57"/>
      <c r="C645" s="60"/>
      <c r="D645" s="60"/>
      <c r="E645" s="60"/>
      <c r="F645" s="60"/>
      <c r="G645" s="60"/>
      <c r="J645" s="99"/>
      <c r="K645" s="99"/>
      <c r="L645" s="99"/>
      <c r="M645" s="99"/>
      <c r="N645" s="43">
        <f t="shared" si="9"/>
        <v>0</v>
      </c>
    </row>
    <row r="646" spans="2:14" ht="1.5" customHeight="1">
      <c r="B646" s="57"/>
      <c r="C646" s="60"/>
      <c r="D646" s="60"/>
      <c r="E646" s="60"/>
      <c r="F646" s="60"/>
      <c r="G646" s="60"/>
      <c r="J646" s="99"/>
      <c r="K646" s="99"/>
      <c r="L646" s="99"/>
      <c r="M646" s="99"/>
      <c r="N646" s="43">
        <f t="shared" si="9"/>
        <v>0</v>
      </c>
    </row>
    <row r="647" spans="2:14" ht="1.5" customHeight="1">
      <c r="B647" s="57"/>
      <c r="C647" s="60"/>
      <c r="D647" s="60"/>
      <c r="E647" s="60"/>
      <c r="F647" s="60"/>
      <c r="G647" s="60"/>
      <c r="J647" s="99"/>
      <c r="K647" s="99"/>
      <c r="L647" s="99"/>
      <c r="M647" s="99"/>
      <c r="N647" s="43">
        <f t="shared" si="9"/>
        <v>0</v>
      </c>
    </row>
    <row r="648" spans="2:14" ht="1.5" customHeight="1">
      <c r="B648" s="57"/>
      <c r="C648" s="60"/>
      <c r="D648" s="60"/>
      <c r="E648" s="60"/>
      <c r="F648" s="60"/>
      <c r="G648" s="60"/>
      <c r="J648" s="99"/>
      <c r="K648" s="99"/>
      <c r="L648" s="99"/>
      <c r="M648" s="99"/>
      <c r="N648" s="43">
        <f t="shared" si="9"/>
        <v>0</v>
      </c>
    </row>
    <row r="649" spans="2:14" ht="1.5" customHeight="1">
      <c r="B649" s="57"/>
      <c r="C649" s="60"/>
      <c r="D649" s="60"/>
      <c r="E649" s="60"/>
      <c r="F649" s="60"/>
      <c r="G649" s="60"/>
      <c r="J649" s="99"/>
      <c r="K649" s="99"/>
      <c r="L649" s="99"/>
      <c r="M649" s="99"/>
      <c r="N649" s="43">
        <f t="shared" si="9"/>
        <v>0</v>
      </c>
    </row>
    <row r="650" spans="2:14" ht="1.5" customHeight="1">
      <c r="B650" s="57"/>
      <c r="C650" s="60"/>
      <c r="D650" s="60"/>
      <c r="E650" s="60"/>
      <c r="F650" s="60"/>
      <c r="G650" s="60"/>
      <c r="J650" s="99"/>
      <c r="K650" s="99"/>
      <c r="L650" s="99"/>
      <c r="M650" s="99"/>
      <c r="N650" s="43">
        <f t="shared" si="9"/>
        <v>0</v>
      </c>
    </row>
    <row r="651" spans="2:14" ht="1.5" customHeight="1">
      <c r="B651" s="57"/>
      <c r="C651" s="60"/>
      <c r="D651" s="60"/>
      <c r="E651" s="60"/>
      <c r="F651" s="60"/>
      <c r="G651" s="60"/>
      <c r="J651" s="99"/>
      <c r="K651" s="99"/>
      <c r="L651" s="99"/>
      <c r="M651" s="99"/>
      <c r="N651" s="43">
        <f t="shared" ref="N651:N714" si="10">IF($L$4=$C$10,C651,IF(D651="","",B651))</f>
        <v>0</v>
      </c>
    </row>
    <row r="652" spans="2:14" ht="1.5" customHeight="1">
      <c r="B652" s="57"/>
      <c r="C652" s="60"/>
      <c r="D652" s="60"/>
      <c r="E652" s="60"/>
      <c r="F652" s="60"/>
      <c r="G652" s="60"/>
      <c r="J652" s="99"/>
      <c r="K652" s="99"/>
      <c r="L652" s="99"/>
      <c r="M652" s="99"/>
      <c r="N652" s="43">
        <f t="shared" si="10"/>
        <v>0</v>
      </c>
    </row>
    <row r="653" spans="2:14" ht="1.5" customHeight="1">
      <c r="B653" s="57"/>
      <c r="C653" s="60"/>
      <c r="D653" s="60"/>
      <c r="E653" s="60"/>
      <c r="F653" s="60"/>
      <c r="G653" s="60"/>
      <c r="J653" s="99"/>
      <c r="K653" s="99"/>
      <c r="L653" s="99"/>
      <c r="M653" s="99"/>
      <c r="N653" s="43">
        <f t="shared" si="10"/>
        <v>0</v>
      </c>
    </row>
    <row r="654" spans="2:14" ht="1.5" customHeight="1">
      <c r="B654" s="57"/>
      <c r="C654" s="60"/>
      <c r="D654" s="60"/>
      <c r="E654" s="60"/>
      <c r="F654" s="60"/>
      <c r="G654" s="60"/>
      <c r="J654" s="99"/>
      <c r="K654" s="99"/>
      <c r="L654" s="99"/>
      <c r="M654" s="99"/>
      <c r="N654" s="43">
        <f t="shared" si="10"/>
        <v>0</v>
      </c>
    </row>
    <row r="655" spans="2:14" ht="1.5" customHeight="1">
      <c r="B655" s="57"/>
      <c r="C655" s="60"/>
      <c r="D655" s="60"/>
      <c r="E655" s="60"/>
      <c r="F655" s="60"/>
      <c r="G655" s="60"/>
      <c r="J655" s="99"/>
      <c r="K655" s="99"/>
      <c r="L655" s="99"/>
      <c r="M655" s="99"/>
      <c r="N655" s="43">
        <f t="shared" si="10"/>
        <v>0</v>
      </c>
    </row>
    <row r="656" spans="2:14" ht="1.5" customHeight="1">
      <c r="B656" s="57"/>
      <c r="C656" s="60"/>
      <c r="D656" s="60"/>
      <c r="E656" s="60"/>
      <c r="F656" s="60"/>
      <c r="G656" s="60"/>
      <c r="J656" s="99"/>
      <c r="K656" s="99"/>
      <c r="L656" s="99"/>
      <c r="M656" s="99"/>
      <c r="N656" s="43">
        <f t="shared" si="10"/>
        <v>0</v>
      </c>
    </row>
    <row r="657" spans="2:14" ht="1.5" customHeight="1">
      <c r="B657" s="57"/>
      <c r="C657" s="60"/>
      <c r="D657" s="60"/>
      <c r="E657" s="60"/>
      <c r="F657" s="60"/>
      <c r="G657" s="60"/>
      <c r="J657" s="99"/>
      <c r="K657" s="99"/>
      <c r="L657" s="99"/>
      <c r="M657" s="99"/>
      <c r="N657" s="43">
        <f t="shared" si="10"/>
        <v>0</v>
      </c>
    </row>
    <row r="658" spans="2:14" ht="1.5" customHeight="1">
      <c r="B658" s="57"/>
      <c r="C658" s="60"/>
      <c r="D658" s="60"/>
      <c r="E658" s="60"/>
      <c r="F658" s="60"/>
      <c r="G658" s="60"/>
      <c r="J658" s="99"/>
      <c r="K658" s="99"/>
      <c r="L658" s="99"/>
      <c r="M658" s="99"/>
      <c r="N658" s="43">
        <f t="shared" si="10"/>
        <v>0</v>
      </c>
    </row>
    <row r="659" spans="2:14" ht="1.5" customHeight="1">
      <c r="B659" s="57"/>
      <c r="C659" s="60"/>
      <c r="D659" s="60"/>
      <c r="E659" s="60"/>
      <c r="F659" s="60"/>
      <c r="G659" s="60"/>
      <c r="J659" s="99"/>
      <c r="K659" s="99"/>
      <c r="L659" s="99"/>
      <c r="M659" s="99"/>
      <c r="N659" s="43">
        <f t="shared" si="10"/>
        <v>0</v>
      </c>
    </row>
    <row r="660" spans="2:14" ht="1.5" customHeight="1">
      <c r="B660" s="57"/>
      <c r="C660" s="60"/>
      <c r="D660" s="60"/>
      <c r="E660" s="60"/>
      <c r="F660" s="60"/>
      <c r="G660" s="60"/>
      <c r="J660" s="99"/>
      <c r="K660" s="99"/>
      <c r="L660" s="99"/>
      <c r="M660" s="99"/>
      <c r="N660" s="43">
        <f t="shared" si="10"/>
        <v>0</v>
      </c>
    </row>
    <row r="661" spans="2:14" ht="1.5" customHeight="1">
      <c r="B661" s="57"/>
      <c r="C661" s="60"/>
      <c r="D661" s="60"/>
      <c r="E661" s="60"/>
      <c r="F661" s="60"/>
      <c r="G661" s="60"/>
      <c r="J661" s="99"/>
      <c r="K661" s="99"/>
      <c r="L661" s="99"/>
      <c r="M661" s="99"/>
      <c r="N661" s="43">
        <f t="shared" si="10"/>
        <v>0</v>
      </c>
    </row>
    <row r="662" spans="2:14" ht="1.5" customHeight="1">
      <c r="B662" s="57"/>
      <c r="C662" s="60"/>
      <c r="D662" s="60"/>
      <c r="E662" s="60"/>
      <c r="F662" s="60"/>
      <c r="G662" s="60"/>
      <c r="J662" s="99"/>
      <c r="K662" s="99"/>
      <c r="L662" s="99"/>
      <c r="M662" s="99"/>
      <c r="N662" s="43">
        <f t="shared" si="10"/>
        <v>0</v>
      </c>
    </row>
    <row r="663" spans="2:14" ht="1.5" customHeight="1">
      <c r="B663" s="57"/>
      <c r="C663" s="60"/>
      <c r="D663" s="60"/>
      <c r="E663" s="60"/>
      <c r="F663" s="60"/>
      <c r="G663" s="60"/>
      <c r="J663" s="99"/>
      <c r="K663" s="99"/>
      <c r="L663" s="99"/>
      <c r="M663" s="99"/>
      <c r="N663" s="43">
        <f t="shared" si="10"/>
        <v>0</v>
      </c>
    </row>
    <row r="664" spans="2:14" ht="1.5" customHeight="1">
      <c r="B664" s="57"/>
      <c r="C664" s="60"/>
      <c r="D664" s="60"/>
      <c r="E664" s="60"/>
      <c r="F664" s="60"/>
      <c r="G664" s="60"/>
      <c r="J664" s="99"/>
      <c r="K664" s="99"/>
      <c r="L664" s="99"/>
      <c r="M664" s="99"/>
      <c r="N664" s="43">
        <f t="shared" si="10"/>
        <v>0</v>
      </c>
    </row>
    <row r="665" spans="2:14" ht="1.5" customHeight="1">
      <c r="B665" s="57"/>
      <c r="C665" s="60"/>
      <c r="D665" s="60"/>
      <c r="E665" s="60"/>
      <c r="F665" s="60"/>
      <c r="G665" s="60"/>
      <c r="J665" s="99"/>
      <c r="K665" s="99"/>
      <c r="L665" s="99"/>
      <c r="M665" s="99"/>
      <c r="N665" s="43">
        <f t="shared" si="10"/>
        <v>0</v>
      </c>
    </row>
    <row r="666" spans="2:14" ht="1.5" customHeight="1">
      <c r="B666" s="57"/>
      <c r="C666" s="60"/>
      <c r="D666" s="60"/>
      <c r="E666" s="60"/>
      <c r="F666" s="60"/>
      <c r="G666" s="60"/>
      <c r="J666" s="99"/>
      <c r="K666" s="99"/>
      <c r="L666" s="99"/>
      <c r="M666" s="99"/>
      <c r="N666" s="43">
        <f t="shared" si="10"/>
        <v>0</v>
      </c>
    </row>
    <row r="667" spans="2:14" ht="1.5" customHeight="1">
      <c r="B667" s="57"/>
      <c r="C667" s="60"/>
      <c r="D667" s="60"/>
      <c r="E667" s="60"/>
      <c r="F667" s="60"/>
      <c r="G667" s="60"/>
      <c r="J667" s="99"/>
      <c r="K667" s="99"/>
      <c r="L667" s="99"/>
      <c r="M667" s="99"/>
      <c r="N667" s="43">
        <f t="shared" si="10"/>
        <v>0</v>
      </c>
    </row>
    <row r="668" spans="2:14" ht="1.5" customHeight="1">
      <c r="B668" s="57"/>
      <c r="C668" s="60"/>
      <c r="D668" s="60"/>
      <c r="E668" s="60"/>
      <c r="F668" s="60"/>
      <c r="G668" s="60"/>
      <c r="J668" s="99"/>
      <c r="K668" s="99"/>
      <c r="L668" s="99"/>
      <c r="M668" s="99"/>
      <c r="N668" s="43">
        <f t="shared" si="10"/>
        <v>0</v>
      </c>
    </row>
    <row r="669" spans="2:14" ht="1.5" customHeight="1">
      <c r="B669" s="57"/>
      <c r="C669" s="60"/>
      <c r="D669" s="60"/>
      <c r="E669" s="60"/>
      <c r="F669" s="60"/>
      <c r="G669" s="60"/>
      <c r="J669" s="99"/>
      <c r="K669" s="99"/>
      <c r="L669" s="99"/>
      <c r="M669" s="99"/>
      <c r="N669" s="43">
        <f t="shared" si="10"/>
        <v>0</v>
      </c>
    </row>
    <row r="670" spans="2:14" ht="1.5" customHeight="1">
      <c r="B670" s="57"/>
      <c r="C670" s="60"/>
      <c r="D670" s="60"/>
      <c r="E670" s="60"/>
      <c r="F670" s="60"/>
      <c r="G670" s="60"/>
      <c r="J670" s="99"/>
      <c r="K670" s="99"/>
      <c r="L670" s="99"/>
      <c r="M670" s="99"/>
      <c r="N670" s="43">
        <f t="shared" si="10"/>
        <v>0</v>
      </c>
    </row>
    <row r="671" spans="2:14" ht="1.5" customHeight="1">
      <c r="B671" s="57"/>
      <c r="C671" s="60"/>
      <c r="D671" s="60"/>
      <c r="E671" s="60"/>
      <c r="F671" s="60"/>
      <c r="G671" s="60"/>
      <c r="J671" s="99"/>
      <c r="K671" s="99"/>
      <c r="L671" s="99"/>
      <c r="M671" s="99"/>
      <c r="N671" s="43">
        <f t="shared" si="10"/>
        <v>0</v>
      </c>
    </row>
    <row r="672" spans="2:14" ht="1.5" customHeight="1">
      <c r="B672" s="57"/>
      <c r="C672" s="60"/>
      <c r="D672" s="60"/>
      <c r="E672" s="60"/>
      <c r="F672" s="60"/>
      <c r="G672" s="60"/>
      <c r="J672" s="99"/>
      <c r="K672" s="99"/>
      <c r="L672" s="99"/>
      <c r="M672" s="99"/>
      <c r="N672" s="43">
        <f t="shared" si="10"/>
        <v>0</v>
      </c>
    </row>
    <row r="673" spans="2:14" ht="1.5" customHeight="1">
      <c r="B673" s="57"/>
      <c r="C673" s="60"/>
      <c r="D673" s="60"/>
      <c r="E673" s="60"/>
      <c r="F673" s="60"/>
      <c r="G673" s="60"/>
      <c r="J673" s="99"/>
      <c r="K673" s="99"/>
      <c r="L673" s="99"/>
      <c r="M673" s="99"/>
      <c r="N673" s="43">
        <f t="shared" si="10"/>
        <v>0</v>
      </c>
    </row>
    <row r="674" spans="2:14" ht="1.5" customHeight="1">
      <c r="B674" s="57"/>
      <c r="C674" s="60"/>
      <c r="D674" s="60"/>
      <c r="E674" s="60"/>
      <c r="F674" s="60"/>
      <c r="G674" s="60"/>
      <c r="J674" s="99"/>
      <c r="K674" s="99"/>
      <c r="L674" s="99"/>
      <c r="M674" s="99"/>
      <c r="N674" s="43">
        <f t="shared" si="10"/>
        <v>0</v>
      </c>
    </row>
    <row r="675" spans="2:14" ht="1.5" customHeight="1">
      <c r="B675" s="57"/>
      <c r="C675" s="60"/>
      <c r="D675" s="60"/>
      <c r="E675" s="60"/>
      <c r="F675" s="60"/>
      <c r="G675" s="60"/>
      <c r="J675" s="99"/>
      <c r="K675" s="99"/>
      <c r="L675" s="99"/>
      <c r="M675" s="99"/>
      <c r="N675" s="43">
        <f t="shared" si="10"/>
        <v>0</v>
      </c>
    </row>
    <row r="676" spans="2:14" ht="1.5" customHeight="1">
      <c r="B676" s="57"/>
      <c r="C676" s="60"/>
      <c r="D676" s="60"/>
      <c r="E676" s="60"/>
      <c r="F676" s="60"/>
      <c r="G676" s="60"/>
      <c r="J676" s="99"/>
      <c r="K676" s="99"/>
      <c r="L676" s="99"/>
      <c r="M676" s="99"/>
      <c r="N676" s="43">
        <f t="shared" si="10"/>
        <v>0</v>
      </c>
    </row>
    <row r="677" spans="2:14" ht="1.5" customHeight="1">
      <c r="B677" s="57"/>
      <c r="C677" s="60"/>
      <c r="D677" s="60"/>
      <c r="E677" s="60"/>
      <c r="F677" s="60"/>
      <c r="G677" s="60"/>
      <c r="J677" s="99"/>
      <c r="K677" s="99"/>
      <c r="L677" s="99"/>
      <c r="M677" s="99"/>
      <c r="N677" s="43">
        <f t="shared" si="10"/>
        <v>0</v>
      </c>
    </row>
    <row r="678" spans="2:14" ht="1.5" customHeight="1">
      <c r="B678" s="57"/>
      <c r="C678" s="60"/>
      <c r="D678" s="60"/>
      <c r="E678" s="60"/>
      <c r="F678" s="60"/>
      <c r="G678" s="60"/>
      <c r="J678" s="99"/>
      <c r="K678" s="99"/>
      <c r="L678" s="99"/>
      <c r="M678" s="99"/>
      <c r="N678" s="43">
        <f t="shared" si="10"/>
        <v>0</v>
      </c>
    </row>
    <row r="679" spans="2:14" ht="1.5" customHeight="1">
      <c r="B679" s="57"/>
      <c r="C679" s="60"/>
      <c r="D679" s="60"/>
      <c r="E679" s="60"/>
      <c r="F679" s="60"/>
      <c r="G679" s="60"/>
      <c r="J679" s="99"/>
      <c r="K679" s="99"/>
      <c r="L679" s="99"/>
      <c r="M679" s="99"/>
      <c r="N679" s="43">
        <f t="shared" si="10"/>
        <v>0</v>
      </c>
    </row>
    <row r="680" spans="2:14" ht="1.5" customHeight="1">
      <c r="B680" s="57"/>
      <c r="C680" s="60"/>
      <c r="D680" s="60"/>
      <c r="E680" s="60"/>
      <c r="F680" s="60"/>
      <c r="G680" s="60"/>
      <c r="J680" s="99"/>
      <c r="K680" s="99"/>
      <c r="L680" s="99"/>
      <c r="M680" s="99"/>
      <c r="N680" s="43">
        <f t="shared" si="10"/>
        <v>0</v>
      </c>
    </row>
    <row r="681" spans="2:14" ht="1.5" customHeight="1">
      <c r="B681" s="57"/>
      <c r="C681" s="60"/>
      <c r="D681" s="60"/>
      <c r="E681" s="60"/>
      <c r="F681" s="60"/>
      <c r="G681" s="60"/>
      <c r="J681" s="99"/>
      <c r="K681" s="99"/>
      <c r="L681" s="99"/>
      <c r="M681" s="99"/>
      <c r="N681" s="43">
        <f t="shared" si="10"/>
        <v>0</v>
      </c>
    </row>
    <row r="682" spans="2:14" ht="1.5" customHeight="1">
      <c r="B682" s="57"/>
      <c r="C682" s="60"/>
      <c r="D682" s="60"/>
      <c r="E682" s="60"/>
      <c r="F682" s="60"/>
      <c r="G682" s="60"/>
      <c r="J682" s="99"/>
      <c r="K682" s="99"/>
      <c r="L682" s="99"/>
      <c r="M682" s="99"/>
      <c r="N682" s="43">
        <f t="shared" si="10"/>
        <v>0</v>
      </c>
    </row>
    <row r="683" spans="2:14" ht="1.5" customHeight="1">
      <c r="B683" s="57"/>
      <c r="C683" s="60"/>
      <c r="D683" s="60"/>
      <c r="E683" s="60"/>
      <c r="F683" s="60"/>
      <c r="G683" s="60"/>
      <c r="J683" s="99"/>
      <c r="K683" s="99"/>
      <c r="L683" s="99"/>
      <c r="M683" s="99"/>
      <c r="N683" s="43">
        <f t="shared" si="10"/>
        <v>0</v>
      </c>
    </row>
    <row r="684" spans="2:14" ht="1.5" customHeight="1">
      <c r="B684" s="57"/>
      <c r="C684" s="60"/>
      <c r="D684" s="60"/>
      <c r="E684" s="60"/>
      <c r="F684" s="60"/>
      <c r="G684" s="60"/>
      <c r="J684" s="99"/>
      <c r="K684" s="99"/>
      <c r="L684" s="99"/>
      <c r="M684" s="99"/>
      <c r="N684" s="43">
        <f t="shared" si="10"/>
        <v>0</v>
      </c>
    </row>
    <row r="685" spans="2:14" ht="1.5" customHeight="1">
      <c r="B685" s="57"/>
      <c r="C685" s="60"/>
      <c r="D685" s="60"/>
      <c r="E685" s="60"/>
      <c r="F685" s="60"/>
      <c r="G685" s="60"/>
      <c r="J685" s="99"/>
      <c r="K685" s="99"/>
      <c r="L685" s="99"/>
      <c r="M685" s="99"/>
      <c r="N685" s="43">
        <f t="shared" si="10"/>
        <v>0</v>
      </c>
    </row>
    <row r="686" spans="2:14" ht="1.5" customHeight="1">
      <c r="B686" s="57"/>
      <c r="C686" s="60"/>
      <c r="D686" s="60"/>
      <c r="E686" s="60"/>
      <c r="F686" s="60"/>
      <c r="G686" s="60"/>
      <c r="J686" s="99"/>
      <c r="K686" s="99"/>
      <c r="L686" s="99"/>
      <c r="M686" s="99"/>
      <c r="N686" s="43">
        <f t="shared" si="10"/>
        <v>0</v>
      </c>
    </row>
    <row r="687" spans="2:14" ht="1.5" customHeight="1">
      <c r="B687" s="57"/>
      <c r="C687" s="60"/>
      <c r="D687" s="60"/>
      <c r="E687" s="60"/>
      <c r="F687" s="60"/>
      <c r="G687" s="60"/>
      <c r="J687" s="99"/>
      <c r="K687" s="99"/>
      <c r="L687" s="99"/>
      <c r="M687" s="99"/>
      <c r="N687" s="43">
        <f t="shared" si="10"/>
        <v>0</v>
      </c>
    </row>
    <row r="688" spans="2:14" ht="1.5" customHeight="1">
      <c r="B688" s="57"/>
      <c r="C688" s="60"/>
      <c r="D688" s="60"/>
      <c r="E688" s="60"/>
      <c r="F688" s="60"/>
      <c r="G688" s="60"/>
      <c r="J688" s="99"/>
      <c r="K688" s="99"/>
      <c r="L688" s="99"/>
      <c r="M688" s="99"/>
      <c r="N688" s="43">
        <f t="shared" si="10"/>
        <v>0</v>
      </c>
    </row>
    <row r="689" spans="2:14" ht="1.5" customHeight="1">
      <c r="B689" s="57"/>
      <c r="C689" s="60"/>
      <c r="D689" s="60"/>
      <c r="E689" s="60"/>
      <c r="F689" s="60"/>
      <c r="G689" s="60"/>
      <c r="J689" s="99"/>
      <c r="K689" s="99"/>
      <c r="L689" s="99"/>
      <c r="M689" s="99"/>
      <c r="N689" s="43">
        <f t="shared" si="10"/>
        <v>0</v>
      </c>
    </row>
    <row r="690" spans="2:14" ht="1.5" customHeight="1">
      <c r="B690" s="57"/>
      <c r="C690" s="60"/>
      <c r="D690" s="60"/>
      <c r="E690" s="60"/>
      <c r="F690" s="60"/>
      <c r="G690" s="60"/>
      <c r="J690" s="99"/>
      <c r="K690" s="99"/>
      <c r="L690" s="99"/>
      <c r="M690" s="99"/>
      <c r="N690" s="43">
        <f t="shared" si="10"/>
        <v>0</v>
      </c>
    </row>
    <row r="691" spans="2:14" ht="1.5" customHeight="1">
      <c r="B691" s="57"/>
      <c r="C691" s="60"/>
      <c r="D691" s="60"/>
      <c r="E691" s="60"/>
      <c r="F691" s="60"/>
      <c r="G691" s="60"/>
      <c r="J691" s="99"/>
      <c r="K691" s="99"/>
      <c r="L691" s="99"/>
      <c r="M691" s="99"/>
      <c r="N691" s="43">
        <f t="shared" si="10"/>
        <v>0</v>
      </c>
    </row>
    <row r="692" spans="2:14" ht="1.5" customHeight="1">
      <c r="B692" s="57"/>
      <c r="C692" s="60"/>
      <c r="D692" s="60"/>
      <c r="E692" s="60"/>
      <c r="F692" s="60"/>
      <c r="G692" s="60"/>
      <c r="J692" s="99"/>
      <c r="K692" s="99"/>
      <c r="L692" s="99"/>
      <c r="M692" s="99"/>
      <c r="N692" s="43">
        <f t="shared" si="10"/>
        <v>0</v>
      </c>
    </row>
    <row r="693" spans="2:14" ht="1.5" customHeight="1">
      <c r="B693" s="57"/>
      <c r="C693" s="60"/>
      <c r="D693" s="60"/>
      <c r="E693" s="60"/>
      <c r="F693" s="60"/>
      <c r="G693" s="60"/>
      <c r="J693" s="99"/>
      <c r="K693" s="99"/>
      <c r="L693" s="99"/>
      <c r="M693" s="99"/>
      <c r="N693" s="43">
        <f t="shared" si="10"/>
        <v>0</v>
      </c>
    </row>
    <row r="694" spans="2:14" ht="1.5" customHeight="1">
      <c r="B694" s="57"/>
      <c r="C694" s="60"/>
      <c r="D694" s="60"/>
      <c r="E694" s="60"/>
      <c r="F694" s="60"/>
      <c r="G694" s="60"/>
      <c r="J694" s="99"/>
      <c r="K694" s="99"/>
      <c r="L694" s="99"/>
      <c r="M694" s="99"/>
      <c r="N694" s="43">
        <f t="shared" si="10"/>
        <v>0</v>
      </c>
    </row>
    <row r="695" spans="2:14" ht="1.5" customHeight="1">
      <c r="B695" s="57"/>
      <c r="C695" s="60"/>
      <c r="D695" s="60"/>
      <c r="E695" s="60"/>
      <c r="F695" s="60"/>
      <c r="G695" s="60"/>
      <c r="J695" s="99"/>
      <c r="K695" s="99"/>
      <c r="L695" s="99"/>
      <c r="M695" s="99"/>
      <c r="N695" s="43">
        <f t="shared" si="10"/>
        <v>0</v>
      </c>
    </row>
    <row r="696" spans="2:14" ht="1.5" customHeight="1">
      <c r="B696" s="57"/>
      <c r="C696" s="60"/>
      <c r="D696" s="60"/>
      <c r="E696" s="60"/>
      <c r="F696" s="60"/>
      <c r="G696" s="60"/>
      <c r="J696" s="99"/>
      <c r="K696" s="99"/>
      <c r="L696" s="99"/>
      <c r="M696" s="99"/>
      <c r="N696" s="43">
        <f t="shared" si="10"/>
        <v>0</v>
      </c>
    </row>
    <row r="697" spans="2:14" ht="1.5" customHeight="1">
      <c r="B697" s="57"/>
      <c r="C697" s="60"/>
      <c r="D697" s="60"/>
      <c r="E697" s="60"/>
      <c r="F697" s="60"/>
      <c r="G697" s="60"/>
      <c r="J697" s="99"/>
      <c r="K697" s="99"/>
      <c r="L697" s="99"/>
      <c r="M697" s="99"/>
      <c r="N697" s="43">
        <f t="shared" si="10"/>
        <v>0</v>
      </c>
    </row>
    <row r="698" spans="2:14" ht="1.5" customHeight="1">
      <c r="B698" s="57"/>
      <c r="C698" s="60"/>
      <c r="D698" s="60"/>
      <c r="E698" s="60"/>
      <c r="F698" s="60"/>
      <c r="G698" s="60"/>
      <c r="J698" s="99"/>
      <c r="K698" s="99"/>
      <c r="L698" s="99"/>
      <c r="M698" s="99"/>
      <c r="N698" s="43">
        <f t="shared" si="10"/>
        <v>0</v>
      </c>
    </row>
    <row r="699" spans="2:14" ht="1.5" customHeight="1">
      <c r="B699" s="57"/>
      <c r="C699" s="60"/>
      <c r="D699" s="60"/>
      <c r="E699" s="60"/>
      <c r="F699" s="60"/>
      <c r="G699" s="60"/>
      <c r="J699" s="99"/>
      <c r="K699" s="99"/>
      <c r="L699" s="99"/>
      <c r="M699" s="99"/>
      <c r="N699" s="43">
        <f t="shared" si="10"/>
        <v>0</v>
      </c>
    </row>
    <row r="700" spans="2:14" ht="1.5" customHeight="1">
      <c r="B700" s="57"/>
      <c r="C700" s="60"/>
      <c r="D700" s="60"/>
      <c r="E700" s="60"/>
      <c r="F700" s="60"/>
      <c r="G700" s="60"/>
      <c r="J700" s="99"/>
      <c r="K700" s="99"/>
      <c r="L700" s="99"/>
      <c r="M700" s="99"/>
      <c r="N700" s="43">
        <f t="shared" si="10"/>
        <v>0</v>
      </c>
    </row>
    <row r="701" spans="2:14" ht="1.5" customHeight="1">
      <c r="B701" s="57"/>
      <c r="C701" s="60"/>
      <c r="D701" s="60"/>
      <c r="E701" s="60"/>
      <c r="F701" s="60"/>
      <c r="G701" s="60"/>
      <c r="J701" s="99"/>
      <c r="K701" s="99"/>
      <c r="L701" s="99"/>
      <c r="M701" s="99"/>
      <c r="N701" s="43">
        <f t="shared" si="10"/>
        <v>0</v>
      </c>
    </row>
    <row r="702" spans="2:14" ht="1.5" customHeight="1">
      <c r="B702" s="57"/>
      <c r="C702" s="60"/>
      <c r="D702" s="60"/>
      <c r="E702" s="60"/>
      <c r="F702" s="60"/>
      <c r="G702" s="60"/>
      <c r="J702" s="99"/>
      <c r="K702" s="99"/>
      <c r="L702" s="99"/>
      <c r="M702" s="99"/>
      <c r="N702" s="43">
        <f t="shared" si="10"/>
        <v>0</v>
      </c>
    </row>
    <row r="703" spans="2:14" ht="1.5" customHeight="1">
      <c r="B703" s="57"/>
      <c r="C703" s="60"/>
      <c r="D703" s="60"/>
      <c r="E703" s="60"/>
      <c r="F703" s="60"/>
      <c r="G703" s="60"/>
      <c r="J703" s="99"/>
      <c r="K703" s="99"/>
      <c r="L703" s="99"/>
      <c r="M703" s="99"/>
      <c r="N703" s="43">
        <f t="shared" si="10"/>
        <v>0</v>
      </c>
    </row>
    <row r="704" spans="2:14" ht="1.5" customHeight="1">
      <c r="B704" s="57"/>
      <c r="C704" s="60"/>
      <c r="D704" s="60"/>
      <c r="E704" s="60"/>
      <c r="F704" s="60"/>
      <c r="G704" s="60"/>
      <c r="J704" s="99"/>
      <c r="K704" s="99"/>
      <c r="L704" s="99"/>
      <c r="M704" s="99"/>
      <c r="N704" s="43">
        <f t="shared" si="10"/>
        <v>0</v>
      </c>
    </row>
    <row r="705" spans="2:14" ht="1.5" customHeight="1">
      <c r="B705" s="57"/>
      <c r="C705" s="60"/>
      <c r="D705" s="60"/>
      <c r="E705" s="60"/>
      <c r="F705" s="60"/>
      <c r="G705" s="60"/>
      <c r="J705" s="99"/>
      <c r="K705" s="99"/>
      <c r="L705" s="99"/>
      <c r="M705" s="99"/>
      <c r="N705" s="43">
        <f t="shared" si="10"/>
        <v>0</v>
      </c>
    </row>
    <row r="706" spans="2:14" ht="1.5" customHeight="1">
      <c r="B706" s="57"/>
      <c r="C706" s="60"/>
      <c r="D706" s="60"/>
      <c r="E706" s="60"/>
      <c r="F706" s="60"/>
      <c r="G706" s="60"/>
      <c r="J706" s="99"/>
      <c r="K706" s="99"/>
      <c r="L706" s="99"/>
      <c r="M706" s="99"/>
      <c r="N706" s="43">
        <f t="shared" si="10"/>
        <v>0</v>
      </c>
    </row>
    <row r="707" spans="2:14" ht="1.5" customHeight="1">
      <c r="B707" s="57"/>
      <c r="C707" s="60"/>
      <c r="D707" s="60"/>
      <c r="E707" s="60"/>
      <c r="F707" s="60"/>
      <c r="G707" s="60"/>
      <c r="J707" s="99"/>
      <c r="K707" s="99"/>
      <c r="L707" s="99"/>
      <c r="M707" s="99"/>
      <c r="N707" s="43">
        <f t="shared" si="10"/>
        <v>0</v>
      </c>
    </row>
    <row r="708" spans="2:14" ht="1.5" customHeight="1">
      <c r="B708" s="57"/>
      <c r="C708" s="60"/>
      <c r="D708" s="60"/>
      <c r="E708" s="60"/>
      <c r="F708" s="60"/>
      <c r="G708" s="60"/>
      <c r="J708" s="99"/>
      <c r="K708" s="99"/>
      <c r="L708" s="99"/>
      <c r="M708" s="99"/>
      <c r="N708" s="43">
        <f t="shared" si="10"/>
        <v>0</v>
      </c>
    </row>
    <row r="709" spans="2:14" ht="1.5" customHeight="1">
      <c r="B709" s="57"/>
      <c r="C709" s="60"/>
      <c r="D709" s="60"/>
      <c r="E709" s="60"/>
      <c r="F709" s="60"/>
      <c r="G709" s="60"/>
      <c r="J709" s="99"/>
      <c r="K709" s="99"/>
      <c r="L709" s="99"/>
      <c r="M709" s="99"/>
      <c r="N709" s="43">
        <f t="shared" si="10"/>
        <v>0</v>
      </c>
    </row>
    <row r="710" spans="2:14" ht="1.5" customHeight="1">
      <c r="B710" s="57"/>
      <c r="C710" s="60"/>
      <c r="D710" s="60"/>
      <c r="E710" s="60"/>
      <c r="F710" s="60"/>
      <c r="G710" s="60"/>
      <c r="J710" s="99"/>
      <c r="K710" s="99"/>
      <c r="L710" s="99"/>
      <c r="M710" s="99"/>
      <c r="N710" s="43">
        <f t="shared" si="10"/>
        <v>0</v>
      </c>
    </row>
    <row r="711" spans="2:14" ht="1.5" customHeight="1">
      <c r="B711" s="57"/>
      <c r="C711" s="60"/>
      <c r="D711" s="60"/>
      <c r="E711" s="60"/>
      <c r="F711" s="60"/>
      <c r="G711" s="60"/>
      <c r="J711" s="99"/>
      <c r="K711" s="99"/>
      <c r="L711" s="99"/>
      <c r="M711" s="99"/>
      <c r="N711" s="43">
        <f t="shared" si="10"/>
        <v>0</v>
      </c>
    </row>
    <row r="712" spans="2:14" ht="1.5" customHeight="1">
      <c r="B712" s="57"/>
      <c r="C712" s="60"/>
      <c r="D712" s="60"/>
      <c r="E712" s="60"/>
      <c r="F712" s="60"/>
      <c r="G712" s="60"/>
      <c r="J712" s="99"/>
      <c r="K712" s="99"/>
      <c r="L712" s="99"/>
      <c r="M712" s="99"/>
      <c r="N712" s="43">
        <f t="shared" si="10"/>
        <v>0</v>
      </c>
    </row>
    <row r="713" spans="2:14" ht="1.5" customHeight="1">
      <c r="B713" s="57"/>
      <c r="C713" s="60"/>
      <c r="D713" s="60"/>
      <c r="E713" s="60"/>
      <c r="F713" s="60"/>
      <c r="G713" s="60"/>
      <c r="J713" s="99"/>
      <c r="K713" s="99"/>
      <c r="L713" s="99"/>
      <c r="M713" s="99"/>
      <c r="N713" s="43">
        <f t="shared" si="10"/>
        <v>0</v>
      </c>
    </row>
    <row r="714" spans="2:14" ht="1.5" customHeight="1">
      <c r="B714" s="57"/>
      <c r="C714" s="60"/>
      <c r="D714" s="60"/>
      <c r="E714" s="60"/>
      <c r="F714" s="60"/>
      <c r="G714" s="60"/>
      <c r="J714" s="99"/>
      <c r="K714" s="99"/>
      <c r="L714" s="99"/>
      <c r="M714" s="99"/>
      <c r="N714" s="43">
        <f t="shared" si="10"/>
        <v>0</v>
      </c>
    </row>
    <row r="715" spans="2:14" ht="1.5" customHeight="1">
      <c r="B715" s="57"/>
      <c r="C715" s="60"/>
      <c r="D715" s="60"/>
      <c r="E715" s="60"/>
      <c r="F715" s="60"/>
      <c r="G715" s="60"/>
      <c r="J715" s="99"/>
      <c r="K715" s="99"/>
      <c r="L715" s="99"/>
      <c r="M715" s="99"/>
      <c r="N715" s="43">
        <f t="shared" ref="N715:N778" si="11">IF($L$4=$C$10,C715,IF(D715="","",B715))</f>
        <v>0</v>
      </c>
    </row>
    <row r="716" spans="2:14" ht="1.5" customHeight="1">
      <c r="B716" s="57"/>
      <c r="C716" s="60"/>
      <c r="D716" s="60"/>
      <c r="E716" s="60"/>
      <c r="F716" s="60"/>
      <c r="G716" s="60"/>
      <c r="J716" s="99"/>
      <c r="K716" s="99"/>
      <c r="L716" s="99"/>
      <c r="M716" s="99"/>
      <c r="N716" s="43">
        <f t="shared" si="11"/>
        <v>0</v>
      </c>
    </row>
    <row r="717" spans="2:14" ht="1.5" customHeight="1">
      <c r="B717" s="57"/>
      <c r="C717" s="60"/>
      <c r="D717" s="60"/>
      <c r="E717" s="60"/>
      <c r="F717" s="60"/>
      <c r="G717" s="60"/>
      <c r="J717" s="99"/>
      <c r="K717" s="99"/>
      <c r="L717" s="99"/>
      <c r="M717" s="99"/>
      <c r="N717" s="43">
        <f t="shared" si="11"/>
        <v>0</v>
      </c>
    </row>
    <row r="718" spans="2:14" ht="1.5" customHeight="1">
      <c r="B718" s="57"/>
      <c r="C718" s="60"/>
      <c r="D718" s="60"/>
      <c r="E718" s="60"/>
      <c r="F718" s="60"/>
      <c r="G718" s="60"/>
      <c r="J718" s="99"/>
      <c r="K718" s="99"/>
      <c r="L718" s="99"/>
      <c r="M718" s="99"/>
      <c r="N718" s="43">
        <f t="shared" si="11"/>
        <v>0</v>
      </c>
    </row>
    <row r="719" spans="2:14" ht="1.5" customHeight="1">
      <c r="B719" s="57"/>
      <c r="C719" s="60"/>
      <c r="D719" s="60"/>
      <c r="E719" s="60"/>
      <c r="F719" s="60"/>
      <c r="G719" s="60"/>
      <c r="J719" s="99"/>
      <c r="K719" s="99"/>
      <c r="L719" s="99"/>
      <c r="M719" s="99"/>
      <c r="N719" s="43">
        <f t="shared" si="11"/>
        <v>0</v>
      </c>
    </row>
    <row r="720" spans="2:14" ht="1.5" customHeight="1">
      <c r="B720" s="57"/>
      <c r="C720" s="60"/>
      <c r="D720" s="60"/>
      <c r="E720" s="60"/>
      <c r="F720" s="60"/>
      <c r="G720" s="60"/>
      <c r="J720" s="99"/>
      <c r="K720" s="99"/>
      <c r="L720" s="99"/>
      <c r="M720" s="99"/>
      <c r="N720" s="43">
        <f t="shared" si="11"/>
        <v>0</v>
      </c>
    </row>
    <row r="721" spans="2:14" ht="1.5" customHeight="1">
      <c r="B721" s="57"/>
      <c r="C721" s="60"/>
      <c r="D721" s="60"/>
      <c r="E721" s="60"/>
      <c r="F721" s="60"/>
      <c r="G721" s="60"/>
      <c r="J721" s="99"/>
      <c r="K721" s="99"/>
      <c r="L721" s="99"/>
      <c r="M721" s="99"/>
      <c r="N721" s="43">
        <f t="shared" si="11"/>
        <v>0</v>
      </c>
    </row>
    <row r="722" spans="2:14" ht="1.5" customHeight="1">
      <c r="B722" s="57"/>
      <c r="C722" s="60"/>
      <c r="D722" s="60"/>
      <c r="E722" s="60"/>
      <c r="F722" s="60"/>
      <c r="G722" s="60"/>
      <c r="J722" s="99"/>
      <c r="K722" s="99"/>
      <c r="L722" s="99"/>
      <c r="M722" s="99"/>
      <c r="N722" s="43">
        <f t="shared" si="11"/>
        <v>0</v>
      </c>
    </row>
    <row r="723" spans="2:14" ht="1.5" customHeight="1">
      <c r="B723" s="57"/>
      <c r="C723" s="60"/>
      <c r="D723" s="60"/>
      <c r="E723" s="60"/>
      <c r="F723" s="60"/>
      <c r="G723" s="60"/>
      <c r="J723" s="99"/>
      <c r="K723" s="99"/>
      <c r="L723" s="99"/>
      <c r="M723" s="99"/>
      <c r="N723" s="43">
        <f t="shared" si="11"/>
        <v>0</v>
      </c>
    </row>
    <row r="724" spans="2:14" ht="1.5" customHeight="1">
      <c r="B724" s="57"/>
      <c r="C724" s="60"/>
      <c r="D724" s="60"/>
      <c r="E724" s="60"/>
      <c r="F724" s="60"/>
      <c r="G724" s="60"/>
      <c r="J724" s="99"/>
      <c r="K724" s="99"/>
      <c r="L724" s="99"/>
      <c r="M724" s="99"/>
      <c r="N724" s="43">
        <f t="shared" si="11"/>
        <v>0</v>
      </c>
    </row>
    <row r="725" spans="2:14" ht="1.5" customHeight="1">
      <c r="B725" s="57"/>
      <c r="C725" s="60"/>
      <c r="D725" s="60"/>
      <c r="E725" s="60"/>
      <c r="F725" s="60"/>
      <c r="G725" s="60"/>
      <c r="J725" s="99"/>
      <c r="K725" s="99"/>
      <c r="L725" s="99"/>
      <c r="M725" s="99"/>
      <c r="N725" s="43">
        <f t="shared" si="11"/>
        <v>0</v>
      </c>
    </row>
    <row r="726" spans="2:14" ht="1.5" customHeight="1">
      <c r="B726" s="57"/>
      <c r="C726" s="60"/>
      <c r="D726" s="60"/>
      <c r="E726" s="60"/>
      <c r="F726" s="60"/>
      <c r="G726" s="60"/>
      <c r="J726" s="99"/>
      <c r="K726" s="99"/>
      <c r="L726" s="99"/>
      <c r="M726" s="99"/>
      <c r="N726" s="43">
        <f t="shared" si="11"/>
        <v>0</v>
      </c>
    </row>
    <row r="727" spans="2:14" ht="1.5" customHeight="1">
      <c r="B727" s="57"/>
      <c r="C727" s="60"/>
      <c r="D727" s="60"/>
      <c r="E727" s="60"/>
      <c r="F727" s="60"/>
      <c r="G727" s="60"/>
      <c r="J727" s="99"/>
      <c r="K727" s="99"/>
      <c r="L727" s="99"/>
      <c r="M727" s="99"/>
      <c r="N727" s="43">
        <f t="shared" si="11"/>
        <v>0</v>
      </c>
    </row>
    <row r="728" spans="2:14" ht="1.5" customHeight="1">
      <c r="B728" s="57"/>
      <c r="C728" s="60"/>
      <c r="D728" s="60"/>
      <c r="E728" s="60"/>
      <c r="F728" s="60"/>
      <c r="G728" s="60"/>
      <c r="J728" s="99"/>
      <c r="K728" s="99"/>
      <c r="L728" s="99"/>
      <c r="M728" s="99"/>
      <c r="N728" s="43">
        <f t="shared" si="11"/>
        <v>0</v>
      </c>
    </row>
    <row r="729" spans="2:14" ht="1.5" customHeight="1">
      <c r="B729" s="57"/>
      <c r="C729" s="60"/>
      <c r="D729" s="60"/>
      <c r="E729" s="60"/>
      <c r="F729" s="60"/>
      <c r="G729" s="60"/>
      <c r="J729" s="99"/>
      <c r="K729" s="99"/>
      <c r="L729" s="99"/>
      <c r="M729" s="99"/>
      <c r="N729" s="43">
        <f t="shared" si="11"/>
        <v>0</v>
      </c>
    </row>
    <row r="730" spans="2:14" ht="1.5" customHeight="1">
      <c r="B730" s="57"/>
      <c r="C730" s="60"/>
      <c r="D730" s="60"/>
      <c r="E730" s="60"/>
      <c r="F730" s="60"/>
      <c r="G730" s="60"/>
      <c r="J730" s="99"/>
      <c r="K730" s="99"/>
      <c r="L730" s="99"/>
      <c r="M730" s="99"/>
      <c r="N730" s="43">
        <f t="shared" si="11"/>
        <v>0</v>
      </c>
    </row>
    <row r="731" spans="2:14" ht="1.5" customHeight="1">
      <c r="B731" s="57"/>
      <c r="C731" s="60"/>
      <c r="D731" s="60"/>
      <c r="E731" s="60"/>
      <c r="F731" s="60"/>
      <c r="G731" s="60"/>
      <c r="J731" s="99"/>
      <c r="K731" s="99"/>
      <c r="L731" s="99"/>
      <c r="M731" s="99"/>
      <c r="N731" s="43">
        <f t="shared" si="11"/>
        <v>0</v>
      </c>
    </row>
    <row r="732" spans="2:14" ht="1.5" customHeight="1">
      <c r="B732" s="57"/>
      <c r="C732" s="60"/>
      <c r="D732" s="60"/>
      <c r="E732" s="60"/>
      <c r="F732" s="60"/>
      <c r="G732" s="60"/>
      <c r="J732" s="99"/>
      <c r="K732" s="99"/>
      <c r="L732" s="99"/>
      <c r="M732" s="99"/>
      <c r="N732" s="43">
        <f t="shared" si="11"/>
        <v>0</v>
      </c>
    </row>
    <row r="733" spans="2:14" ht="1.5" customHeight="1">
      <c r="B733" s="57"/>
      <c r="C733" s="60"/>
      <c r="D733" s="60"/>
      <c r="E733" s="60"/>
      <c r="F733" s="60"/>
      <c r="G733" s="60"/>
      <c r="J733" s="99"/>
      <c r="K733" s="99"/>
      <c r="L733" s="99"/>
      <c r="M733" s="99"/>
      <c r="N733" s="43">
        <f t="shared" si="11"/>
        <v>0</v>
      </c>
    </row>
    <row r="734" spans="2:14" ht="1.5" customHeight="1">
      <c r="B734" s="57"/>
      <c r="C734" s="60"/>
      <c r="D734" s="60"/>
      <c r="E734" s="60"/>
      <c r="F734" s="60"/>
      <c r="G734" s="60"/>
      <c r="J734" s="99"/>
      <c r="K734" s="99"/>
      <c r="L734" s="99"/>
      <c r="M734" s="99"/>
      <c r="N734" s="43">
        <f t="shared" si="11"/>
        <v>0</v>
      </c>
    </row>
    <row r="735" spans="2:14" ht="1.5" customHeight="1">
      <c r="B735" s="57"/>
      <c r="C735" s="60"/>
      <c r="D735" s="60"/>
      <c r="E735" s="60"/>
      <c r="F735" s="60"/>
      <c r="G735" s="60"/>
      <c r="J735" s="99"/>
      <c r="K735" s="99"/>
      <c r="L735" s="99"/>
      <c r="M735" s="99"/>
      <c r="N735" s="43">
        <f t="shared" si="11"/>
        <v>0</v>
      </c>
    </row>
    <row r="736" spans="2:14" ht="1.5" customHeight="1">
      <c r="B736" s="57"/>
      <c r="C736" s="60"/>
      <c r="D736" s="60"/>
      <c r="E736" s="60"/>
      <c r="F736" s="60"/>
      <c r="G736" s="60"/>
      <c r="J736" s="99"/>
      <c r="K736" s="99"/>
      <c r="L736" s="99"/>
      <c r="M736" s="99"/>
      <c r="N736" s="43">
        <f t="shared" si="11"/>
        <v>0</v>
      </c>
    </row>
    <row r="737" spans="2:14" ht="1.5" customHeight="1">
      <c r="B737" s="57"/>
      <c r="C737" s="60"/>
      <c r="D737" s="60"/>
      <c r="E737" s="60"/>
      <c r="F737" s="60"/>
      <c r="G737" s="60"/>
      <c r="J737" s="99"/>
      <c r="K737" s="99"/>
      <c r="L737" s="99"/>
      <c r="M737" s="99"/>
      <c r="N737" s="43">
        <f t="shared" si="11"/>
        <v>0</v>
      </c>
    </row>
    <row r="738" spans="2:14" ht="1.5" customHeight="1">
      <c r="B738" s="57"/>
      <c r="C738" s="60"/>
      <c r="D738" s="60"/>
      <c r="E738" s="60"/>
      <c r="F738" s="60"/>
      <c r="G738" s="60"/>
      <c r="J738" s="99"/>
      <c r="K738" s="99"/>
      <c r="L738" s="99"/>
      <c r="M738" s="99"/>
      <c r="N738" s="43">
        <f t="shared" si="11"/>
        <v>0</v>
      </c>
    </row>
    <row r="739" spans="2:14" ht="1.5" customHeight="1">
      <c r="B739" s="57"/>
      <c r="C739" s="60"/>
      <c r="D739" s="60"/>
      <c r="E739" s="60"/>
      <c r="F739" s="60"/>
      <c r="G739" s="60"/>
      <c r="J739" s="99"/>
      <c r="K739" s="99"/>
      <c r="L739" s="99"/>
      <c r="M739" s="99"/>
      <c r="N739" s="43">
        <f t="shared" si="11"/>
        <v>0</v>
      </c>
    </row>
    <row r="740" spans="2:14" ht="1.5" customHeight="1">
      <c r="B740" s="57"/>
      <c r="C740" s="60"/>
      <c r="D740" s="60"/>
      <c r="E740" s="60"/>
      <c r="F740" s="60"/>
      <c r="G740" s="60"/>
      <c r="J740" s="99"/>
      <c r="K740" s="99"/>
      <c r="L740" s="99"/>
      <c r="M740" s="99"/>
      <c r="N740" s="43">
        <f t="shared" si="11"/>
        <v>0</v>
      </c>
    </row>
    <row r="741" spans="2:14" ht="1.5" customHeight="1">
      <c r="B741" s="57"/>
      <c r="C741" s="60"/>
      <c r="D741" s="60"/>
      <c r="E741" s="60"/>
      <c r="F741" s="60"/>
      <c r="G741" s="60"/>
      <c r="J741" s="99"/>
      <c r="K741" s="99"/>
      <c r="L741" s="99"/>
      <c r="M741" s="99"/>
      <c r="N741" s="43">
        <f t="shared" si="11"/>
        <v>0</v>
      </c>
    </row>
    <row r="742" spans="2:14" ht="1.5" customHeight="1">
      <c r="B742" s="57"/>
      <c r="C742" s="60"/>
      <c r="D742" s="60"/>
      <c r="E742" s="60"/>
      <c r="F742" s="60"/>
      <c r="G742" s="60"/>
      <c r="J742" s="99"/>
      <c r="K742" s="99"/>
      <c r="L742" s="99"/>
      <c r="M742" s="99"/>
      <c r="N742" s="43">
        <f t="shared" si="11"/>
        <v>0</v>
      </c>
    </row>
    <row r="743" spans="2:14" ht="1.5" customHeight="1">
      <c r="B743" s="57"/>
      <c r="C743" s="60"/>
      <c r="D743" s="60"/>
      <c r="E743" s="60"/>
      <c r="F743" s="60"/>
      <c r="G743" s="60"/>
      <c r="J743" s="99"/>
      <c r="K743" s="99"/>
      <c r="L743" s="99"/>
      <c r="M743" s="99"/>
      <c r="N743" s="43">
        <f t="shared" si="11"/>
        <v>0</v>
      </c>
    </row>
    <row r="744" spans="2:14" ht="1.5" customHeight="1">
      <c r="B744" s="57"/>
      <c r="C744" s="60"/>
      <c r="D744" s="60"/>
      <c r="E744" s="60"/>
      <c r="F744" s="60"/>
      <c r="G744" s="60"/>
      <c r="J744" s="99"/>
      <c r="K744" s="99"/>
      <c r="L744" s="99"/>
      <c r="M744" s="99"/>
      <c r="N744" s="43">
        <f t="shared" si="11"/>
        <v>0</v>
      </c>
    </row>
    <row r="745" spans="2:14" ht="1.5" customHeight="1">
      <c r="B745" s="57"/>
      <c r="C745" s="60"/>
      <c r="D745" s="60"/>
      <c r="E745" s="60"/>
      <c r="F745" s="60"/>
      <c r="G745" s="60"/>
      <c r="J745" s="99"/>
      <c r="K745" s="99"/>
      <c r="L745" s="99"/>
      <c r="M745" s="99"/>
      <c r="N745" s="43">
        <f t="shared" si="11"/>
        <v>0</v>
      </c>
    </row>
    <row r="746" spans="2:14" ht="1.5" customHeight="1">
      <c r="B746" s="57"/>
      <c r="C746" s="60"/>
      <c r="D746" s="60"/>
      <c r="E746" s="60"/>
      <c r="F746" s="60"/>
      <c r="G746" s="60"/>
      <c r="J746" s="99"/>
      <c r="K746" s="99"/>
      <c r="L746" s="99"/>
      <c r="M746" s="99"/>
      <c r="N746" s="43">
        <f t="shared" si="11"/>
        <v>0</v>
      </c>
    </row>
    <row r="747" spans="2:14" ht="1.5" customHeight="1">
      <c r="B747" s="57"/>
      <c r="C747" s="60"/>
      <c r="D747" s="60"/>
      <c r="E747" s="60"/>
      <c r="F747" s="60"/>
      <c r="G747" s="60"/>
      <c r="J747" s="99"/>
      <c r="K747" s="99"/>
      <c r="L747" s="99"/>
      <c r="M747" s="99"/>
      <c r="N747" s="43">
        <f t="shared" si="11"/>
        <v>0</v>
      </c>
    </row>
    <row r="748" spans="2:14" ht="1.5" customHeight="1">
      <c r="B748" s="57"/>
      <c r="C748" s="60"/>
      <c r="D748" s="60"/>
      <c r="E748" s="60"/>
      <c r="F748" s="60"/>
      <c r="G748" s="60"/>
      <c r="J748" s="99"/>
      <c r="K748" s="99"/>
      <c r="L748" s="99"/>
      <c r="M748" s="99"/>
      <c r="N748" s="43">
        <f t="shared" si="11"/>
        <v>0</v>
      </c>
    </row>
    <row r="749" spans="2:14" ht="1.5" customHeight="1">
      <c r="B749" s="57"/>
      <c r="C749" s="60"/>
      <c r="D749" s="60"/>
      <c r="E749" s="60"/>
      <c r="F749" s="60"/>
      <c r="G749" s="60"/>
      <c r="J749" s="99"/>
      <c r="K749" s="99"/>
      <c r="L749" s="99"/>
      <c r="M749" s="99"/>
      <c r="N749" s="43">
        <f t="shared" si="11"/>
        <v>0</v>
      </c>
    </row>
    <row r="750" spans="2:14" ht="1.5" customHeight="1">
      <c r="B750" s="57"/>
      <c r="C750" s="60"/>
      <c r="D750" s="60"/>
      <c r="E750" s="60"/>
      <c r="F750" s="60"/>
      <c r="G750" s="60"/>
      <c r="J750" s="99"/>
      <c r="K750" s="99"/>
      <c r="L750" s="99"/>
      <c r="M750" s="99"/>
      <c r="N750" s="43">
        <f t="shared" si="11"/>
        <v>0</v>
      </c>
    </row>
    <row r="751" spans="2:14" ht="1.5" customHeight="1">
      <c r="B751" s="57"/>
      <c r="C751" s="60"/>
      <c r="D751" s="60"/>
      <c r="E751" s="60"/>
      <c r="F751" s="60"/>
      <c r="G751" s="60"/>
      <c r="J751" s="99"/>
      <c r="K751" s="99"/>
      <c r="L751" s="99"/>
      <c r="M751" s="99"/>
      <c r="N751" s="43">
        <f t="shared" si="11"/>
        <v>0</v>
      </c>
    </row>
    <row r="752" spans="2:14" ht="1.5" customHeight="1">
      <c r="B752" s="57"/>
      <c r="C752" s="60"/>
      <c r="D752" s="60"/>
      <c r="E752" s="60"/>
      <c r="F752" s="60"/>
      <c r="G752" s="60"/>
      <c r="J752" s="99"/>
      <c r="K752" s="99"/>
      <c r="L752" s="99"/>
      <c r="M752" s="99"/>
      <c r="N752" s="43">
        <f t="shared" si="11"/>
        <v>0</v>
      </c>
    </row>
    <row r="753" spans="2:14" ht="1.5" customHeight="1">
      <c r="B753" s="57"/>
      <c r="C753" s="60"/>
      <c r="D753" s="60"/>
      <c r="E753" s="60"/>
      <c r="F753" s="60"/>
      <c r="G753" s="60"/>
      <c r="J753" s="99"/>
      <c r="K753" s="99"/>
      <c r="L753" s="99"/>
      <c r="M753" s="99"/>
      <c r="N753" s="43">
        <f t="shared" si="11"/>
        <v>0</v>
      </c>
    </row>
    <row r="754" spans="2:14" ht="1.5" customHeight="1">
      <c r="B754" s="57"/>
      <c r="C754" s="60"/>
      <c r="D754" s="60"/>
      <c r="E754" s="60"/>
      <c r="F754" s="60"/>
      <c r="G754" s="60"/>
      <c r="J754" s="99"/>
      <c r="K754" s="99"/>
      <c r="L754" s="99"/>
      <c r="M754" s="99"/>
      <c r="N754" s="43">
        <f t="shared" si="11"/>
        <v>0</v>
      </c>
    </row>
    <row r="755" spans="2:14" ht="1.5" customHeight="1">
      <c r="B755" s="57"/>
      <c r="C755" s="60"/>
      <c r="D755" s="60"/>
      <c r="E755" s="60"/>
      <c r="F755" s="60"/>
      <c r="G755" s="60"/>
      <c r="J755" s="99"/>
      <c r="K755" s="99"/>
      <c r="L755" s="99"/>
      <c r="M755" s="99"/>
      <c r="N755" s="43">
        <f t="shared" si="11"/>
        <v>0</v>
      </c>
    </row>
    <row r="756" spans="2:14" ht="1.5" customHeight="1">
      <c r="B756" s="57"/>
      <c r="C756" s="60"/>
      <c r="D756" s="60"/>
      <c r="E756" s="60"/>
      <c r="F756" s="60"/>
      <c r="G756" s="60"/>
      <c r="J756" s="99"/>
      <c r="K756" s="99"/>
      <c r="L756" s="99"/>
      <c r="M756" s="99"/>
      <c r="N756" s="43">
        <f t="shared" si="11"/>
        <v>0</v>
      </c>
    </row>
    <row r="757" spans="2:14" ht="1.5" customHeight="1">
      <c r="B757" s="57"/>
      <c r="C757" s="60"/>
      <c r="D757" s="60"/>
      <c r="E757" s="60"/>
      <c r="F757" s="60"/>
      <c r="G757" s="60"/>
      <c r="J757" s="99"/>
      <c r="K757" s="99"/>
      <c r="L757" s="99"/>
      <c r="M757" s="99"/>
      <c r="N757" s="43">
        <f t="shared" si="11"/>
        <v>0</v>
      </c>
    </row>
    <row r="758" spans="2:14" ht="1.5" customHeight="1">
      <c r="B758" s="57"/>
      <c r="C758" s="60"/>
      <c r="D758" s="60"/>
      <c r="E758" s="60"/>
      <c r="F758" s="60"/>
      <c r="G758" s="60"/>
      <c r="J758" s="99"/>
      <c r="K758" s="99"/>
      <c r="L758" s="99"/>
      <c r="M758" s="99"/>
      <c r="N758" s="43">
        <f t="shared" si="11"/>
        <v>0</v>
      </c>
    </row>
    <row r="759" spans="2:14" ht="1.5" customHeight="1">
      <c r="B759" s="57"/>
      <c r="C759" s="60"/>
      <c r="D759" s="60"/>
      <c r="E759" s="60"/>
      <c r="F759" s="60"/>
      <c r="G759" s="60"/>
      <c r="J759" s="99"/>
      <c r="K759" s="99"/>
      <c r="L759" s="99"/>
      <c r="M759" s="99"/>
      <c r="N759" s="43">
        <f t="shared" si="11"/>
        <v>0</v>
      </c>
    </row>
    <row r="760" spans="2:14" ht="1.5" customHeight="1">
      <c r="B760" s="57"/>
      <c r="C760" s="60"/>
      <c r="D760" s="60"/>
      <c r="E760" s="60"/>
      <c r="F760" s="60"/>
      <c r="G760" s="60"/>
      <c r="J760" s="99"/>
      <c r="K760" s="99"/>
      <c r="L760" s="99"/>
      <c r="M760" s="99"/>
      <c r="N760" s="43">
        <f t="shared" si="11"/>
        <v>0</v>
      </c>
    </row>
    <row r="761" spans="2:14" ht="1.5" customHeight="1">
      <c r="B761" s="57"/>
      <c r="C761" s="60"/>
      <c r="D761" s="60"/>
      <c r="E761" s="60"/>
      <c r="F761" s="60"/>
      <c r="G761" s="60"/>
      <c r="J761" s="99"/>
      <c r="K761" s="99"/>
      <c r="L761" s="99"/>
      <c r="M761" s="99"/>
      <c r="N761" s="43">
        <f t="shared" si="11"/>
        <v>0</v>
      </c>
    </row>
    <row r="762" spans="2:14" ht="1.5" customHeight="1">
      <c r="B762" s="57"/>
      <c r="C762" s="60"/>
      <c r="D762" s="60"/>
      <c r="E762" s="60"/>
      <c r="F762" s="60"/>
      <c r="G762" s="60"/>
      <c r="J762" s="99"/>
      <c r="K762" s="99"/>
      <c r="L762" s="99"/>
      <c r="M762" s="99"/>
      <c r="N762" s="43">
        <f t="shared" si="11"/>
        <v>0</v>
      </c>
    </row>
    <row r="763" spans="2:14" ht="1.5" customHeight="1">
      <c r="B763" s="57"/>
      <c r="C763" s="60"/>
      <c r="D763" s="60"/>
      <c r="E763" s="60"/>
      <c r="F763" s="60"/>
      <c r="G763" s="60"/>
      <c r="J763" s="99"/>
      <c r="K763" s="99"/>
      <c r="L763" s="99"/>
      <c r="M763" s="99"/>
      <c r="N763" s="43">
        <f t="shared" si="11"/>
        <v>0</v>
      </c>
    </row>
    <row r="764" spans="2:14" ht="1.5" customHeight="1">
      <c r="B764" s="57"/>
      <c r="C764" s="60"/>
      <c r="D764" s="60"/>
      <c r="E764" s="60"/>
      <c r="F764" s="60"/>
      <c r="G764" s="60"/>
      <c r="J764" s="99"/>
      <c r="K764" s="99"/>
      <c r="L764" s="99"/>
      <c r="M764" s="99"/>
      <c r="N764" s="43">
        <f t="shared" si="11"/>
        <v>0</v>
      </c>
    </row>
    <row r="765" spans="2:14" ht="1.5" customHeight="1">
      <c r="B765" s="57"/>
      <c r="C765" s="60"/>
      <c r="D765" s="60"/>
      <c r="E765" s="60"/>
      <c r="F765" s="60"/>
      <c r="G765" s="60"/>
      <c r="J765" s="99"/>
      <c r="K765" s="99"/>
      <c r="L765" s="99"/>
      <c r="M765" s="99"/>
      <c r="N765" s="43">
        <f t="shared" si="11"/>
        <v>0</v>
      </c>
    </row>
    <row r="766" spans="2:14" ht="1.5" customHeight="1">
      <c r="B766" s="57"/>
      <c r="C766" s="60"/>
      <c r="D766" s="60"/>
      <c r="E766" s="60"/>
      <c r="F766" s="60"/>
      <c r="G766" s="60"/>
      <c r="J766" s="99"/>
      <c r="K766" s="99"/>
      <c r="L766" s="99"/>
      <c r="M766" s="99"/>
      <c r="N766" s="43">
        <f t="shared" si="11"/>
        <v>0</v>
      </c>
    </row>
    <row r="767" spans="2:14" ht="1.5" customHeight="1">
      <c r="B767" s="57"/>
      <c r="C767" s="60"/>
      <c r="D767" s="60"/>
      <c r="E767" s="60"/>
      <c r="F767" s="60"/>
      <c r="G767" s="60"/>
      <c r="J767" s="99"/>
      <c r="K767" s="99"/>
      <c r="L767" s="99"/>
      <c r="M767" s="99"/>
      <c r="N767" s="43">
        <f t="shared" si="11"/>
        <v>0</v>
      </c>
    </row>
    <row r="768" spans="2:14" ht="1.5" customHeight="1">
      <c r="B768" s="57"/>
      <c r="C768" s="60"/>
      <c r="D768" s="60"/>
      <c r="E768" s="60"/>
      <c r="F768" s="60"/>
      <c r="G768" s="60"/>
      <c r="J768" s="99"/>
      <c r="K768" s="99"/>
      <c r="L768" s="99"/>
      <c r="M768" s="99"/>
      <c r="N768" s="43">
        <f t="shared" si="11"/>
        <v>0</v>
      </c>
    </row>
    <row r="769" spans="2:14" ht="1.5" customHeight="1">
      <c r="B769" s="57"/>
      <c r="C769" s="60"/>
      <c r="D769" s="60"/>
      <c r="E769" s="60"/>
      <c r="F769" s="60"/>
      <c r="G769" s="60"/>
      <c r="J769" s="99"/>
      <c r="K769" s="99"/>
      <c r="L769" s="99"/>
      <c r="M769" s="99"/>
      <c r="N769" s="43">
        <f t="shared" si="11"/>
        <v>0</v>
      </c>
    </row>
    <row r="770" spans="2:14" ht="1.5" customHeight="1">
      <c r="B770" s="57"/>
      <c r="C770" s="60"/>
      <c r="D770" s="60"/>
      <c r="E770" s="60"/>
      <c r="F770" s="60"/>
      <c r="G770" s="60"/>
      <c r="J770" s="99"/>
      <c r="K770" s="99"/>
      <c r="L770" s="99"/>
      <c r="M770" s="99"/>
      <c r="N770" s="43">
        <f t="shared" si="11"/>
        <v>0</v>
      </c>
    </row>
    <row r="771" spans="2:14" ht="1.5" customHeight="1">
      <c r="B771" s="57"/>
      <c r="C771" s="60"/>
      <c r="D771" s="60"/>
      <c r="E771" s="60"/>
      <c r="F771" s="60"/>
      <c r="G771" s="60"/>
      <c r="J771" s="99"/>
      <c r="K771" s="99"/>
      <c r="L771" s="99"/>
      <c r="M771" s="99"/>
      <c r="N771" s="43">
        <f t="shared" si="11"/>
        <v>0</v>
      </c>
    </row>
    <row r="772" spans="2:14" ht="1.5" customHeight="1">
      <c r="B772" s="57"/>
      <c r="C772" s="60"/>
      <c r="D772" s="60"/>
      <c r="E772" s="60"/>
      <c r="F772" s="60"/>
      <c r="G772" s="60"/>
      <c r="J772" s="99"/>
      <c r="K772" s="99"/>
      <c r="L772" s="99"/>
      <c r="M772" s="99"/>
      <c r="N772" s="43">
        <f t="shared" si="11"/>
        <v>0</v>
      </c>
    </row>
    <row r="773" spans="2:14" ht="1.5" customHeight="1">
      <c r="B773" s="57"/>
      <c r="C773" s="60"/>
      <c r="D773" s="60"/>
      <c r="E773" s="60"/>
      <c r="F773" s="60"/>
      <c r="G773" s="60"/>
      <c r="J773" s="99"/>
      <c r="K773" s="99"/>
      <c r="L773" s="99"/>
      <c r="M773" s="99"/>
      <c r="N773" s="43">
        <f t="shared" si="11"/>
        <v>0</v>
      </c>
    </row>
    <row r="774" spans="2:14" ht="1.5" customHeight="1">
      <c r="B774" s="57"/>
      <c r="C774" s="60"/>
      <c r="D774" s="60"/>
      <c r="E774" s="60"/>
      <c r="F774" s="60"/>
      <c r="G774" s="60"/>
      <c r="J774" s="99"/>
      <c r="K774" s="99"/>
      <c r="L774" s="99"/>
      <c r="M774" s="99"/>
      <c r="N774" s="43">
        <f t="shared" si="11"/>
        <v>0</v>
      </c>
    </row>
    <row r="775" spans="2:14" ht="1.5" customHeight="1">
      <c r="B775" s="57"/>
      <c r="C775" s="60"/>
      <c r="D775" s="60"/>
      <c r="E775" s="60"/>
      <c r="F775" s="60"/>
      <c r="G775" s="60"/>
      <c r="J775" s="99"/>
      <c r="K775" s="99"/>
      <c r="L775" s="99"/>
      <c r="M775" s="99"/>
      <c r="N775" s="43">
        <f t="shared" si="11"/>
        <v>0</v>
      </c>
    </row>
    <row r="776" spans="2:14" ht="1.5" customHeight="1">
      <c r="B776" s="57"/>
      <c r="C776" s="60"/>
      <c r="D776" s="60"/>
      <c r="E776" s="60"/>
      <c r="F776" s="60"/>
      <c r="G776" s="60"/>
      <c r="J776" s="99"/>
      <c r="K776" s="99"/>
      <c r="L776" s="99"/>
      <c r="M776" s="99"/>
      <c r="N776" s="43">
        <f t="shared" si="11"/>
        <v>0</v>
      </c>
    </row>
    <row r="777" spans="2:14" ht="1.5" customHeight="1">
      <c r="B777" s="57"/>
      <c r="C777" s="60"/>
      <c r="D777" s="60"/>
      <c r="E777" s="60"/>
      <c r="F777" s="60"/>
      <c r="G777" s="60"/>
      <c r="J777" s="99"/>
      <c r="K777" s="99"/>
      <c r="L777" s="99"/>
      <c r="M777" s="99"/>
      <c r="N777" s="43">
        <f t="shared" si="11"/>
        <v>0</v>
      </c>
    </row>
    <row r="778" spans="2:14" ht="1.5" customHeight="1">
      <c r="B778" s="57"/>
      <c r="C778" s="60"/>
      <c r="D778" s="60"/>
      <c r="E778" s="60"/>
      <c r="F778" s="60"/>
      <c r="G778" s="60"/>
      <c r="J778" s="99"/>
      <c r="K778" s="99"/>
      <c r="L778" s="99"/>
      <c r="M778" s="99"/>
      <c r="N778" s="43">
        <f t="shared" si="11"/>
        <v>0</v>
      </c>
    </row>
    <row r="779" spans="2:14" ht="1.5" customHeight="1">
      <c r="B779" s="57"/>
      <c r="C779" s="60"/>
      <c r="D779" s="60"/>
      <c r="E779" s="60"/>
      <c r="F779" s="60"/>
      <c r="G779" s="60"/>
      <c r="J779" s="99"/>
      <c r="K779" s="99"/>
      <c r="L779" s="99"/>
      <c r="M779" s="99"/>
      <c r="N779" s="43">
        <f t="shared" ref="N779:N811" si="12">IF($L$4=$C$10,C779,IF(D779="","",B779))</f>
        <v>0</v>
      </c>
    </row>
    <row r="780" spans="2:14" ht="1.5" customHeight="1">
      <c r="B780" s="57"/>
      <c r="C780" s="60"/>
      <c r="D780" s="60"/>
      <c r="E780" s="60"/>
      <c r="F780" s="60"/>
      <c r="G780" s="60"/>
      <c r="J780" s="99"/>
      <c r="K780" s="99"/>
      <c r="L780" s="99"/>
      <c r="M780" s="99"/>
      <c r="N780" s="43">
        <f t="shared" si="12"/>
        <v>0</v>
      </c>
    </row>
    <row r="781" spans="2:14" ht="1.5" customHeight="1">
      <c r="B781" s="57"/>
      <c r="C781" s="60"/>
      <c r="D781" s="60"/>
      <c r="E781" s="60"/>
      <c r="F781" s="60"/>
      <c r="G781" s="60"/>
      <c r="J781" s="99"/>
      <c r="K781" s="99"/>
      <c r="L781" s="99"/>
      <c r="M781" s="99"/>
      <c r="N781" s="43">
        <f t="shared" si="12"/>
        <v>0</v>
      </c>
    </row>
    <row r="782" spans="2:14" ht="1.5" customHeight="1">
      <c r="B782" s="57"/>
      <c r="C782" s="60"/>
      <c r="D782" s="60"/>
      <c r="E782" s="60"/>
      <c r="F782" s="60"/>
      <c r="G782" s="60"/>
      <c r="J782" s="99"/>
      <c r="K782" s="99"/>
      <c r="L782" s="99"/>
      <c r="M782" s="99"/>
      <c r="N782" s="43">
        <f t="shared" si="12"/>
        <v>0</v>
      </c>
    </row>
    <row r="783" spans="2:14" ht="1.5" customHeight="1">
      <c r="B783" s="57"/>
      <c r="C783" s="60"/>
      <c r="D783" s="60"/>
      <c r="E783" s="60"/>
      <c r="F783" s="60"/>
      <c r="G783" s="60"/>
      <c r="J783" s="99"/>
      <c r="K783" s="99"/>
      <c r="L783" s="99"/>
      <c r="M783" s="99"/>
      <c r="N783" s="43">
        <f t="shared" si="12"/>
        <v>0</v>
      </c>
    </row>
    <row r="784" spans="2:14" ht="1.5" customHeight="1">
      <c r="B784" s="57"/>
      <c r="C784" s="60"/>
      <c r="D784" s="60"/>
      <c r="E784" s="60"/>
      <c r="F784" s="60"/>
      <c r="G784" s="60"/>
      <c r="J784" s="99"/>
      <c r="K784" s="99"/>
      <c r="L784" s="99"/>
      <c r="M784" s="99"/>
      <c r="N784" s="43">
        <f t="shared" si="12"/>
        <v>0</v>
      </c>
    </row>
    <row r="785" spans="2:14" ht="1.5" customHeight="1">
      <c r="B785" s="57"/>
      <c r="C785" s="60"/>
      <c r="D785" s="60"/>
      <c r="E785" s="60"/>
      <c r="F785" s="60"/>
      <c r="G785" s="60"/>
      <c r="J785" s="99"/>
      <c r="K785" s="99"/>
      <c r="L785" s="99"/>
      <c r="M785" s="99"/>
      <c r="N785" s="43">
        <f t="shared" si="12"/>
        <v>0</v>
      </c>
    </row>
    <row r="786" spans="2:14" ht="1.5" customHeight="1">
      <c r="B786" s="57"/>
      <c r="C786" s="60"/>
      <c r="D786" s="60"/>
      <c r="E786" s="60"/>
      <c r="F786" s="60"/>
      <c r="G786" s="60"/>
      <c r="J786" s="99"/>
      <c r="K786" s="99"/>
      <c r="L786" s="99"/>
      <c r="M786" s="99"/>
      <c r="N786" s="43">
        <f t="shared" si="12"/>
        <v>0</v>
      </c>
    </row>
    <row r="787" spans="2:14" ht="1.5" customHeight="1">
      <c r="B787" s="57"/>
      <c r="C787" s="60"/>
      <c r="D787" s="60"/>
      <c r="E787" s="60"/>
      <c r="F787" s="60"/>
      <c r="G787" s="60"/>
      <c r="J787" s="99"/>
      <c r="K787" s="99"/>
      <c r="L787" s="99"/>
      <c r="M787" s="99"/>
      <c r="N787" s="43">
        <f t="shared" si="12"/>
        <v>0</v>
      </c>
    </row>
    <row r="788" spans="2:14" ht="1.5" customHeight="1">
      <c r="B788" s="57"/>
      <c r="C788" s="60"/>
      <c r="D788" s="60"/>
      <c r="E788" s="60"/>
      <c r="F788" s="60"/>
      <c r="G788" s="60"/>
      <c r="J788" s="99"/>
      <c r="K788" s="99"/>
      <c r="L788" s="99"/>
      <c r="M788" s="99"/>
      <c r="N788" s="43">
        <f t="shared" si="12"/>
        <v>0</v>
      </c>
    </row>
    <row r="789" spans="2:14" ht="1.5" customHeight="1">
      <c r="B789" s="57"/>
      <c r="C789" s="60"/>
      <c r="D789" s="60"/>
      <c r="E789" s="60"/>
      <c r="F789" s="60"/>
      <c r="G789" s="60"/>
      <c r="J789" s="99"/>
      <c r="K789" s="99"/>
      <c r="L789" s="99"/>
      <c r="M789" s="99"/>
      <c r="N789" s="43">
        <f t="shared" si="12"/>
        <v>0</v>
      </c>
    </row>
    <row r="790" spans="2:14" ht="1.5" customHeight="1">
      <c r="B790" s="57"/>
      <c r="C790" s="60"/>
      <c r="D790" s="60"/>
      <c r="E790" s="60"/>
      <c r="F790" s="60"/>
      <c r="G790" s="60"/>
      <c r="J790" s="99"/>
      <c r="K790" s="99"/>
      <c r="L790" s="99"/>
      <c r="M790" s="99"/>
      <c r="N790" s="43">
        <f t="shared" si="12"/>
        <v>0</v>
      </c>
    </row>
    <row r="791" spans="2:14" ht="1.5" customHeight="1">
      <c r="B791" s="57"/>
      <c r="C791" s="60"/>
      <c r="D791" s="60"/>
      <c r="E791" s="60"/>
      <c r="F791" s="60"/>
      <c r="G791" s="60"/>
      <c r="J791" s="99"/>
      <c r="K791" s="99"/>
      <c r="L791" s="99"/>
      <c r="M791" s="99"/>
      <c r="N791" s="43">
        <f t="shared" si="12"/>
        <v>0</v>
      </c>
    </row>
    <row r="792" spans="2:14" ht="1.5" customHeight="1">
      <c r="B792" s="57"/>
      <c r="C792" s="60"/>
      <c r="D792" s="60"/>
      <c r="E792" s="60"/>
      <c r="F792" s="60"/>
      <c r="G792" s="60"/>
      <c r="J792" s="99"/>
      <c r="K792" s="99"/>
      <c r="L792" s="99"/>
      <c r="M792" s="99"/>
      <c r="N792" s="43">
        <f t="shared" si="12"/>
        <v>0</v>
      </c>
    </row>
    <row r="793" spans="2:14" ht="1.5" customHeight="1">
      <c r="B793" s="57"/>
      <c r="C793" s="60"/>
      <c r="D793" s="60"/>
      <c r="E793" s="60"/>
      <c r="F793" s="60"/>
      <c r="G793" s="60"/>
      <c r="J793" s="99"/>
      <c r="K793" s="99"/>
      <c r="L793" s="99"/>
      <c r="M793" s="99"/>
      <c r="N793" s="43">
        <f t="shared" si="12"/>
        <v>0</v>
      </c>
    </row>
    <row r="794" spans="2:14" ht="1.5" customHeight="1">
      <c r="B794" s="57"/>
      <c r="C794" s="60"/>
      <c r="D794" s="60"/>
      <c r="E794" s="60"/>
      <c r="F794" s="60"/>
      <c r="G794" s="60"/>
      <c r="J794" s="99"/>
      <c r="K794" s="99"/>
      <c r="L794" s="99"/>
      <c r="M794" s="99"/>
      <c r="N794" s="43">
        <f t="shared" si="12"/>
        <v>0</v>
      </c>
    </row>
    <row r="795" spans="2:14" ht="1.5" customHeight="1">
      <c r="B795" s="57"/>
      <c r="C795" s="60"/>
      <c r="D795" s="60"/>
      <c r="E795" s="60"/>
      <c r="F795" s="60"/>
      <c r="G795" s="60"/>
      <c r="J795" s="99"/>
      <c r="K795" s="99"/>
      <c r="L795" s="99"/>
      <c r="M795" s="99"/>
      <c r="N795" s="43">
        <f t="shared" si="12"/>
        <v>0</v>
      </c>
    </row>
    <row r="796" spans="2:14" ht="1.5" customHeight="1">
      <c r="B796" s="57"/>
      <c r="C796" s="60"/>
      <c r="D796" s="60"/>
      <c r="E796" s="60"/>
      <c r="F796" s="60"/>
      <c r="G796" s="60"/>
      <c r="J796" s="99"/>
      <c r="K796" s="99"/>
      <c r="L796" s="99"/>
      <c r="M796" s="99"/>
      <c r="N796" s="43">
        <f t="shared" si="12"/>
        <v>0</v>
      </c>
    </row>
    <row r="797" spans="2:14" ht="1.5" customHeight="1">
      <c r="B797" s="57"/>
      <c r="C797" s="60"/>
      <c r="D797" s="60"/>
      <c r="E797" s="60"/>
      <c r="F797" s="60"/>
      <c r="G797" s="60"/>
      <c r="J797" s="99"/>
      <c r="K797" s="99"/>
      <c r="L797" s="99"/>
      <c r="M797" s="99"/>
      <c r="N797" s="43">
        <f t="shared" si="12"/>
        <v>0</v>
      </c>
    </row>
    <row r="798" spans="2:14" ht="1.5" customHeight="1">
      <c r="B798" s="57"/>
      <c r="C798" s="60"/>
      <c r="D798" s="60"/>
      <c r="E798" s="60"/>
      <c r="F798" s="60"/>
      <c r="G798" s="60"/>
      <c r="J798" s="99"/>
      <c r="K798" s="99"/>
      <c r="L798" s="99"/>
      <c r="M798" s="99"/>
      <c r="N798" s="43">
        <f t="shared" si="12"/>
        <v>0</v>
      </c>
    </row>
    <row r="799" spans="2:14" ht="1.5" customHeight="1">
      <c r="B799" s="57"/>
      <c r="C799" s="60"/>
      <c r="D799" s="60"/>
      <c r="E799" s="60"/>
      <c r="F799" s="60"/>
      <c r="G799" s="60"/>
      <c r="J799" s="99"/>
      <c r="K799" s="99"/>
      <c r="L799" s="99"/>
      <c r="M799" s="99"/>
      <c r="N799" s="43">
        <f t="shared" si="12"/>
        <v>0</v>
      </c>
    </row>
    <row r="800" spans="2:14" ht="1.5" customHeight="1">
      <c r="B800" s="57"/>
      <c r="C800" s="60"/>
      <c r="D800" s="60"/>
      <c r="E800" s="60"/>
      <c r="F800" s="60"/>
      <c r="G800" s="60"/>
      <c r="J800" s="99"/>
      <c r="K800" s="99"/>
      <c r="L800" s="99"/>
      <c r="M800" s="99"/>
      <c r="N800" s="43">
        <f t="shared" si="12"/>
        <v>0</v>
      </c>
    </row>
    <row r="801" spans="2:14" ht="1.5" customHeight="1">
      <c r="B801" s="57"/>
      <c r="C801" s="60"/>
      <c r="D801" s="60"/>
      <c r="E801" s="60"/>
      <c r="F801" s="60"/>
      <c r="G801" s="60"/>
      <c r="J801" s="99"/>
      <c r="K801" s="99"/>
      <c r="L801" s="99"/>
      <c r="M801" s="99"/>
      <c r="N801" s="43">
        <f t="shared" si="12"/>
        <v>0</v>
      </c>
    </row>
    <row r="802" spans="2:14" ht="1.5" customHeight="1">
      <c r="B802" s="57"/>
      <c r="C802" s="60"/>
      <c r="D802" s="60"/>
      <c r="E802" s="60"/>
      <c r="F802" s="60"/>
      <c r="G802" s="60"/>
      <c r="J802" s="99"/>
      <c r="K802" s="99"/>
      <c r="L802" s="99"/>
      <c r="M802" s="99"/>
      <c r="N802" s="43">
        <f t="shared" si="12"/>
        <v>0</v>
      </c>
    </row>
    <row r="803" spans="2:14" ht="1.5" customHeight="1">
      <c r="B803" s="57"/>
      <c r="C803" s="60"/>
      <c r="D803" s="60"/>
      <c r="E803" s="60"/>
      <c r="F803" s="60"/>
      <c r="G803" s="60"/>
      <c r="J803" s="99"/>
      <c r="K803" s="99"/>
      <c r="L803" s="99"/>
      <c r="M803" s="99"/>
      <c r="N803" s="43">
        <f t="shared" si="12"/>
        <v>0</v>
      </c>
    </row>
    <row r="804" spans="2:14" ht="1.5" customHeight="1">
      <c r="B804" s="57"/>
      <c r="C804" s="60"/>
      <c r="D804" s="60"/>
      <c r="E804" s="60"/>
      <c r="F804" s="60"/>
      <c r="G804" s="60"/>
      <c r="J804" s="99"/>
      <c r="K804" s="99"/>
      <c r="L804" s="99"/>
      <c r="M804" s="99"/>
      <c r="N804" s="43">
        <f t="shared" si="12"/>
        <v>0</v>
      </c>
    </row>
    <row r="805" spans="2:14" ht="1.5" customHeight="1">
      <c r="B805" s="57"/>
      <c r="C805" s="60"/>
      <c r="D805" s="60"/>
      <c r="E805" s="60"/>
      <c r="F805" s="60"/>
      <c r="G805" s="60"/>
      <c r="J805" s="99"/>
      <c r="K805" s="99"/>
      <c r="L805" s="99"/>
      <c r="M805" s="99"/>
      <c r="N805" s="43">
        <f t="shared" si="12"/>
        <v>0</v>
      </c>
    </row>
    <row r="806" spans="2:14" ht="1.5" customHeight="1">
      <c r="B806" s="57"/>
      <c r="C806" s="60"/>
      <c r="D806" s="60"/>
      <c r="E806" s="60"/>
      <c r="F806" s="60"/>
      <c r="G806" s="60"/>
      <c r="J806" s="99"/>
      <c r="K806" s="99"/>
      <c r="L806" s="99"/>
      <c r="M806" s="99"/>
      <c r="N806" s="43">
        <f t="shared" si="12"/>
        <v>0</v>
      </c>
    </row>
    <row r="807" spans="2:14" ht="1.5" customHeight="1">
      <c r="B807" s="57"/>
      <c r="C807" s="60"/>
      <c r="D807" s="60"/>
      <c r="E807" s="60"/>
      <c r="F807" s="60"/>
      <c r="G807" s="60"/>
      <c r="J807" s="99"/>
      <c r="K807" s="99"/>
      <c r="L807" s="99"/>
      <c r="M807" s="99"/>
      <c r="N807" s="43">
        <f t="shared" si="12"/>
        <v>0</v>
      </c>
    </row>
    <row r="808" spans="2:14" ht="1.5" customHeight="1">
      <c r="B808" s="57"/>
      <c r="C808" s="60"/>
      <c r="D808" s="60"/>
      <c r="E808" s="60"/>
      <c r="F808" s="60"/>
      <c r="G808" s="60"/>
      <c r="J808" s="99"/>
      <c r="K808" s="99"/>
      <c r="L808" s="99"/>
      <c r="M808" s="99"/>
      <c r="N808" s="43">
        <f t="shared" si="12"/>
        <v>0</v>
      </c>
    </row>
    <row r="809" spans="2:14" ht="1.5" customHeight="1">
      <c r="B809" s="57"/>
      <c r="C809" s="60"/>
      <c r="D809" s="60"/>
      <c r="E809" s="60"/>
      <c r="F809" s="60"/>
      <c r="G809" s="60"/>
      <c r="J809" s="99"/>
      <c r="K809" s="99"/>
      <c r="L809" s="99"/>
      <c r="M809" s="99"/>
      <c r="N809" s="43">
        <f t="shared" si="12"/>
        <v>0</v>
      </c>
    </row>
    <row r="810" spans="2:14" ht="1.5" customHeight="1">
      <c r="B810" s="57"/>
      <c r="C810" s="60"/>
      <c r="D810" s="60"/>
      <c r="E810" s="60"/>
      <c r="F810" s="60"/>
      <c r="G810" s="60"/>
      <c r="J810" s="99"/>
      <c r="K810" s="99"/>
      <c r="L810" s="99"/>
      <c r="M810" s="99"/>
      <c r="N810" s="43">
        <f t="shared" si="12"/>
        <v>0</v>
      </c>
    </row>
    <row r="811" spans="2:14" ht="1.5" customHeight="1">
      <c r="B811" s="57"/>
      <c r="C811" s="60"/>
      <c r="D811" s="60"/>
      <c r="E811" s="60"/>
      <c r="F811" s="60"/>
      <c r="G811" s="60"/>
      <c r="J811" s="99"/>
      <c r="K811" s="99"/>
      <c r="L811" s="99"/>
      <c r="M811" s="99"/>
      <c r="N811" s="43">
        <f t="shared" si="12"/>
        <v>0</v>
      </c>
    </row>
    <row r="812" spans="2:14" ht="12.6" customHeight="1">
      <c r="B812" s="57"/>
      <c r="C812" s="60"/>
      <c r="D812" s="60"/>
      <c r="E812" s="60"/>
      <c r="F812" s="60"/>
      <c r="G812" s="60"/>
      <c r="J812" s="99"/>
      <c r="K812" s="99"/>
      <c r="L812" s="99"/>
      <c r="M812" s="99"/>
      <c r="N812" s="43"/>
    </row>
    <row r="813" spans="2:14" ht="12.6" customHeight="1"/>
  </sheetData>
  <mergeCells count="1641">
    <mergeCell ref="J811:K811"/>
    <mergeCell ref="L811:M811"/>
    <mergeCell ref="J812:K812"/>
    <mergeCell ref="L812:M812"/>
    <mergeCell ref="J808:K808"/>
    <mergeCell ref="L808:M808"/>
    <mergeCell ref="J809:K809"/>
    <mergeCell ref="L809:M809"/>
    <mergeCell ref="J810:K810"/>
    <mergeCell ref="L810:M810"/>
    <mergeCell ref="J805:K805"/>
    <mergeCell ref="L805:M805"/>
    <mergeCell ref="J806:K806"/>
    <mergeCell ref="L806:M806"/>
    <mergeCell ref="J807:K807"/>
    <mergeCell ref="L807:M807"/>
    <mergeCell ref="J802:K802"/>
    <mergeCell ref="L802:M802"/>
    <mergeCell ref="J803:K803"/>
    <mergeCell ref="L803:M803"/>
    <mergeCell ref="J804:K804"/>
    <mergeCell ref="L804:M804"/>
    <mergeCell ref="J799:K799"/>
    <mergeCell ref="L799:M799"/>
    <mergeCell ref="J800:K800"/>
    <mergeCell ref="L800:M800"/>
    <mergeCell ref="J801:K801"/>
    <mergeCell ref="L801:M801"/>
    <mergeCell ref="J796:K796"/>
    <mergeCell ref="L796:M796"/>
    <mergeCell ref="J797:K797"/>
    <mergeCell ref="L797:M797"/>
    <mergeCell ref="J798:K798"/>
    <mergeCell ref="L798:M798"/>
    <mergeCell ref="J793:K793"/>
    <mergeCell ref="L793:M793"/>
    <mergeCell ref="J794:K794"/>
    <mergeCell ref="L794:M794"/>
    <mergeCell ref="J795:K795"/>
    <mergeCell ref="L795:M795"/>
    <mergeCell ref="J790:K790"/>
    <mergeCell ref="L790:M790"/>
    <mergeCell ref="J791:K791"/>
    <mergeCell ref="L791:M791"/>
    <mergeCell ref="J792:K792"/>
    <mergeCell ref="L792:M792"/>
    <mergeCell ref="J787:K787"/>
    <mergeCell ref="L787:M787"/>
    <mergeCell ref="J788:K788"/>
    <mergeCell ref="L788:M788"/>
    <mergeCell ref="J789:K789"/>
    <mergeCell ref="L789:M789"/>
    <mergeCell ref="J784:K784"/>
    <mergeCell ref="L784:M784"/>
    <mergeCell ref="J785:K785"/>
    <mergeCell ref="L785:M785"/>
    <mergeCell ref="J786:K786"/>
    <mergeCell ref="L786:M786"/>
    <mergeCell ref="J781:K781"/>
    <mergeCell ref="L781:M781"/>
    <mergeCell ref="J782:K782"/>
    <mergeCell ref="L782:M782"/>
    <mergeCell ref="J783:K783"/>
    <mergeCell ref="L783:M783"/>
    <mergeCell ref="J778:K778"/>
    <mergeCell ref="L778:M778"/>
    <mergeCell ref="J779:K779"/>
    <mergeCell ref="L779:M779"/>
    <mergeCell ref="J780:K780"/>
    <mergeCell ref="L780:M780"/>
    <mergeCell ref="J775:K775"/>
    <mergeCell ref="L775:M775"/>
    <mergeCell ref="J776:K776"/>
    <mergeCell ref="L776:M776"/>
    <mergeCell ref="J777:K777"/>
    <mergeCell ref="L777:M777"/>
    <mergeCell ref="J772:K772"/>
    <mergeCell ref="L772:M772"/>
    <mergeCell ref="J773:K773"/>
    <mergeCell ref="L773:M773"/>
    <mergeCell ref="J774:K774"/>
    <mergeCell ref="L774:M774"/>
    <mergeCell ref="J769:K769"/>
    <mergeCell ref="L769:M769"/>
    <mergeCell ref="J770:K770"/>
    <mergeCell ref="L770:M770"/>
    <mergeCell ref="J771:K771"/>
    <mergeCell ref="L771:M771"/>
    <mergeCell ref="J766:K766"/>
    <mergeCell ref="L766:M766"/>
    <mergeCell ref="J767:K767"/>
    <mergeCell ref="L767:M767"/>
    <mergeCell ref="J768:K768"/>
    <mergeCell ref="L768:M768"/>
    <mergeCell ref="J763:K763"/>
    <mergeCell ref="L763:M763"/>
    <mergeCell ref="J764:K764"/>
    <mergeCell ref="L764:M764"/>
    <mergeCell ref="J765:K765"/>
    <mergeCell ref="L765:M765"/>
    <mergeCell ref="J760:K760"/>
    <mergeCell ref="L760:M760"/>
    <mergeCell ref="J761:K761"/>
    <mergeCell ref="L761:M761"/>
    <mergeCell ref="J762:K762"/>
    <mergeCell ref="L762:M762"/>
    <mergeCell ref="J757:K757"/>
    <mergeCell ref="L757:M757"/>
    <mergeCell ref="J758:K758"/>
    <mergeCell ref="L758:M758"/>
    <mergeCell ref="J759:K759"/>
    <mergeCell ref="L759:M759"/>
    <mergeCell ref="J754:K754"/>
    <mergeCell ref="L754:M754"/>
    <mergeCell ref="J755:K755"/>
    <mergeCell ref="L755:M755"/>
    <mergeCell ref="J756:K756"/>
    <mergeCell ref="L756:M756"/>
    <mergeCell ref="J751:K751"/>
    <mergeCell ref="L751:M751"/>
    <mergeCell ref="J752:K752"/>
    <mergeCell ref="L752:M752"/>
    <mergeCell ref="J753:K753"/>
    <mergeCell ref="L753:M753"/>
    <mergeCell ref="J748:K748"/>
    <mergeCell ref="L748:M748"/>
    <mergeCell ref="J749:K749"/>
    <mergeCell ref="L749:M749"/>
    <mergeCell ref="J750:K750"/>
    <mergeCell ref="L750:M750"/>
    <mergeCell ref="J745:K745"/>
    <mergeCell ref="L745:M745"/>
    <mergeCell ref="J746:K746"/>
    <mergeCell ref="L746:M746"/>
    <mergeCell ref="J747:K747"/>
    <mergeCell ref="L747:M747"/>
    <mergeCell ref="J742:K742"/>
    <mergeCell ref="L742:M742"/>
    <mergeCell ref="J743:K743"/>
    <mergeCell ref="L743:M743"/>
    <mergeCell ref="J744:K744"/>
    <mergeCell ref="L744:M744"/>
    <mergeCell ref="J739:K739"/>
    <mergeCell ref="L739:M739"/>
    <mergeCell ref="J740:K740"/>
    <mergeCell ref="L740:M740"/>
    <mergeCell ref="J741:K741"/>
    <mergeCell ref="L741:M741"/>
    <mergeCell ref="J736:K736"/>
    <mergeCell ref="L736:M736"/>
    <mergeCell ref="J737:K737"/>
    <mergeCell ref="L737:M737"/>
    <mergeCell ref="J738:K738"/>
    <mergeCell ref="L738:M738"/>
    <mergeCell ref="J733:K733"/>
    <mergeCell ref="L733:M733"/>
    <mergeCell ref="J734:K734"/>
    <mergeCell ref="L734:M734"/>
    <mergeCell ref="J735:K735"/>
    <mergeCell ref="L735:M735"/>
    <mergeCell ref="J730:K730"/>
    <mergeCell ref="L730:M730"/>
    <mergeCell ref="J731:K731"/>
    <mergeCell ref="L731:M731"/>
    <mergeCell ref="J732:K732"/>
    <mergeCell ref="L732:M732"/>
    <mergeCell ref="J727:K727"/>
    <mergeCell ref="L727:M727"/>
    <mergeCell ref="J728:K728"/>
    <mergeCell ref="L728:M728"/>
    <mergeCell ref="J729:K729"/>
    <mergeCell ref="L729:M729"/>
    <mergeCell ref="J724:K724"/>
    <mergeCell ref="L724:M724"/>
    <mergeCell ref="J725:K725"/>
    <mergeCell ref="L725:M725"/>
    <mergeCell ref="J726:K726"/>
    <mergeCell ref="L726:M726"/>
    <mergeCell ref="J721:K721"/>
    <mergeCell ref="L721:M721"/>
    <mergeCell ref="J722:K722"/>
    <mergeCell ref="L722:M722"/>
    <mergeCell ref="J723:K723"/>
    <mergeCell ref="L723:M723"/>
    <mergeCell ref="J718:K718"/>
    <mergeCell ref="L718:M718"/>
    <mergeCell ref="J719:K719"/>
    <mergeCell ref="L719:M719"/>
    <mergeCell ref="J720:K720"/>
    <mergeCell ref="L720:M720"/>
    <mergeCell ref="J715:K715"/>
    <mergeCell ref="L715:M715"/>
    <mergeCell ref="J716:K716"/>
    <mergeCell ref="L716:M716"/>
    <mergeCell ref="J717:K717"/>
    <mergeCell ref="L717:M717"/>
    <mergeCell ref="J712:K712"/>
    <mergeCell ref="L712:M712"/>
    <mergeCell ref="J713:K713"/>
    <mergeCell ref="L713:M713"/>
    <mergeCell ref="J714:K714"/>
    <mergeCell ref="L714:M714"/>
    <mergeCell ref="J709:K709"/>
    <mergeCell ref="L709:M709"/>
    <mergeCell ref="J710:K710"/>
    <mergeCell ref="L710:M710"/>
    <mergeCell ref="J711:K711"/>
    <mergeCell ref="L711:M711"/>
    <mergeCell ref="J706:K706"/>
    <mergeCell ref="L706:M706"/>
    <mergeCell ref="J707:K707"/>
    <mergeCell ref="L707:M707"/>
    <mergeCell ref="J708:K708"/>
    <mergeCell ref="L708:M708"/>
    <mergeCell ref="J703:K703"/>
    <mergeCell ref="L703:M703"/>
    <mergeCell ref="J704:K704"/>
    <mergeCell ref="L704:M704"/>
    <mergeCell ref="J705:K705"/>
    <mergeCell ref="L705:M705"/>
    <mergeCell ref="J700:K700"/>
    <mergeCell ref="L700:M700"/>
    <mergeCell ref="J701:K701"/>
    <mergeCell ref="L701:M701"/>
    <mergeCell ref="J702:K702"/>
    <mergeCell ref="L702:M702"/>
    <mergeCell ref="J697:K697"/>
    <mergeCell ref="L697:M697"/>
    <mergeCell ref="J698:K698"/>
    <mergeCell ref="L698:M698"/>
    <mergeCell ref="J699:K699"/>
    <mergeCell ref="L699:M699"/>
    <mergeCell ref="J694:K694"/>
    <mergeCell ref="L694:M694"/>
    <mergeCell ref="J695:K695"/>
    <mergeCell ref="L695:M695"/>
    <mergeCell ref="J696:K696"/>
    <mergeCell ref="L696:M696"/>
    <mergeCell ref="J691:K691"/>
    <mergeCell ref="L691:M691"/>
    <mergeCell ref="J692:K692"/>
    <mergeCell ref="L692:M692"/>
    <mergeCell ref="J693:K693"/>
    <mergeCell ref="L693:M693"/>
    <mergeCell ref="J688:K688"/>
    <mergeCell ref="L688:M688"/>
    <mergeCell ref="J689:K689"/>
    <mergeCell ref="L689:M689"/>
    <mergeCell ref="J690:K690"/>
    <mergeCell ref="L690:M690"/>
    <mergeCell ref="J685:K685"/>
    <mergeCell ref="L685:M685"/>
    <mergeCell ref="J686:K686"/>
    <mergeCell ref="L686:M686"/>
    <mergeCell ref="J687:K687"/>
    <mergeCell ref="L687:M687"/>
    <mergeCell ref="J682:K682"/>
    <mergeCell ref="L682:M682"/>
    <mergeCell ref="J683:K683"/>
    <mergeCell ref="L683:M683"/>
    <mergeCell ref="J684:K684"/>
    <mergeCell ref="L684:M684"/>
    <mergeCell ref="J679:K679"/>
    <mergeCell ref="L679:M679"/>
    <mergeCell ref="J680:K680"/>
    <mergeCell ref="L680:M680"/>
    <mergeCell ref="J681:K681"/>
    <mergeCell ref="L681:M681"/>
    <mergeCell ref="J676:K676"/>
    <mergeCell ref="L676:M676"/>
    <mergeCell ref="J677:K677"/>
    <mergeCell ref="L677:M677"/>
    <mergeCell ref="J678:K678"/>
    <mergeCell ref="L678:M678"/>
    <mergeCell ref="J673:K673"/>
    <mergeCell ref="L673:M673"/>
    <mergeCell ref="J674:K674"/>
    <mergeCell ref="L674:M674"/>
    <mergeCell ref="J675:K675"/>
    <mergeCell ref="L675:M675"/>
    <mergeCell ref="J670:K670"/>
    <mergeCell ref="L670:M670"/>
    <mergeCell ref="J671:K671"/>
    <mergeCell ref="L671:M671"/>
    <mergeCell ref="J672:K672"/>
    <mergeCell ref="L672:M672"/>
    <mergeCell ref="J667:K667"/>
    <mergeCell ref="L667:M667"/>
    <mergeCell ref="J668:K668"/>
    <mergeCell ref="L668:M668"/>
    <mergeCell ref="J669:K669"/>
    <mergeCell ref="L669:M669"/>
    <mergeCell ref="J664:K664"/>
    <mergeCell ref="L664:M664"/>
    <mergeCell ref="J665:K665"/>
    <mergeCell ref="L665:M665"/>
    <mergeCell ref="J666:K666"/>
    <mergeCell ref="L666:M666"/>
    <mergeCell ref="J661:K661"/>
    <mergeCell ref="L661:M661"/>
    <mergeCell ref="J662:K662"/>
    <mergeCell ref="L662:M662"/>
    <mergeCell ref="J663:K663"/>
    <mergeCell ref="L663:M663"/>
    <mergeCell ref="J658:K658"/>
    <mergeCell ref="L658:M658"/>
    <mergeCell ref="J659:K659"/>
    <mergeCell ref="L659:M659"/>
    <mergeCell ref="J660:K660"/>
    <mergeCell ref="L660:M660"/>
    <mergeCell ref="J655:K655"/>
    <mergeCell ref="L655:M655"/>
    <mergeCell ref="J656:K656"/>
    <mergeCell ref="L656:M656"/>
    <mergeCell ref="J657:K657"/>
    <mergeCell ref="L657:M657"/>
    <mergeCell ref="J652:K652"/>
    <mergeCell ref="L652:M652"/>
    <mergeCell ref="J653:K653"/>
    <mergeCell ref="L653:M653"/>
    <mergeCell ref="J654:K654"/>
    <mergeCell ref="L654:M654"/>
    <mergeCell ref="J649:K649"/>
    <mergeCell ref="L649:M649"/>
    <mergeCell ref="J650:K650"/>
    <mergeCell ref="L650:M650"/>
    <mergeCell ref="J651:K651"/>
    <mergeCell ref="L651:M651"/>
    <mergeCell ref="J646:K646"/>
    <mergeCell ref="L646:M646"/>
    <mergeCell ref="J647:K647"/>
    <mergeCell ref="L647:M647"/>
    <mergeCell ref="J648:K648"/>
    <mergeCell ref="L648:M648"/>
    <mergeCell ref="J643:K643"/>
    <mergeCell ref="L643:M643"/>
    <mergeCell ref="J644:K644"/>
    <mergeCell ref="L644:M644"/>
    <mergeCell ref="J645:K645"/>
    <mergeCell ref="L645:M645"/>
    <mergeCell ref="J640:K640"/>
    <mergeCell ref="L640:M640"/>
    <mergeCell ref="J641:K641"/>
    <mergeCell ref="L641:M641"/>
    <mergeCell ref="J642:K642"/>
    <mergeCell ref="L642:M642"/>
    <mergeCell ref="J637:K637"/>
    <mergeCell ref="L637:M637"/>
    <mergeCell ref="J638:K638"/>
    <mergeCell ref="L638:M638"/>
    <mergeCell ref="J639:K639"/>
    <mergeCell ref="L639:M639"/>
    <mergeCell ref="J634:K634"/>
    <mergeCell ref="L634:M634"/>
    <mergeCell ref="J635:K635"/>
    <mergeCell ref="L635:M635"/>
    <mergeCell ref="J636:K636"/>
    <mergeCell ref="L636:M636"/>
    <mergeCell ref="J631:K631"/>
    <mergeCell ref="L631:M631"/>
    <mergeCell ref="J632:K632"/>
    <mergeCell ref="L632:M632"/>
    <mergeCell ref="J633:K633"/>
    <mergeCell ref="L633:M633"/>
    <mergeCell ref="J628:K628"/>
    <mergeCell ref="L628:M628"/>
    <mergeCell ref="J629:K629"/>
    <mergeCell ref="L629:M629"/>
    <mergeCell ref="J630:K630"/>
    <mergeCell ref="L630:M630"/>
    <mergeCell ref="J625:K625"/>
    <mergeCell ref="L625:M625"/>
    <mergeCell ref="J626:K626"/>
    <mergeCell ref="L626:M626"/>
    <mergeCell ref="J627:K627"/>
    <mergeCell ref="L627:M627"/>
    <mergeCell ref="J622:K622"/>
    <mergeCell ref="L622:M622"/>
    <mergeCell ref="J623:K623"/>
    <mergeCell ref="L623:M623"/>
    <mergeCell ref="J624:K624"/>
    <mergeCell ref="L624:M624"/>
    <mergeCell ref="J619:K619"/>
    <mergeCell ref="L619:M619"/>
    <mergeCell ref="J620:K620"/>
    <mergeCell ref="L620:M620"/>
    <mergeCell ref="J621:K621"/>
    <mergeCell ref="L621:M621"/>
    <mergeCell ref="J616:K616"/>
    <mergeCell ref="L616:M616"/>
    <mergeCell ref="J617:K617"/>
    <mergeCell ref="L617:M617"/>
    <mergeCell ref="J618:K618"/>
    <mergeCell ref="L618:M618"/>
    <mergeCell ref="J613:K613"/>
    <mergeCell ref="L613:M613"/>
    <mergeCell ref="J614:K614"/>
    <mergeCell ref="L614:M614"/>
    <mergeCell ref="J615:K615"/>
    <mergeCell ref="L615:M615"/>
    <mergeCell ref="J610:K610"/>
    <mergeCell ref="L610:M610"/>
    <mergeCell ref="J611:K611"/>
    <mergeCell ref="L611:M611"/>
    <mergeCell ref="J612:K612"/>
    <mergeCell ref="L612:M612"/>
    <mergeCell ref="J607:K607"/>
    <mergeCell ref="L607:M607"/>
    <mergeCell ref="J608:K608"/>
    <mergeCell ref="L608:M608"/>
    <mergeCell ref="J609:K609"/>
    <mergeCell ref="L609:M609"/>
    <mergeCell ref="J604:K604"/>
    <mergeCell ref="L604:M604"/>
    <mergeCell ref="J605:K605"/>
    <mergeCell ref="L605:M605"/>
    <mergeCell ref="J606:K606"/>
    <mergeCell ref="L606:M606"/>
    <mergeCell ref="J601:K601"/>
    <mergeCell ref="L601:M601"/>
    <mergeCell ref="J602:K602"/>
    <mergeCell ref="L602:M602"/>
    <mergeCell ref="J603:K603"/>
    <mergeCell ref="L603:M603"/>
    <mergeCell ref="J598:K598"/>
    <mergeCell ref="L598:M598"/>
    <mergeCell ref="J599:K599"/>
    <mergeCell ref="L599:M599"/>
    <mergeCell ref="J600:K600"/>
    <mergeCell ref="L600:M600"/>
    <mergeCell ref="J595:K595"/>
    <mergeCell ref="L595:M595"/>
    <mergeCell ref="J596:K596"/>
    <mergeCell ref="L596:M596"/>
    <mergeCell ref="J597:K597"/>
    <mergeCell ref="L597:M597"/>
    <mergeCell ref="J592:K592"/>
    <mergeCell ref="L592:M592"/>
    <mergeCell ref="J593:K593"/>
    <mergeCell ref="L593:M593"/>
    <mergeCell ref="J594:K594"/>
    <mergeCell ref="L594:M594"/>
    <mergeCell ref="J589:K589"/>
    <mergeCell ref="L589:M589"/>
    <mergeCell ref="J590:K590"/>
    <mergeCell ref="L590:M590"/>
    <mergeCell ref="J591:K591"/>
    <mergeCell ref="L591:M591"/>
    <mergeCell ref="J586:K586"/>
    <mergeCell ref="L586:M586"/>
    <mergeCell ref="J587:K587"/>
    <mergeCell ref="L587:M587"/>
    <mergeCell ref="J588:K588"/>
    <mergeCell ref="L588:M588"/>
    <mergeCell ref="J583:K583"/>
    <mergeCell ref="L583:M583"/>
    <mergeCell ref="J584:K584"/>
    <mergeCell ref="L584:M584"/>
    <mergeCell ref="J585:K585"/>
    <mergeCell ref="L585:M585"/>
    <mergeCell ref="J580:K580"/>
    <mergeCell ref="L580:M580"/>
    <mergeCell ref="J581:K581"/>
    <mergeCell ref="L581:M581"/>
    <mergeCell ref="J582:K582"/>
    <mergeCell ref="L582:M582"/>
    <mergeCell ref="J577:K577"/>
    <mergeCell ref="L577:M577"/>
    <mergeCell ref="J578:K578"/>
    <mergeCell ref="L578:M578"/>
    <mergeCell ref="J579:K579"/>
    <mergeCell ref="L579:M579"/>
    <mergeCell ref="J574:K574"/>
    <mergeCell ref="L574:M574"/>
    <mergeCell ref="J575:K575"/>
    <mergeCell ref="L575:M575"/>
    <mergeCell ref="J576:K576"/>
    <mergeCell ref="L576:M576"/>
    <mergeCell ref="J571:K571"/>
    <mergeCell ref="L571:M571"/>
    <mergeCell ref="J572:K572"/>
    <mergeCell ref="L572:M572"/>
    <mergeCell ref="J573:K573"/>
    <mergeCell ref="L573:M573"/>
    <mergeCell ref="J568:K568"/>
    <mergeCell ref="L568:M568"/>
    <mergeCell ref="J569:K569"/>
    <mergeCell ref="L569:M569"/>
    <mergeCell ref="J570:K570"/>
    <mergeCell ref="L570:M570"/>
    <mergeCell ref="J565:K565"/>
    <mergeCell ref="L565:M565"/>
    <mergeCell ref="J566:K566"/>
    <mergeCell ref="L566:M566"/>
    <mergeCell ref="J567:K567"/>
    <mergeCell ref="L567:M567"/>
    <mergeCell ref="J562:K562"/>
    <mergeCell ref="L562:M562"/>
    <mergeCell ref="J563:K563"/>
    <mergeCell ref="L563:M563"/>
    <mergeCell ref="J564:K564"/>
    <mergeCell ref="L564:M564"/>
    <mergeCell ref="J559:K559"/>
    <mergeCell ref="L559:M559"/>
    <mergeCell ref="J560:K560"/>
    <mergeCell ref="L560:M560"/>
    <mergeCell ref="J561:K561"/>
    <mergeCell ref="L561:M561"/>
    <mergeCell ref="J556:K556"/>
    <mergeCell ref="L556:M556"/>
    <mergeCell ref="J557:K557"/>
    <mergeCell ref="L557:M557"/>
    <mergeCell ref="J558:K558"/>
    <mergeCell ref="L558:M558"/>
    <mergeCell ref="J553:K553"/>
    <mergeCell ref="L553:M553"/>
    <mergeCell ref="J554:K554"/>
    <mergeCell ref="L554:M554"/>
    <mergeCell ref="J555:K555"/>
    <mergeCell ref="L555:M555"/>
    <mergeCell ref="J550:K550"/>
    <mergeCell ref="L550:M550"/>
    <mergeCell ref="J551:K551"/>
    <mergeCell ref="L551:M551"/>
    <mergeCell ref="J552:K552"/>
    <mergeCell ref="L552:M552"/>
    <mergeCell ref="J547:K547"/>
    <mergeCell ref="L547:M547"/>
    <mergeCell ref="J548:K548"/>
    <mergeCell ref="L548:M548"/>
    <mergeCell ref="J549:K549"/>
    <mergeCell ref="L549:M549"/>
    <mergeCell ref="J544:K544"/>
    <mergeCell ref="L544:M544"/>
    <mergeCell ref="J545:K545"/>
    <mergeCell ref="L545:M545"/>
    <mergeCell ref="J546:K546"/>
    <mergeCell ref="L546:M546"/>
    <mergeCell ref="J541:K541"/>
    <mergeCell ref="L541:M541"/>
    <mergeCell ref="J542:K542"/>
    <mergeCell ref="L542:M542"/>
    <mergeCell ref="J543:K543"/>
    <mergeCell ref="L543:M543"/>
    <mergeCell ref="J538:K538"/>
    <mergeCell ref="L538:M538"/>
    <mergeCell ref="J539:K539"/>
    <mergeCell ref="L539:M539"/>
    <mergeCell ref="J540:K540"/>
    <mergeCell ref="L540:M540"/>
    <mergeCell ref="J535:K535"/>
    <mergeCell ref="L535:M535"/>
    <mergeCell ref="J536:K536"/>
    <mergeCell ref="L536:M536"/>
    <mergeCell ref="J537:K537"/>
    <mergeCell ref="L537:M537"/>
    <mergeCell ref="J532:K532"/>
    <mergeCell ref="L532:M532"/>
    <mergeCell ref="J533:K533"/>
    <mergeCell ref="L533:M533"/>
    <mergeCell ref="J534:K534"/>
    <mergeCell ref="L534:M534"/>
    <mergeCell ref="J529:K529"/>
    <mergeCell ref="L529:M529"/>
    <mergeCell ref="J530:K530"/>
    <mergeCell ref="L530:M530"/>
    <mergeCell ref="J531:K531"/>
    <mergeCell ref="L531:M531"/>
    <mergeCell ref="J526:K526"/>
    <mergeCell ref="L526:M526"/>
    <mergeCell ref="J527:K527"/>
    <mergeCell ref="L527:M527"/>
    <mergeCell ref="J528:K528"/>
    <mergeCell ref="L528:M528"/>
    <mergeCell ref="J523:K523"/>
    <mergeCell ref="L523:M523"/>
    <mergeCell ref="J524:K524"/>
    <mergeCell ref="L524:M524"/>
    <mergeCell ref="J525:K525"/>
    <mergeCell ref="L525:M525"/>
    <mergeCell ref="J520:K520"/>
    <mergeCell ref="L520:M520"/>
    <mergeCell ref="J521:K521"/>
    <mergeCell ref="L521:M521"/>
    <mergeCell ref="J522:K522"/>
    <mergeCell ref="L522:M522"/>
    <mergeCell ref="J517:K517"/>
    <mergeCell ref="L517:M517"/>
    <mergeCell ref="J518:K518"/>
    <mergeCell ref="L518:M518"/>
    <mergeCell ref="J519:K519"/>
    <mergeCell ref="L519:M519"/>
    <mergeCell ref="J514:K514"/>
    <mergeCell ref="L514:M514"/>
    <mergeCell ref="J515:K515"/>
    <mergeCell ref="L515:M515"/>
    <mergeCell ref="J516:K516"/>
    <mergeCell ref="L516:M516"/>
    <mergeCell ref="J511:K511"/>
    <mergeCell ref="L511:M511"/>
    <mergeCell ref="J512:K512"/>
    <mergeCell ref="L512:M512"/>
    <mergeCell ref="J513:K513"/>
    <mergeCell ref="L513:M513"/>
    <mergeCell ref="J508:K508"/>
    <mergeCell ref="L508:M508"/>
    <mergeCell ref="J509:K509"/>
    <mergeCell ref="L509:M509"/>
    <mergeCell ref="J510:K510"/>
    <mergeCell ref="L510:M510"/>
    <mergeCell ref="J505:K505"/>
    <mergeCell ref="L505:M505"/>
    <mergeCell ref="J506:K506"/>
    <mergeCell ref="L506:M506"/>
    <mergeCell ref="J507:K507"/>
    <mergeCell ref="L507:M507"/>
    <mergeCell ref="J502:K502"/>
    <mergeCell ref="L502:M502"/>
    <mergeCell ref="J503:K503"/>
    <mergeCell ref="L503:M503"/>
    <mergeCell ref="J504:K504"/>
    <mergeCell ref="L504:M504"/>
    <mergeCell ref="J499:K499"/>
    <mergeCell ref="L499:M499"/>
    <mergeCell ref="J500:K500"/>
    <mergeCell ref="L500:M500"/>
    <mergeCell ref="J501:K501"/>
    <mergeCell ref="L501:M501"/>
    <mergeCell ref="J496:K496"/>
    <mergeCell ref="L496:M496"/>
    <mergeCell ref="J497:K497"/>
    <mergeCell ref="L497:M497"/>
    <mergeCell ref="J498:K498"/>
    <mergeCell ref="L498:M498"/>
    <mergeCell ref="J493:K493"/>
    <mergeCell ref="L493:M493"/>
    <mergeCell ref="J494:K494"/>
    <mergeCell ref="L494:M494"/>
    <mergeCell ref="J495:K495"/>
    <mergeCell ref="L495:M495"/>
    <mergeCell ref="J490:K490"/>
    <mergeCell ref="L490:M490"/>
    <mergeCell ref="J491:K491"/>
    <mergeCell ref="L491:M491"/>
    <mergeCell ref="J492:K492"/>
    <mergeCell ref="L492:M492"/>
    <mergeCell ref="J487:K487"/>
    <mergeCell ref="L487:M487"/>
    <mergeCell ref="J488:K488"/>
    <mergeCell ref="L488:M488"/>
    <mergeCell ref="J489:K489"/>
    <mergeCell ref="L489:M489"/>
    <mergeCell ref="J484:K484"/>
    <mergeCell ref="L484:M484"/>
    <mergeCell ref="J485:K485"/>
    <mergeCell ref="L485:M485"/>
    <mergeCell ref="J486:K486"/>
    <mergeCell ref="L486:M486"/>
    <mergeCell ref="J481:K481"/>
    <mergeCell ref="L481:M481"/>
    <mergeCell ref="J482:K482"/>
    <mergeCell ref="L482:M482"/>
    <mergeCell ref="J483:K483"/>
    <mergeCell ref="L483:M483"/>
    <mergeCell ref="J478:K478"/>
    <mergeCell ref="L478:M478"/>
    <mergeCell ref="J479:K479"/>
    <mergeCell ref="L479:M479"/>
    <mergeCell ref="J480:K480"/>
    <mergeCell ref="L480:M480"/>
    <mergeCell ref="J475:K475"/>
    <mergeCell ref="L475:M475"/>
    <mergeCell ref="J476:K476"/>
    <mergeCell ref="L476:M476"/>
    <mergeCell ref="J477:K477"/>
    <mergeCell ref="L477:M477"/>
    <mergeCell ref="J472:K472"/>
    <mergeCell ref="L472:M472"/>
    <mergeCell ref="J473:K473"/>
    <mergeCell ref="L473:M473"/>
    <mergeCell ref="J474:K474"/>
    <mergeCell ref="L474:M474"/>
    <mergeCell ref="J469:K469"/>
    <mergeCell ref="L469:M469"/>
    <mergeCell ref="J470:K470"/>
    <mergeCell ref="L470:M470"/>
    <mergeCell ref="J471:K471"/>
    <mergeCell ref="L471:M471"/>
    <mergeCell ref="J466:K466"/>
    <mergeCell ref="L466:M466"/>
    <mergeCell ref="J467:K467"/>
    <mergeCell ref="L467:M467"/>
    <mergeCell ref="J468:K468"/>
    <mergeCell ref="L468:M468"/>
    <mergeCell ref="J463:K463"/>
    <mergeCell ref="L463:M463"/>
    <mergeCell ref="J464:K464"/>
    <mergeCell ref="L464:M464"/>
    <mergeCell ref="J465:K465"/>
    <mergeCell ref="L465:M465"/>
    <mergeCell ref="J460:K460"/>
    <mergeCell ref="L460:M460"/>
    <mergeCell ref="J461:K461"/>
    <mergeCell ref="L461:M461"/>
    <mergeCell ref="J462:K462"/>
    <mergeCell ref="L462:M462"/>
    <mergeCell ref="J457:K457"/>
    <mergeCell ref="L457:M457"/>
    <mergeCell ref="J458:K458"/>
    <mergeCell ref="L458:M458"/>
    <mergeCell ref="J459:K459"/>
    <mergeCell ref="L459:M459"/>
    <mergeCell ref="J454:K454"/>
    <mergeCell ref="L454:M454"/>
    <mergeCell ref="J455:K455"/>
    <mergeCell ref="L455:M455"/>
    <mergeCell ref="J456:K456"/>
    <mergeCell ref="L456:M456"/>
    <mergeCell ref="J451:K451"/>
    <mergeCell ref="L451:M451"/>
    <mergeCell ref="J452:K452"/>
    <mergeCell ref="L452:M452"/>
    <mergeCell ref="J453:K453"/>
    <mergeCell ref="L453:M453"/>
    <mergeCell ref="J448:K448"/>
    <mergeCell ref="L448:M448"/>
    <mergeCell ref="J449:K449"/>
    <mergeCell ref="L449:M449"/>
    <mergeCell ref="J450:K450"/>
    <mergeCell ref="L450:M450"/>
    <mergeCell ref="J445:K445"/>
    <mergeCell ref="L445:M445"/>
    <mergeCell ref="J446:K446"/>
    <mergeCell ref="L446:M446"/>
    <mergeCell ref="J447:K447"/>
    <mergeCell ref="L447:M447"/>
    <mergeCell ref="J442:K442"/>
    <mergeCell ref="L442:M442"/>
    <mergeCell ref="J443:K443"/>
    <mergeCell ref="L443:M443"/>
    <mergeCell ref="J444:K444"/>
    <mergeCell ref="L444:M444"/>
    <mergeCell ref="J439:K439"/>
    <mergeCell ref="L439:M439"/>
    <mergeCell ref="J440:K440"/>
    <mergeCell ref="L440:M440"/>
    <mergeCell ref="J441:K441"/>
    <mergeCell ref="L441:M441"/>
    <mergeCell ref="J436:K436"/>
    <mergeCell ref="L436:M436"/>
    <mergeCell ref="J437:K437"/>
    <mergeCell ref="L437:M437"/>
    <mergeCell ref="J438:K438"/>
    <mergeCell ref="L438:M438"/>
    <mergeCell ref="J433:K433"/>
    <mergeCell ref="L433:M433"/>
    <mergeCell ref="J434:K434"/>
    <mergeCell ref="L434:M434"/>
    <mergeCell ref="J435:K435"/>
    <mergeCell ref="L435:M435"/>
    <mergeCell ref="J430:K430"/>
    <mergeCell ref="L430:M430"/>
    <mergeCell ref="J431:K431"/>
    <mergeCell ref="L431:M431"/>
    <mergeCell ref="J432:K432"/>
    <mergeCell ref="L432:M432"/>
    <mergeCell ref="J427:K427"/>
    <mergeCell ref="L427:M427"/>
    <mergeCell ref="J428:K428"/>
    <mergeCell ref="L428:M428"/>
    <mergeCell ref="J429:K429"/>
    <mergeCell ref="L429:M429"/>
    <mergeCell ref="J424:K424"/>
    <mergeCell ref="L424:M424"/>
    <mergeCell ref="J425:K425"/>
    <mergeCell ref="L425:M425"/>
    <mergeCell ref="J426:K426"/>
    <mergeCell ref="L426:M426"/>
    <mergeCell ref="J421:K421"/>
    <mergeCell ref="L421:M421"/>
    <mergeCell ref="J422:K422"/>
    <mergeCell ref="L422:M422"/>
    <mergeCell ref="J423:K423"/>
    <mergeCell ref="L423:M423"/>
    <mergeCell ref="J418:K418"/>
    <mergeCell ref="L418:M418"/>
    <mergeCell ref="J419:K419"/>
    <mergeCell ref="L419:M419"/>
    <mergeCell ref="J420:K420"/>
    <mergeCell ref="L420:M420"/>
    <mergeCell ref="J415:K415"/>
    <mergeCell ref="L415:M415"/>
    <mergeCell ref="J416:K416"/>
    <mergeCell ref="L416:M416"/>
    <mergeCell ref="J417:K417"/>
    <mergeCell ref="L417:M417"/>
    <mergeCell ref="J412:K412"/>
    <mergeCell ref="L412:M412"/>
    <mergeCell ref="J413:K413"/>
    <mergeCell ref="L413:M413"/>
    <mergeCell ref="J414:K414"/>
    <mergeCell ref="L414:M414"/>
    <mergeCell ref="J409:K409"/>
    <mergeCell ref="L409:M409"/>
    <mergeCell ref="J410:K410"/>
    <mergeCell ref="L410:M410"/>
    <mergeCell ref="J411:K411"/>
    <mergeCell ref="L411:M411"/>
    <mergeCell ref="J406:K406"/>
    <mergeCell ref="L406:M406"/>
    <mergeCell ref="J407:K407"/>
    <mergeCell ref="L407:M407"/>
    <mergeCell ref="J408:K408"/>
    <mergeCell ref="L408:M408"/>
    <mergeCell ref="J403:K403"/>
    <mergeCell ref="L403:M403"/>
    <mergeCell ref="J404:K404"/>
    <mergeCell ref="L404:M404"/>
    <mergeCell ref="J405:K405"/>
    <mergeCell ref="L405:M405"/>
    <mergeCell ref="J400:K400"/>
    <mergeCell ref="L400:M400"/>
    <mergeCell ref="J401:K401"/>
    <mergeCell ref="L401:M401"/>
    <mergeCell ref="J402:K402"/>
    <mergeCell ref="L402:M402"/>
    <mergeCell ref="J397:K397"/>
    <mergeCell ref="L397:M397"/>
    <mergeCell ref="J398:K398"/>
    <mergeCell ref="L398:M398"/>
    <mergeCell ref="J399:K399"/>
    <mergeCell ref="L399:M399"/>
    <mergeCell ref="J394:K394"/>
    <mergeCell ref="L394:M394"/>
    <mergeCell ref="J395:K395"/>
    <mergeCell ref="L395:M395"/>
    <mergeCell ref="J396:K396"/>
    <mergeCell ref="L396:M396"/>
    <mergeCell ref="J391:K391"/>
    <mergeCell ref="L391:M391"/>
    <mergeCell ref="J392:K392"/>
    <mergeCell ref="L392:M392"/>
    <mergeCell ref="J393:K393"/>
    <mergeCell ref="L393:M393"/>
    <mergeCell ref="J388:K388"/>
    <mergeCell ref="L388:M388"/>
    <mergeCell ref="J389:K389"/>
    <mergeCell ref="L389:M389"/>
    <mergeCell ref="J390:K390"/>
    <mergeCell ref="L390:M390"/>
    <mergeCell ref="J385:K385"/>
    <mergeCell ref="L385:M385"/>
    <mergeCell ref="J386:K386"/>
    <mergeCell ref="L386:M386"/>
    <mergeCell ref="J387:K387"/>
    <mergeCell ref="L387:M387"/>
    <mergeCell ref="J382:K382"/>
    <mergeCell ref="L382:M382"/>
    <mergeCell ref="J383:K383"/>
    <mergeCell ref="L383:M383"/>
    <mergeCell ref="J384:K384"/>
    <mergeCell ref="L384:M384"/>
    <mergeCell ref="J379:K379"/>
    <mergeCell ref="L379:M379"/>
    <mergeCell ref="J380:K380"/>
    <mergeCell ref="L380:M380"/>
    <mergeCell ref="J381:K381"/>
    <mergeCell ref="L381:M381"/>
    <mergeCell ref="J376:K376"/>
    <mergeCell ref="L376:M376"/>
    <mergeCell ref="J377:K377"/>
    <mergeCell ref="L377:M377"/>
    <mergeCell ref="J378:K378"/>
    <mergeCell ref="L378:M378"/>
    <mergeCell ref="J373:K373"/>
    <mergeCell ref="L373:M373"/>
    <mergeCell ref="J374:K374"/>
    <mergeCell ref="L374:M374"/>
    <mergeCell ref="J375:K375"/>
    <mergeCell ref="L375:M375"/>
    <mergeCell ref="J370:K370"/>
    <mergeCell ref="L370:M370"/>
    <mergeCell ref="J371:K371"/>
    <mergeCell ref="L371:M371"/>
    <mergeCell ref="J372:K372"/>
    <mergeCell ref="L372:M372"/>
    <mergeCell ref="J367:K367"/>
    <mergeCell ref="L367:M367"/>
    <mergeCell ref="J368:K368"/>
    <mergeCell ref="L368:M368"/>
    <mergeCell ref="J369:K369"/>
    <mergeCell ref="L369:M369"/>
    <mergeCell ref="J364:K364"/>
    <mergeCell ref="L364:M364"/>
    <mergeCell ref="J365:K365"/>
    <mergeCell ref="L365:M365"/>
    <mergeCell ref="J366:K366"/>
    <mergeCell ref="L366:M366"/>
    <mergeCell ref="J361:K361"/>
    <mergeCell ref="L361:M361"/>
    <mergeCell ref="J362:K362"/>
    <mergeCell ref="L362:M362"/>
    <mergeCell ref="J363:K363"/>
    <mergeCell ref="L363:M363"/>
    <mergeCell ref="J358:K358"/>
    <mergeCell ref="L358:M358"/>
    <mergeCell ref="J359:K359"/>
    <mergeCell ref="L359:M359"/>
    <mergeCell ref="J360:K360"/>
    <mergeCell ref="L360:M360"/>
    <mergeCell ref="J355:K355"/>
    <mergeCell ref="L355:M355"/>
    <mergeCell ref="J356:K356"/>
    <mergeCell ref="L356:M356"/>
    <mergeCell ref="J357:K357"/>
    <mergeCell ref="L357:M357"/>
    <mergeCell ref="J352:K352"/>
    <mergeCell ref="L352:M352"/>
    <mergeCell ref="J353:K353"/>
    <mergeCell ref="L353:M353"/>
    <mergeCell ref="J354:K354"/>
    <mergeCell ref="L354:M354"/>
    <mergeCell ref="J349:K349"/>
    <mergeCell ref="L349:M349"/>
    <mergeCell ref="J350:K350"/>
    <mergeCell ref="L350:M350"/>
    <mergeCell ref="J351:K351"/>
    <mergeCell ref="L351:M351"/>
    <mergeCell ref="J346:K346"/>
    <mergeCell ref="L346:M346"/>
    <mergeCell ref="J347:K347"/>
    <mergeCell ref="L347:M347"/>
    <mergeCell ref="J348:K348"/>
    <mergeCell ref="L348:M348"/>
    <mergeCell ref="J343:K343"/>
    <mergeCell ref="L343:M343"/>
    <mergeCell ref="J344:K344"/>
    <mergeCell ref="L344:M344"/>
    <mergeCell ref="J345:K345"/>
    <mergeCell ref="L345:M345"/>
    <mergeCell ref="J340:K340"/>
    <mergeCell ref="L340:M340"/>
    <mergeCell ref="J341:K341"/>
    <mergeCell ref="L341:M341"/>
    <mergeCell ref="J342:K342"/>
    <mergeCell ref="L342:M342"/>
    <mergeCell ref="J337:K337"/>
    <mergeCell ref="L337:M337"/>
    <mergeCell ref="J338:K338"/>
    <mergeCell ref="L338:M338"/>
    <mergeCell ref="J339:K339"/>
    <mergeCell ref="L339:M339"/>
    <mergeCell ref="J334:K334"/>
    <mergeCell ref="L334:M334"/>
    <mergeCell ref="J335:K335"/>
    <mergeCell ref="L335:M335"/>
    <mergeCell ref="J336:K336"/>
    <mergeCell ref="L336:M336"/>
    <mergeCell ref="J331:K331"/>
    <mergeCell ref="L331:M331"/>
    <mergeCell ref="J332:K332"/>
    <mergeCell ref="L332:M332"/>
    <mergeCell ref="J333:K333"/>
    <mergeCell ref="L333:M333"/>
    <mergeCell ref="J328:K328"/>
    <mergeCell ref="L328:M328"/>
    <mergeCell ref="J329:K329"/>
    <mergeCell ref="L329:M329"/>
    <mergeCell ref="J330:K330"/>
    <mergeCell ref="L330:M330"/>
    <mergeCell ref="J325:K325"/>
    <mergeCell ref="L325:M325"/>
    <mergeCell ref="J326:K326"/>
    <mergeCell ref="L326:M326"/>
    <mergeCell ref="J327:K327"/>
    <mergeCell ref="L327:M327"/>
    <mergeCell ref="J322:K322"/>
    <mergeCell ref="L322:M322"/>
    <mergeCell ref="J323:K323"/>
    <mergeCell ref="L323:M323"/>
    <mergeCell ref="J324:K324"/>
    <mergeCell ref="L324:M324"/>
    <mergeCell ref="J319:K319"/>
    <mergeCell ref="L319:M319"/>
    <mergeCell ref="J320:K320"/>
    <mergeCell ref="L320:M320"/>
    <mergeCell ref="J321:K321"/>
    <mergeCell ref="L321:M321"/>
    <mergeCell ref="J316:K316"/>
    <mergeCell ref="L316:M316"/>
    <mergeCell ref="J317:K317"/>
    <mergeCell ref="L317:M317"/>
    <mergeCell ref="J318:K318"/>
    <mergeCell ref="L318:M318"/>
    <mergeCell ref="J313:K313"/>
    <mergeCell ref="L313:M313"/>
    <mergeCell ref="J314:K314"/>
    <mergeCell ref="L314:M314"/>
    <mergeCell ref="J315:K315"/>
    <mergeCell ref="L315:M315"/>
    <mergeCell ref="J310:K310"/>
    <mergeCell ref="L310:M310"/>
    <mergeCell ref="J311:K311"/>
    <mergeCell ref="L311:M311"/>
    <mergeCell ref="J312:K312"/>
    <mergeCell ref="L312:M312"/>
    <mergeCell ref="J307:K307"/>
    <mergeCell ref="L307:M307"/>
    <mergeCell ref="J308:K308"/>
    <mergeCell ref="L308:M308"/>
    <mergeCell ref="J309:K309"/>
    <mergeCell ref="L309:M309"/>
    <mergeCell ref="J304:K304"/>
    <mergeCell ref="L304:M304"/>
    <mergeCell ref="J305:K305"/>
    <mergeCell ref="L305:M305"/>
    <mergeCell ref="J306:K306"/>
    <mergeCell ref="L306:M306"/>
    <mergeCell ref="J301:K301"/>
    <mergeCell ref="L301:M301"/>
    <mergeCell ref="J302:K302"/>
    <mergeCell ref="L302:M302"/>
    <mergeCell ref="J303:K303"/>
    <mergeCell ref="L303:M303"/>
    <mergeCell ref="J298:K298"/>
    <mergeCell ref="L298:M298"/>
    <mergeCell ref="J299:K299"/>
    <mergeCell ref="L299:M299"/>
    <mergeCell ref="J300:K300"/>
    <mergeCell ref="L300:M300"/>
    <mergeCell ref="J295:K295"/>
    <mergeCell ref="L295:M295"/>
    <mergeCell ref="J296:K296"/>
    <mergeCell ref="L296:M296"/>
    <mergeCell ref="J297:K297"/>
    <mergeCell ref="L297:M297"/>
    <mergeCell ref="J292:K292"/>
    <mergeCell ref="L292:M292"/>
    <mergeCell ref="J293:K293"/>
    <mergeCell ref="L293:M293"/>
    <mergeCell ref="J294:K294"/>
    <mergeCell ref="L294:M294"/>
    <mergeCell ref="J289:K289"/>
    <mergeCell ref="L289:M289"/>
    <mergeCell ref="J290:K290"/>
    <mergeCell ref="L290:M290"/>
    <mergeCell ref="J291:K291"/>
    <mergeCell ref="L291:M291"/>
    <mergeCell ref="J286:K286"/>
    <mergeCell ref="L286:M286"/>
    <mergeCell ref="J287:K287"/>
    <mergeCell ref="L287:M287"/>
    <mergeCell ref="J288:K288"/>
    <mergeCell ref="L288:M288"/>
    <mergeCell ref="J283:K283"/>
    <mergeCell ref="L283:M283"/>
    <mergeCell ref="J284:K284"/>
    <mergeCell ref="L284:M284"/>
    <mergeCell ref="J285:K285"/>
    <mergeCell ref="L285:M285"/>
    <mergeCell ref="J280:K280"/>
    <mergeCell ref="L280:M280"/>
    <mergeCell ref="J281:K281"/>
    <mergeCell ref="L281:M281"/>
    <mergeCell ref="J282:K282"/>
    <mergeCell ref="L282:M282"/>
    <mergeCell ref="J277:K277"/>
    <mergeCell ref="L277:M277"/>
    <mergeCell ref="J278:K278"/>
    <mergeCell ref="L278:M278"/>
    <mergeCell ref="J279:K279"/>
    <mergeCell ref="L279:M279"/>
    <mergeCell ref="J274:K274"/>
    <mergeCell ref="L274:M274"/>
    <mergeCell ref="J275:K275"/>
    <mergeCell ref="L275:M275"/>
    <mergeCell ref="J276:K276"/>
    <mergeCell ref="L276:M276"/>
    <mergeCell ref="J271:K271"/>
    <mergeCell ref="L271:M271"/>
    <mergeCell ref="J272:K272"/>
    <mergeCell ref="L272:M272"/>
    <mergeCell ref="J273:K273"/>
    <mergeCell ref="L273:M273"/>
    <mergeCell ref="J268:K268"/>
    <mergeCell ref="L268:M268"/>
    <mergeCell ref="J269:K269"/>
    <mergeCell ref="L269:M269"/>
    <mergeCell ref="J270:K270"/>
    <mergeCell ref="L270:M270"/>
    <mergeCell ref="J265:K265"/>
    <mergeCell ref="L265:M265"/>
    <mergeCell ref="J266:K266"/>
    <mergeCell ref="L266:M266"/>
    <mergeCell ref="J267:K267"/>
    <mergeCell ref="L267:M267"/>
    <mergeCell ref="J262:K262"/>
    <mergeCell ref="L262:M262"/>
    <mergeCell ref="J263:K263"/>
    <mergeCell ref="L263:M263"/>
    <mergeCell ref="J264:K264"/>
    <mergeCell ref="L264:M264"/>
    <mergeCell ref="J259:K259"/>
    <mergeCell ref="L259:M259"/>
    <mergeCell ref="J260:K260"/>
    <mergeCell ref="L260:M260"/>
    <mergeCell ref="J261:K261"/>
    <mergeCell ref="L261:M261"/>
    <mergeCell ref="J256:K256"/>
    <mergeCell ref="L256:M256"/>
    <mergeCell ref="J257:K257"/>
    <mergeCell ref="L257:M257"/>
    <mergeCell ref="J258:K258"/>
    <mergeCell ref="L258:M258"/>
    <mergeCell ref="J253:K253"/>
    <mergeCell ref="L253:M253"/>
    <mergeCell ref="J254:K254"/>
    <mergeCell ref="L254:M254"/>
    <mergeCell ref="J255:K255"/>
    <mergeCell ref="L255:M255"/>
    <mergeCell ref="J250:K250"/>
    <mergeCell ref="L250:M250"/>
    <mergeCell ref="J251:K251"/>
    <mergeCell ref="L251:M251"/>
    <mergeCell ref="J252:K252"/>
    <mergeCell ref="L252:M252"/>
    <mergeCell ref="J247:K247"/>
    <mergeCell ref="L247:M247"/>
    <mergeCell ref="J248:K248"/>
    <mergeCell ref="L248:M248"/>
    <mergeCell ref="J249:K249"/>
    <mergeCell ref="L249:M249"/>
    <mergeCell ref="J244:K244"/>
    <mergeCell ref="L244:M244"/>
    <mergeCell ref="J245:K245"/>
    <mergeCell ref="L245:M245"/>
    <mergeCell ref="J246:K246"/>
    <mergeCell ref="L246:M246"/>
    <mergeCell ref="J241:K241"/>
    <mergeCell ref="L241:M241"/>
    <mergeCell ref="J242:K242"/>
    <mergeCell ref="L242:M242"/>
    <mergeCell ref="J243:K243"/>
    <mergeCell ref="L243:M243"/>
    <mergeCell ref="J238:K238"/>
    <mergeCell ref="L238:M238"/>
    <mergeCell ref="J239:K239"/>
    <mergeCell ref="L239:M239"/>
    <mergeCell ref="J240:K240"/>
    <mergeCell ref="L240:M240"/>
    <mergeCell ref="J235:K235"/>
    <mergeCell ref="L235:M235"/>
    <mergeCell ref="J236:K236"/>
    <mergeCell ref="L236:M236"/>
    <mergeCell ref="J237:K237"/>
    <mergeCell ref="L237:M237"/>
    <mergeCell ref="J232:K232"/>
    <mergeCell ref="L232:M232"/>
    <mergeCell ref="J233:K233"/>
    <mergeCell ref="L233:M233"/>
    <mergeCell ref="J234:K234"/>
    <mergeCell ref="L234:M234"/>
    <mergeCell ref="J229:K229"/>
    <mergeCell ref="L229:M229"/>
    <mergeCell ref="J230:K230"/>
    <mergeCell ref="L230:M230"/>
    <mergeCell ref="J231:K231"/>
    <mergeCell ref="L231:M231"/>
    <mergeCell ref="J226:K226"/>
    <mergeCell ref="L226:M226"/>
    <mergeCell ref="J227:K227"/>
    <mergeCell ref="L227:M227"/>
    <mergeCell ref="J228:K228"/>
    <mergeCell ref="L228:M228"/>
    <mergeCell ref="J223:K223"/>
    <mergeCell ref="L223:M223"/>
    <mergeCell ref="J224:K224"/>
    <mergeCell ref="L224:M224"/>
    <mergeCell ref="J225:K225"/>
    <mergeCell ref="L225:M225"/>
    <mergeCell ref="J220:K220"/>
    <mergeCell ref="L220:M220"/>
    <mergeCell ref="J221:K221"/>
    <mergeCell ref="L221:M221"/>
    <mergeCell ref="J222:K222"/>
    <mergeCell ref="L222:M222"/>
    <mergeCell ref="J217:K217"/>
    <mergeCell ref="L217:M217"/>
    <mergeCell ref="J218:K218"/>
    <mergeCell ref="L218:M218"/>
    <mergeCell ref="J219:K219"/>
    <mergeCell ref="L219:M219"/>
    <mergeCell ref="J214:K214"/>
    <mergeCell ref="L214:M214"/>
    <mergeCell ref="J215:K215"/>
    <mergeCell ref="L215:M215"/>
    <mergeCell ref="J216:K216"/>
    <mergeCell ref="L216:M216"/>
    <mergeCell ref="J211:K211"/>
    <mergeCell ref="L211:M211"/>
    <mergeCell ref="J212:K212"/>
    <mergeCell ref="L212:M212"/>
    <mergeCell ref="J213:K213"/>
    <mergeCell ref="L213:M213"/>
    <mergeCell ref="J208:K208"/>
    <mergeCell ref="L208:M208"/>
    <mergeCell ref="J209:K209"/>
    <mergeCell ref="L209:M209"/>
    <mergeCell ref="J210:K210"/>
    <mergeCell ref="L210:M210"/>
    <mergeCell ref="J205:K205"/>
    <mergeCell ref="L205:M205"/>
    <mergeCell ref="J206:K206"/>
    <mergeCell ref="L206:M206"/>
    <mergeCell ref="J207:K207"/>
    <mergeCell ref="L207:M207"/>
    <mergeCell ref="J202:K202"/>
    <mergeCell ref="L202:M202"/>
    <mergeCell ref="J203:K203"/>
    <mergeCell ref="L203:M203"/>
    <mergeCell ref="J204:K204"/>
    <mergeCell ref="L204:M204"/>
    <mergeCell ref="J199:K199"/>
    <mergeCell ref="L199:M199"/>
    <mergeCell ref="J200:K200"/>
    <mergeCell ref="L200:M200"/>
    <mergeCell ref="J201:K201"/>
    <mergeCell ref="L201:M201"/>
    <mergeCell ref="J196:K196"/>
    <mergeCell ref="L196:M196"/>
    <mergeCell ref="J197:K197"/>
    <mergeCell ref="L197:M197"/>
    <mergeCell ref="J198:K198"/>
    <mergeCell ref="L198:M198"/>
    <mergeCell ref="J193:K193"/>
    <mergeCell ref="L193:M193"/>
    <mergeCell ref="J194:K194"/>
    <mergeCell ref="L194:M194"/>
    <mergeCell ref="J195:K195"/>
    <mergeCell ref="L195:M195"/>
    <mergeCell ref="J190:K190"/>
    <mergeCell ref="L190:M190"/>
    <mergeCell ref="J191:K191"/>
    <mergeCell ref="L191:M191"/>
    <mergeCell ref="J192:K192"/>
    <mergeCell ref="L192:M192"/>
    <mergeCell ref="J187:K187"/>
    <mergeCell ref="L187:M187"/>
    <mergeCell ref="J188:K188"/>
    <mergeCell ref="L188:M188"/>
    <mergeCell ref="J189:K189"/>
    <mergeCell ref="L189:M189"/>
    <mergeCell ref="J184:K184"/>
    <mergeCell ref="L184:M184"/>
    <mergeCell ref="J185:K185"/>
    <mergeCell ref="L185:M185"/>
    <mergeCell ref="J186:K186"/>
    <mergeCell ref="L186:M186"/>
    <mergeCell ref="J181:K181"/>
    <mergeCell ref="L181:M181"/>
    <mergeCell ref="J182:K182"/>
    <mergeCell ref="L182:M182"/>
    <mergeCell ref="J183:K183"/>
    <mergeCell ref="L183:M183"/>
    <mergeCell ref="J178:K178"/>
    <mergeCell ref="L178:M178"/>
    <mergeCell ref="J179:K179"/>
    <mergeCell ref="L179:M179"/>
    <mergeCell ref="J180:K180"/>
    <mergeCell ref="L180:M180"/>
    <mergeCell ref="J175:K175"/>
    <mergeCell ref="L175:M175"/>
    <mergeCell ref="J176:K176"/>
    <mergeCell ref="L176:M176"/>
    <mergeCell ref="J177:K177"/>
    <mergeCell ref="L177:M177"/>
    <mergeCell ref="J172:K172"/>
    <mergeCell ref="L172:M172"/>
    <mergeCell ref="J173:K173"/>
    <mergeCell ref="L173:M173"/>
    <mergeCell ref="J174:K174"/>
    <mergeCell ref="L174:M174"/>
    <mergeCell ref="J169:K169"/>
    <mergeCell ref="L169:M169"/>
    <mergeCell ref="J170:K170"/>
    <mergeCell ref="L170:M170"/>
    <mergeCell ref="J171:K171"/>
    <mergeCell ref="L171:M171"/>
    <mergeCell ref="J166:K166"/>
    <mergeCell ref="L166:M166"/>
    <mergeCell ref="J167:K167"/>
    <mergeCell ref="L167:M167"/>
    <mergeCell ref="J168:K168"/>
    <mergeCell ref="L168:M168"/>
    <mergeCell ref="J163:K163"/>
    <mergeCell ref="L163:M163"/>
    <mergeCell ref="J164:K164"/>
    <mergeCell ref="L164:M164"/>
    <mergeCell ref="J165:K165"/>
    <mergeCell ref="L165:M165"/>
    <mergeCell ref="J160:K160"/>
    <mergeCell ref="L160:M160"/>
    <mergeCell ref="J161:K161"/>
    <mergeCell ref="L161:M161"/>
    <mergeCell ref="J162:K162"/>
    <mergeCell ref="L162:M162"/>
    <mergeCell ref="J157:K157"/>
    <mergeCell ref="L157:M157"/>
    <mergeCell ref="J158:K158"/>
    <mergeCell ref="L158:M158"/>
    <mergeCell ref="J159:K159"/>
    <mergeCell ref="L159:M159"/>
    <mergeCell ref="J154:K154"/>
    <mergeCell ref="L154:M154"/>
    <mergeCell ref="J155:K155"/>
    <mergeCell ref="L155:M155"/>
    <mergeCell ref="J156:K156"/>
    <mergeCell ref="L156:M156"/>
    <mergeCell ref="J151:K151"/>
    <mergeCell ref="L151:M151"/>
    <mergeCell ref="J152:K152"/>
    <mergeCell ref="L152:M152"/>
    <mergeCell ref="J153:K153"/>
    <mergeCell ref="L153:M153"/>
    <mergeCell ref="J148:K148"/>
    <mergeCell ref="L148:M148"/>
    <mergeCell ref="J149:K149"/>
    <mergeCell ref="L149:M149"/>
    <mergeCell ref="J150:K150"/>
    <mergeCell ref="L150:M150"/>
    <mergeCell ref="J145:K145"/>
    <mergeCell ref="L145:M145"/>
    <mergeCell ref="J146:K146"/>
    <mergeCell ref="L146:M146"/>
    <mergeCell ref="J147:K147"/>
    <mergeCell ref="L147:M147"/>
    <mergeCell ref="J142:K142"/>
    <mergeCell ref="L142:M142"/>
    <mergeCell ref="J143:K143"/>
    <mergeCell ref="L143:M143"/>
    <mergeCell ref="J144:K144"/>
    <mergeCell ref="L144:M144"/>
    <mergeCell ref="J139:K139"/>
    <mergeCell ref="L139:M139"/>
    <mergeCell ref="J140:K140"/>
    <mergeCell ref="L140:M140"/>
    <mergeCell ref="J141:K141"/>
    <mergeCell ref="L141:M141"/>
    <mergeCell ref="J136:K136"/>
    <mergeCell ref="L136:M136"/>
    <mergeCell ref="J137:K137"/>
    <mergeCell ref="L137:M137"/>
    <mergeCell ref="J138:K138"/>
    <mergeCell ref="L138:M138"/>
    <mergeCell ref="J133:K133"/>
    <mergeCell ref="L133:M133"/>
    <mergeCell ref="J134:K134"/>
    <mergeCell ref="L134:M134"/>
    <mergeCell ref="J135:K135"/>
    <mergeCell ref="L135:M135"/>
    <mergeCell ref="J130:K130"/>
    <mergeCell ref="L130:M130"/>
    <mergeCell ref="J131:K131"/>
    <mergeCell ref="L131:M131"/>
    <mergeCell ref="J132:K132"/>
    <mergeCell ref="L132:M132"/>
    <mergeCell ref="J127:K127"/>
    <mergeCell ref="L127:M127"/>
    <mergeCell ref="J128:K128"/>
    <mergeCell ref="L128:M128"/>
    <mergeCell ref="J129:K129"/>
    <mergeCell ref="L129:M129"/>
    <mergeCell ref="J124:K124"/>
    <mergeCell ref="L124:M124"/>
    <mergeCell ref="J125:K125"/>
    <mergeCell ref="L125:M125"/>
    <mergeCell ref="J126:K126"/>
    <mergeCell ref="L126:M126"/>
    <mergeCell ref="J121:K121"/>
    <mergeCell ref="L121:M121"/>
    <mergeCell ref="J122:K122"/>
    <mergeCell ref="L122:M122"/>
    <mergeCell ref="J123:K123"/>
    <mergeCell ref="L123:M123"/>
    <mergeCell ref="J118:K118"/>
    <mergeCell ref="L118:M118"/>
    <mergeCell ref="J119:K119"/>
    <mergeCell ref="L119:M119"/>
    <mergeCell ref="J120:K120"/>
    <mergeCell ref="L120:M120"/>
    <mergeCell ref="J115:K115"/>
    <mergeCell ref="L115:M115"/>
    <mergeCell ref="J116:K116"/>
    <mergeCell ref="L116:M116"/>
    <mergeCell ref="J117:K117"/>
    <mergeCell ref="L117:M117"/>
    <mergeCell ref="J112:K112"/>
    <mergeCell ref="L112:M112"/>
    <mergeCell ref="J113:K113"/>
    <mergeCell ref="L113:M113"/>
    <mergeCell ref="J114:K114"/>
    <mergeCell ref="L114:M114"/>
    <mergeCell ref="J109:K109"/>
    <mergeCell ref="L109:M109"/>
    <mergeCell ref="J110:K110"/>
    <mergeCell ref="L110:M110"/>
    <mergeCell ref="J111:K111"/>
    <mergeCell ref="L111:M111"/>
    <mergeCell ref="J106:K106"/>
    <mergeCell ref="L106:M106"/>
    <mergeCell ref="J107:K107"/>
    <mergeCell ref="L107:M107"/>
    <mergeCell ref="J108:K108"/>
    <mergeCell ref="L108:M108"/>
    <mergeCell ref="J103:K103"/>
    <mergeCell ref="L103:M103"/>
    <mergeCell ref="J104:K104"/>
    <mergeCell ref="L104:M104"/>
    <mergeCell ref="J105:K105"/>
    <mergeCell ref="L105:M105"/>
    <mergeCell ref="J100:K100"/>
    <mergeCell ref="L100:M100"/>
    <mergeCell ref="J101:K101"/>
    <mergeCell ref="L101:M101"/>
    <mergeCell ref="J102:K102"/>
    <mergeCell ref="L102:M102"/>
    <mergeCell ref="J97:K97"/>
    <mergeCell ref="L97:M97"/>
    <mergeCell ref="J98:K98"/>
    <mergeCell ref="L98:M98"/>
    <mergeCell ref="J99:K99"/>
    <mergeCell ref="L99:M99"/>
    <mergeCell ref="J94:K94"/>
    <mergeCell ref="L94:M94"/>
    <mergeCell ref="J95:K95"/>
    <mergeCell ref="L95:M95"/>
    <mergeCell ref="J96:K96"/>
    <mergeCell ref="L96:M96"/>
    <mergeCell ref="J91:K91"/>
    <mergeCell ref="L91:M91"/>
    <mergeCell ref="J92:K92"/>
    <mergeCell ref="L92:M92"/>
    <mergeCell ref="J93:K93"/>
    <mergeCell ref="L93:M93"/>
    <mergeCell ref="J88:K88"/>
    <mergeCell ref="L88:M88"/>
    <mergeCell ref="J89:K89"/>
    <mergeCell ref="L89:M89"/>
    <mergeCell ref="J90:K90"/>
    <mergeCell ref="L90:M90"/>
    <mergeCell ref="J85:K85"/>
    <mergeCell ref="L85:M85"/>
    <mergeCell ref="J86:K86"/>
    <mergeCell ref="L86:M86"/>
    <mergeCell ref="J87:K87"/>
    <mergeCell ref="L87:M87"/>
    <mergeCell ref="J82:K82"/>
    <mergeCell ref="L82:M82"/>
    <mergeCell ref="J83:K83"/>
    <mergeCell ref="L83:M83"/>
    <mergeCell ref="J84:K84"/>
    <mergeCell ref="L84:M84"/>
    <mergeCell ref="J79:K79"/>
    <mergeCell ref="L79:M79"/>
    <mergeCell ref="J80:K80"/>
    <mergeCell ref="L80:M80"/>
    <mergeCell ref="J81:K81"/>
    <mergeCell ref="L81:M81"/>
    <mergeCell ref="J76:K76"/>
    <mergeCell ref="L76:M76"/>
    <mergeCell ref="J77:K77"/>
    <mergeCell ref="L77:M77"/>
    <mergeCell ref="J78:K78"/>
    <mergeCell ref="L78:M78"/>
    <mergeCell ref="J73:K73"/>
    <mergeCell ref="L73:M73"/>
    <mergeCell ref="J74:K74"/>
    <mergeCell ref="L74:M74"/>
    <mergeCell ref="J75:K75"/>
    <mergeCell ref="L75:M75"/>
    <mergeCell ref="J70:K70"/>
    <mergeCell ref="L70:M70"/>
    <mergeCell ref="J71:K71"/>
    <mergeCell ref="L71:M71"/>
    <mergeCell ref="J72:K72"/>
    <mergeCell ref="L72:M72"/>
    <mergeCell ref="J67:K67"/>
    <mergeCell ref="L67:M67"/>
    <mergeCell ref="J68:K68"/>
    <mergeCell ref="L68:M68"/>
    <mergeCell ref="J69:K69"/>
    <mergeCell ref="L69:M69"/>
    <mergeCell ref="J64:K64"/>
    <mergeCell ref="L64:M64"/>
    <mergeCell ref="J65:K65"/>
    <mergeCell ref="L65:M65"/>
    <mergeCell ref="J66:K66"/>
    <mergeCell ref="L66:M66"/>
    <mergeCell ref="J61:K61"/>
    <mergeCell ref="L61:M61"/>
    <mergeCell ref="J62:K62"/>
    <mergeCell ref="L62:M62"/>
    <mergeCell ref="J63:K63"/>
    <mergeCell ref="L63:M63"/>
    <mergeCell ref="J58:K58"/>
    <mergeCell ref="L58:M58"/>
    <mergeCell ref="J59:K59"/>
    <mergeCell ref="L59:M59"/>
    <mergeCell ref="J60:K60"/>
    <mergeCell ref="L60:M60"/>
    <mergeCell ref="J55:K55"/>
    <mergeCell ref="L55:M55"/>
    <mergeCell ref="J56:K56"/>
    <mergeCell ref="L56:M56"/>
    <mergeCell ref="J57:K57"/>
    <mergeCell ref="L57:M57"/>
    <mergeCell ref="J52:K52"/>
    <mergeCell ref="L52:M52"/>
    <mergeCell ref="J53:K53"/>
    <mergeCell ref="L53:M53"/>
    <mergeCell ref="J54:K54"/>
    <mergeCell ref="L54:M54"/>
    <mergeCell ref="J49:K49"/>
    <mergeCell ref="L49:M49"/>
    <mergeCell ref="J50:K50"/>
    <mergeCell ref="L50:M50"/>
    <mergeCell ref="J51:K51"/>
    <mergeCell ref="L51:M51"/>
    <mergeCell ref="J46:K46"/>
    <mergeCell ref="L46:M46"/>
    <mergeCell ref="J47:K47"/>
    <mergeCell ref="L47:M47"/>
    <mergeCell ref="J48:K48"/>
    <mergeCell ref="L48:M48"/>
    <mergeCell ref="J43:K43"/>
    <mergeCell ref="L43:M43"/>
    <mergeCell ref="J44:K44"/>
    <mergeCell ref="L44:M44"/>
    <mergeCell ref="J45:K45"/>
    <mergeCell ref="L45:M45"/>
    <mergeCell ref="J40:K40"/>
    <mergeCell ref="L40:M40"/>
    <mergeCell ref="J41:K41"/>
    <mergeCell ref="L41:M41"/>
    <mergeCell ref="J42:K42"/>
    <mergeCell ref="L42:M42"/>
    <mergeCell ref="J37:K37"/>
    <mergeCell ref="L37:M37"/>
    <mergeCell ref="J38:K38"/>
    <mergeCell ref="L38:M38"/>
    <mergeCell ref="J39:K39"/>
    <mergeCell ref="L39:M39"/>
    <mergeCell ref="J34:K34"/>
    <mergeCell ref="L34:M34"/>
    <mergeCell ref="J35:K35"/>
    <mergeCell ref="L35:M35"/>
    <mergeCell ref="J36:K36"/>
    <mergeCell ref="L36:M36"/>
    <mergeCell ref="J31:K31"/>
    <mergeCell ref="L31:M31"/>
    <mergeCell ref="J32:K32"/>
    <mergeCell ref="L32:M32"/>
    <mergeCell ref="J33:K33"/>
    <mergeCell ref="L33:M33"/>
    <mergeCell ref="J28:K28"/>
    <mergeCell ref="L28:M28"/>
    <mergeCell ref="J29:K29"/>
    <mergeCell ref="L29:M29"/>
    <mergeCell ref="J30:K30"/>
    <mergeCell ref="L30:M30"/>
    <mergeCell ref="J25:K25"/>
    <mergeCell ref="L25:M25"/>
    <mergeCell ref="J26:K26"/>
    <mergeCell ref="L26:M26"/>
    <mergeCell ref="J27:K27"/>
    <mergeCell ref="L27:M27"/>
    <mergeCell ref="J22:K22"/>
    <mergeCell ref="L22:M22"/>
    <mergeCell ref="J23:K23"/>
    <mergeCell ref="L23:M23"/>
    <mergeCell ref="J24:K24"/>
    <mergeCell ref="L24:M24"/>
    <mergeCell ref="J19:K19"/>
    <mergeCell ref="L19:M19"/>
    <mergeCell ref="J20:K20"/>
    <mergeCell ref="L20:M20"/>
    <mergeCell ref="J21:K21"/>
    <mergeCell ref="L21:M21"/>
    <mergeCell ref="J17:K17"/>
    <mergeCell ref="L17:M17"/>
    <mergeCell ref="J18:K18"/>
    <mergeCell ref="L18:M18"/>
    <mergeCell ref="J13:K13"/>
    <mergeCell ref="L13:M13"/>
    <mergeCell ref="J14:K14"/>
    <mergeCell ref="L14:M14"/>
    <mergeCell ref="J15:K15"/>
    <mergeCell ref="L15:M15"/>
    <mergeCell ref="T9:Y9"/>
    <mergeCell ref="J10:K10"/>
    <mergeCell ref="L10:M10"/>
    <mergeCell ref="J11:K11"/>
    <mergeCell ref="L11:M11"/>
    <mergeCell ref="J12:K12"/>
    <mergeCell ref="L12:M12"/>
    <mergeCell ref="B8:C8"/>
    <mergeCell ref="D8:E8"/>
    <mergeCell ref="F8:G8"/>
    <mergeCell ref="H8:I8"/>
    <mergeCell ref="T8:Y8"/>
    <mergeCell ref="B5:C5"/>
    <mergeCell ref="D5:E5"/>
    <mergeCell ref="F5:G5"/>
    <mergeCell ref="H5:I5"/>
    <mergeCell ref="T5:Y5"/>
    <mergeCell ref="B6:C6"/>
    <mergeCell ref="D6:E6"/>
    <mergeCell ref="F6:G6"/>
    <mergeCell ref="H6:I6"/>
    <mergeCell ref="T6:Y6"/>
    <mergeCell ref="J16:K16"/>
    <mergeCell ref="L16:M16"/>
    <mergeCell ref="K3:L3"/>
    <mergeCell ref="N3:O3"/>
    <mergeCell ref="T3:Y3"/>
    <mergeCell ref="B4:C4"/>
    <mergeCell ref="D4:E4"/>
    <mergeCell ref="F4:G4"/>
    <mergeCell ref="H4:I4"/>
    <mergeCell ref="T4:Y4"/>
    <mergeCell ref="B1:C1"/>
    <mergeCell ref="B2:C2"/>
    <mergeCell ref="B3:C3"/>
    <mergeCell ref="D3:E3"/>
    <mergeCell ref="F3:G3"/>
    <mergeCell ref="H3:I3"/>
    <mergeCell ref="B7:C7"/>
    <mergeCell ref="D7:E7"/>
    <mergeCell ref="F7:G7"/>
    <mergeCell ref="H7:I7"/>
    <mergeCell ref="T7:Y7"/>
  </mergeCells>
  <dataValidations count="1">
    <dataValidation type="list" allowBlank="1" showInputMessage="1" showErrorMessage="1" sqref="L4" xr:uid="{E459C325-2C3F-4D2B-8230-6663ECF09A48}">
      <formula1>$O$11:$O$12</formula1>
    </dataValidation>
  </dataValidations>
  <pageMargins left="0.25" right="0.25" top="0.75" bottom="0.75" header="0.3" footer="0.3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7896D-4B53-427C-9FE2-97C9497B7862}">
  <sheetPr codeName="Sheet4"/>
  <dimension ref="A1:Y813"/>
  <sheetViews>
    <sheetView showGridLines="0" tabSelected="1" zoomScaleNormal="100" workbookViewId="0">
      <selection activeCell="S4" sqref="S4"/>
    </sheetView>
  </sheetViews>
  <sheetFormatPr defaultColWidth="9" defaultRowHeight="13.8"/>
  <cols>
    <col min="1" max="1" width="1.88671875" style="24" customWidth="1"/>
    <col min="2" max="9" width="9.6640625" style="24" customWidth="1"/>
    <col min="10" max="10" width="3.6640625" style="24" customWidth="1"/>
    <col min="11" max="11" width="6.6640625" style="24" customWidth="1"/>
    <col min="12" max="12" width="7.6640625" style="24" customWidth="1"/>
    <col min="13" max="13" width="3.6640625" style="24" customWidth="1"/>
    <col min="14" max="14" width="6.6640625" style="24" bestFit="1" customWidth="1"/>
    <col min="15" max="15" width="7.21875" style="24" bestFit="1" customWidth="1"/>
    <col min="16" max="16" width="4.33203125" style="24" customWidth="1"/>
    <col min="17" max="17" width="1.88671875" style="24" customWidth="1"/>
    <col min="18" max="16384" width="9" style="24"/>
  </cols>
  <sheetData>
    <row r="1" spans="1:25">
      <c r="A1" s="23"/>
      <c r="B1" s="88">
        <v>44767.513043981482</v>
      </c>
      <c r="C1" s="88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65" t="s">
        <v>70</v>
      </c>
    </row>
    <row r="2" spans="1:25">
      <c r="A2" s="23"/>
      <c r="B2" s="95" t="s">
        <v>50</v>
      </c>
      <c r="C2" s="9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4" t="s">
        <v>71</v>
      </c>
      <c r="S2" s="24" t="s">
        <v>69</v>
      </c>
      <c r="T2" s="24" t="s">
        <v>68</v>
      </c>
    </row>
    <row r="3" spans="1:25" ht="14.25" customHeight="1">
      <c r="A3" s="23"/>
      <c r="B3" s="89" t="s">
        <v>15</v>
      </c>
      <c r="C3" s="96"/>
      <c r="D3" s="93" t="s">
        <v>64</v>
      </c>
      <c r="E3" s="90"/>
      <c r="F3" s="89" t="s">
        <v>16</v>
      </c>
      <c r="G3" s="90"/>
      <c r="H3" s="89" t="s">
        <v>61</v>
      </c>
      <c r="I3" s="90"/>
      <c r="J3" s="25"/>
      <c r="K3" s="102" t="s">
        <v>17</v>
      </c>
      <c r="L3" s="103"/>
      <c r="M3" s="23"/>
      <c r="N3" s="98"/>
      <c r="O3" s="98"/>
      <c r="P3" s="23"/>
      <c r="Q3" s="23"/>
      <c r="R3" s="66" t="s">
        <v>63</v>
      </c>
      <c r="S3" s="66" t="s">
        <v>72</v>
      </c>
      <c r="T3" s="106"/>
      <c r="U3" s="107"/>
      <c r="V3" s="107"/>
      <c r="W3" s="107"/>
      <c r="X3" s="107"/>
      <c r="Y3" s="108"/>
    </row>
    <row r="4" spans="1:25" ht="13.5" customHeight="1">
      <c r="A4" s="23"/>
      <c r="B4" s="91" t="s">
        <v>18</v>
      </c>
      <c r="C4" s="97"/>
      <c r="D4" s="94" t="s">
        <v>55</v>
      </c>
      <c r="E4" s="92"/>
      <c r="F4" s="91" t="s">
        <v>19</v>
      </c>
      <c r="G4" s="92"/>
      <c r="H4" s="91" t="s">
        <v>59</v>
      </c>
      <c r="I4" s="92"/>
      <c r="J4" s="25"/>
      <c r="K4" s="26" t="s">
        <v>20</v>
      </c>
      <c r="L4" s="27" t="str">
        <f>C10</f>
        <v>Frequency</v>
      </c>
      <c r="M4" s="23"/>
      <c r="N4" s="28"/>
      <c r="O4" s="28"/>
      <c r="P4" s="23"/>
      <c r="Q4" s="23"/>
      <c r="R4" s="66" t="s">
        <v>62</v>
      </c>
      <c r="S4" s="66" t="s">
        <v>73</v>
      </c>
      <c r="T4" s="106" t="s">
        <v>74</v>
      </c>
      <c r="U4" s="107"/>
      <c r="V4" s="107"/>
      <c r="W4" s="107"/>
      <c r="X4" s="107"/>
      <c r="Y4" s="108"/>
    </row>
    <row r="5" spans="1:25" ht="13.5" customHeight="1">
      <c r="A5" s="23"/>
      <c r="B5" s="91" t="s">
        <v>21</v>
      </c>
      <c r="C5" s="97"/>
      <c r="D5" s="94" t="s">
        <v>56</v>
      </c>
      <c r="E5" s="92"/>
      <c r="F5" s="91" t="s">
        <v>22</v>
      </c>
      <c r="G5" s="92"/>
      <c r="H5" s="91">
        <v>5</v>
      </c>
      <c r="I5" s="92"/>
      <c r="J5" s="25"/>
      <c r="K5" s="29" t="s">
        <v>23</v>
      </c>
      <c r="L5" s="30" t="s">
        <v>65</v>
      </c>
      <c r="M5" s="23"/>
      <c r="N5" s="28"/>
      <c r="O5" s="28"/>
      <c r="P5" s="23"/>
      <c r="Q5" s="23"/>
      <c r="R5" s="66"/>
      <c r="S5" s="66"/>
      <c r="T5" s="106"/>
      <c r="U5" s="107"/>
      <c r="V5" s="107"/>
      <c r="W5" s="107"/>
      <c r="X5" s="107"/>
      <c r="Y5" s="108"/>
    </row>
    <row r="6" spans="1:25" ht="13.5" customHeight="1">
      <c r="A6" s="23"/>
      <c r="B6" s="91" t="s">
        <v>24</v>
      </c>
      <c r="C6" s="97"/>
      <c r="D6" s="94">
        <v>201</v>
      </c>
      <c r="E6" s="92"/>
      <c r="F6" s="91" t="s">
        <v>25</v>
      </c>
      <c r="G6" s="92"/>
      <c r="H6" s="91" t="s">
        <v>59</v>
      </c>
      <c r="I6" s="92"/>
      <c r="J6" s="25"/>
      <c r="K6" s="31" t="s">
        <v>14</v>
      </c>
      <c r="L6" s="32" t="s">
        <v>66</v>
      </c>
      <c r="M6" s="23"/>
      <c r="N6" s="28"/>
      <c r="O6" s="28"/>
      <c r="P6" s="23"/>
      <c r="Q6" s="23"/>
      <c r="R6" s="66"/>
      <c r="S6" s="66"/>
      <c r="T6" s="106"/>
      <c r="U6" s="107"/>
      <c r="V6" s="107"/>
      <c r="W6" s="107"/>
      <c r="X6" s="107"/>
      <c r="Y6" s="108"/>
    </row>
    <row r="7" spans="1:25" ht="13.5" customHeight="1">
      <c r="A7" s="23"/>
      <c r="B7" s="91" t="s">
        <v>26</v>
      </c>
      <c r="C7" s="97"/>
      <c r="D7" s="94" t="s">
        <v>57</v>
      </c>
      <c r="E7" s="92"/>
      <c r="F7" s="91" t="s">
        <v>27</v>
      </c>
      <c r="G7" s="92"/>
      <c r="H7" s="91" t="s">
        <v>59</v>
      </c>
      <c r="I7" s="92"/>
      <c r="J7" s="25"/>
      <c r="K7" s="33"/>
      <c r="L7" s="33"/>
      <c r="M7" s="23"/>
      <c r="N7" s="28"/>
      <c r="O7" s="28"/>
      <c r="P7" s="23"/>
      <c r="Q7" s="23"/>
      <c r="R7" s="66"/>
      <c r="S7" s="66"/>
      <c r="T7" s="106"/>
      <c r="U7" s="107"/>
      <c r="V7" s="107"/>
      <c r="W7" s="107"/>
      <c r="X7" s="107"/>
      <c r="Y7" s="108"/>
    </row>
    <row r="8" spans="1:25">
      <c r="A8" s="23"/>
      <c r="B8" s="100" t="s">
        <v>28</v>
      </c>
      <c r="C8" s="101"/>
      <c r="D8" s="104" t="s">
        <v>58</v>
      </c>
      <c r="E8" s="105"/>
      <c r="F8" s="100" t="s">
        <v>67</v>
      </c>
      <c r="G8" s="105"/>
      <c r="H8" s="91" t="s">
        <v>13</v>
      </c>
      <c r="I8" s="92"/>
      <c r="J8" s="34"/>
      <c r="K8" s="33"/>
      <c r="L8" s="33"/>
      <c r="M8" s="23"/>
      <c r="N8" s="28"/>
      <c r="O8" s="28"/>
      <c r="P8" s="23"/>
      <c r="Q8" s="23"/>
      <c r="R8" s="66"/>
      <c r="S8" s="66"/>
      <c r="T8" s="106"/>
      <c r="U8" s="107"/>
      <c r="V8" s="107"/>
      <c r="W8" s="107"/>
      <c r="X8" s="107"/>
      <c r="Y8" s="108"/>
    </row>
    <row r="9" spans="1:25">
      <c r="A9" s="23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23"/>
      <c r="N9" s="23"/>
      <c r="O9" s="23"/>
      <c r="P9" s="23"/>
      <c r="Q9" s="23"/>
      <c r="R9" s="66"/>
      <c r="S9" s="66"/>
      <c r="T9" s="106"/>
      <c r="U9" s="107"/>
      <c r="V9" s="107"/>
      <c r="W9" s="107"/>
      <c r="X9" s="107"/>
      <c r="Y9" s="108"/>
    </row>
    <row r="10" spans="1:25" ht="27.75" customHeight="1" thickBot="1">
      <c r="A10" s="23"/>
      <c r="B10" s="36" t="s">
        <v>30</v>
      </c>
      <c r="C10" s="36" t="s">
        <v>60</v>
      </c>
      <c r="D10" s="51" t="s">
        <v>51</v>
      </c>
      <c r="E10" s="51" t="s">
        <v>52</v>
      </c>
      <c r="F10" s="51" t="s">
        <v>53</v>
      </c>
      <c r="G10" s="51" t="s">
        <v>54</v>
      </c>
      <c r="H10" s="37"/>
      <c r="I10" s="37"/>
      <c r="J10" s="99"/>
      <c r="K10" s="99"/>
      <c r="L10" s="99"/>
      <c r="M10" s="99"/>
      <c r="N10" s="38" t="s">
        <v>32</v>
      </c>
      <c r="O10" s="39" t="s">
        <v>33</v>
      </c>
      <c r="P10" s="23"/>
      <c r="Q10" s="23"/>
    </row>
    <row r="11" spans="1:25" ht="14.4" thickTop="1">
      <c r="A11" s="23"/>
      <c r="B11" s="53">
        <v>1</v>
      </c>
      <c r="C11" s="58">
        <v>40</v>
      </c>
      <c r="D11" s="59">
        <v>9973.0341796875</v>
      </c>
      <c r="E11" s="59">
        <v>0</v>
      </c>
      <c r="F11" s="59">
        <v>4.4608909636735916E-2</v>
      </c>
      <c r="G11" s="42">
        <v>0</v>
      </c>
      <c r="H11" s="23"/>
      <c r="I11" s="23"/>
      <c r="J11" s="99"/>
      <c r="K11" s="99"/>
      <c r="L11" s="99"/>
      <c r="M11" s="99"/>
      <c r="N11" s="43">
        <f t="shared" ref="N11:N74" si="0">IF($L$4=$C$10,C11,IF(D11="","",B11))</f>
        <v>40</v>
      </c>
      <c r="O11" s="39" t="str">
        <f>B10</f>
        <v>Point#</v>
      </c>
      <c r="P11" s="23"/>
      <c r="Q11" s="23"/>
    </row>
    <row r="12" spans="1:25">
      <c r="A12" s="23"/>
      <c r="B12" s="53">
        <v>2</v>
      </c>
      <c r="C12" s="58">
        <v>42.759998321533203</v>
      </c>
      <c r="D12" s="59">
        <v>9972.630859375</v>
      </c>
      <c r="E12" s="59">
        <v>0</v>
      </c>
      <c r="F12" s="59">
        <v>3.6544639617204666E-2</v>
      </c>
      <c r="G12" s="42">
        <v>0</v>
      </c>
      <c r="H12" s="23"/>
      <c r="I12" s="23"/>
      <c r="J12" s="99"/>
      <c r="K12" s="99"/>
      <c r="L12" s="99"/>
      <c r="M12" s="99"/>
      <c r="N12" s="43">
        <f t="shared" si="0"/>
        <v>42.759998321533203</v>
      </c>
      <c r="O12" s="39" t="str">
        <f>C10</f>
        <v>Frequency</v>
      </c>
      <c r="P12" s="23"/>
      <c r="Q12" s="23"/>
    </row>
    <row r="13" spans="1:25">
      <c r="A13" s="23"/>
      <c r="B13" s="53">
        <v>3</v>
      </c>
      <c r="C13" s="58">
        <v>45.71099853515625</v>
      </c>
      <c r="D13" s="59">
        <v>9972.615234375</v>
      </c>
      <c r="E13" s="59">
        <v>0</v>
      </c>
      <c r="F13" s="59">
        <v>3.2461371272802353E-2</v>
      </c>
      <c r="G13" s="42">
        <v>0</v>
      </c>
      <c r="H13" s="23"/>
      <c r="I13" s="23"/>
      <c r="J13" s="99"/>
      <c r="K13" s="99"/>
      <c r="L13" s="99"/>
      <c r="M13" s="99"/>
      <c r="N13" s="43">
        <f t="shared" si="0"/>
        <v>45.71099853515625</v>
      </c>
      <c r="O13" s="43"/>
      <c r="P13" s="23"/>
      <c r="Q13" s="23"/>
    </row>
    <row r="14" spans="1:25">
      <c r="A14" s="23"/>
      <c r="B14" s="53">
        <v>4</v>
      </c>
      <c r="C14" s="58">
        <v>48.865001678466797</v>
      </c>
      <c r="D14" s="59">
        <v>9972.9267578125</v>
      </c>
      <c r="E14" s="59">
        <v>0</v>
      </c>
      <c r="F14" s="59">
        <v>2.838624082505703E-2</v>
      </c>
      <c r="G14" s="42">
        <v>0</v>
      </c>
      <c r="H14" s="23"/>
      <c r="I14" s="23"/>
      <c r="J14" s="99"/>
      <c r="K14" s="99"/>
      <c r="L14" s="99"/>
      <c r="M14" s="99"/>
      <c r="N14" s="43">
        <f t="shared" si="0"/>
        <v>48.865001678466797</v>
      </c>
      <c r="O14" s="43"/>
      <c r="P14" s="23"/>
      <c r="Q14" s="23"/>
    </row>
    <row r="15" spans="1:25">
      <c r="A15" s="23"/>
      <c r="B15" s="53">
        <v>5</v>
      </c>
      <c r="C15" s="58">
        <v>52.23699951171875</v>
      </c>
      <c r="D15" s="59">
        <v>9971.603515625</v>
      </c>
      <c r="E15" s="59">
        <v>0</v>
      </c>
      <c r="F15" s="59">
        <v>2.9270580038428307E-2</v>
      </c>
      <c r="G15" s="42">
        <v>0</v>
      </c>
      <c r="H15" s="23"/>
      <c r="I15" s="23"/>
      <c r="J15" s="99"/>
      <c r="K15" s="99"/>
      <c r="L15" s="99"/>
      <c r="M15" s="99"/>
      <c r="N15" s="43">
        <f t="shared" si="0"/>
        <v>52.23699951171875</v>
      </c>
      <c r="O15" s="43"/>
      <c r="P15" s="23"/>
      <c r="Q15" s="23"/>
    </row>
    <row r="16" spans="1:25">
      <c r="A16" s="23"/>
      <c r="B16" s="53">
        <v>6</v>
      </c>
      <c r="C16" s="58">
        <v>55.840999603271484</v>
      </c>
      <c r="D16" s="59">
        <v>9973.3251953125</v>
      </c>
      <c r="E16" s="59">
        <v>0</v>
      </c>
      <c r="F16" s="59">
        <v>3.0398590490221977E-2</v>
      </c>
      <c r="G16" s="42">
        <v>0</v>
      </c>
      <c r="H16" s="23"/>
      <c r="I16" s="23"/>
      <c r="J16" s="99"/>
      <c r="K16" s="99"/>
      <c r="L16" s="99"/>
      <c r="M16" s="99"/>
      <c r="N16" s="43">
        <f t="shared" si="0"/>
        <v>55.840999603271484</v>
      </c>
      <c r="O16" s="43"/>
      <c r="P16" s="23"/>
      <c r="Q16" s="23"/>
    </row>
    <row r="17" spans="1:17">
      <c r="A17" s="23"/>
      <c r="B17" s="53">
        <v>7</v>
      </c>
      <c r="C17" s="58">
        <v>59.694999694824219</v>
      </c>
      <c r="D17" s="59">
        <v>9972.2119140625</v>
      </c>
      <c r="E17" s="59">
        <v>0</v>
      </c>
      <c r="F17" s="59">
        <v>2.0828200504183769E-2</v>
      </c>
      <c r="G17" s="42">
        <v>0</v>
      </c>
      <c r="H17" s="23"/>
      <c r="I17" s="23"/>
      <c r="J17" s="99"/>
      <c r="K17" s="99"/>
      <c r="L17" s="99"/>
      <c r="M17" s="99"/>
      <c r="N17" s="43">
        <f t="shared" si="0"/>
        <v>59.694999694824219</v>
      </c>
      <c r="O17" s="43"/>
      <c r="P17" s="23"/>
      <c r="Q17" s="23"/>
    </row>
    <row r="18" spans="1:17">
      <c r="A18" s="23"/>
      <c r="B18" s="53">
        <v>8</v>
      </c>
      <c r="C18" s="58">
        <v>63.813999176025391</v>
      </c>
      <c r="D18" s="59">
        <v>9971.9970703125</v>
      </c>
      <c r="E18" s="59">
        <v>0</v>
      </c>
      <c r="F18" s="59">
        <v>1.9709710031747818E-2</v>
      </c>
      <c r="G18" s="42">
        <v>0</v>
      </c>
      <c r="H18" s="23"/>
      <c r="I18" s="23"/>
      <c r="J18" s="99"/>
      <c r="K18" s="99"/>
      <c r="L18" s="99"/>
      <c r="M18" s="99"/>
      <c r="N18" s="43">
        <f t="shared" si="0"/>
        <v>63.813999176025391</v>
      </c>
      <c r="O18" s="43"/>
      <c r="P18" s="23"/>
      <c r="Q18" s="23"/>
    </row>
    <row r="19" spans="1:17">
      <c r="A19" s="23"/>
      <c r="B19" s="53">
        <v>9</v>
      </c>
      <c r="C19" s="58">
        <v>68.217002868652344</v>
      </c>
      <c r="D19" s="59">
        <v>9973.2451171875</v>
      </c>
      <c r="E19" s="59">
        <v>0</v>
      </c>
      <c r="F19" s="59">
        <v>2.3365659639239311E-2</v>
      </c>
      <c r="G19" s="42">
        <v>0</v>
      </c>
      <c r="H19" s="23"/>
      <c r="I19" s="23"/>
      <c r="J19" s="99"/>
      <c r="K19" s="99"/>
      <c r="L19" s="99"/>
      <c r="M19" s="99"/>
      <c r="N19" s="43">
        <f t="shared" si="0"/>
        <v>68.217002868652344</v>
      </c>
      <c r="O19" s="43"/>
      <c r="P19" s="23"/>
      <c r="Q19" s="23"/>
    </row>
    <row r="20" spans="1:17">
      <c r="A20" s="23"/>
      <c r="B20" s="53">
        <v>10</v>
      </c>
      <c r="C20" s="58">
        <v>72.925003051757813</v>
      </c>
      <c r="D20" s="59">
        <v>9973.1748046875</v>
      </c>
      <c r="E20" s="59">
        <v>0</v>
      </c>
      <c r="F20" s="59">
        <v>2.0630929619073868E-2</v>
      </c>
      <c r="G20" s="42">
        <v>0</v>
      </c>
      <c r="H20" s="23"/>
      <c r="I20" s="23"/>
      <c r="J20" s="99"/>
      <c r="K20" s="99"/>
      <c r="L20" s="99"/>
      <c r="M20" s="99"/>
      <c r="N20" s="43">
        <f t="shared" si="0"/>
        <v>72.925003051757813</v>
      </c>
      <c r="O20" s="43"/>
      <c r="P20" s="23"/>
      <c r="Q20" s="23"/>
    </row>
    <row r="21" spans="1:17">
      <c r="A21" s="23"/>
      <c r="B21" s="53">
        <v>11</v>
      </c>
      <c r="C21" s="58">
        <v>77.957000732421875</v>
      </c>
      <c r="D21" s="59">
        <v>9973.453125</v>
      </c>
      <c r="E21" s="59">
        <v>0</v>
      </c>
      <c r="F21" s="59">
        <v>1.7815370112657547E-2</v>
      </c>
      <c r="G21" s="42">
        <v>0</v>
      </c>
      <c r="H21" s="23"/>
      <c r="I21" s="23"/>
      <c r="J21" s="99"/>
      <c r="K21" s="99"/>
      <c r="L21" s="99"/>
      <c r="M21" s="99"/>
      <c r="N21" s="43">
        <f t="shared" si="0"/>
        <v>77.957000732421875</v>
      </c>
      <c r="O21" s="43"/>
      <c r="P21" s="23"/>
      <c r="Q21" s="23"/>
    </row>
    <row r="22" spans="1:17">
      <c r="A22" s="23"/>
      <c r="B22" s="53">
        <v>12</v>
      </c>
      <c r="C22" s="58">
        <v>83.33599853515625</v>
      </c>
      <c r="D22" s="59">
        <v>9973.728515625</v>
      </c>
      <c r="E22" s="59">
        <v>0</v>
      </c>
      <c r="F22" s="59">
        <v>1.2124549597501755E-2</v>
      </c>
      <c r="G22" s="42">
        <v>0</v>
      </c>
      <c r="H22" s="23"/>
      <c r="I22" s="23"/>
      <c r="J22" s="99"/>
      <c r="K22" s="99"/>
      <c r="L22" s="99"/>
      <c r="M22" s="99"/>
      <c r="N22" s="43">
        <f t="shared" si="0"/>
        <v>83.33599853515625</v>
      </c>
      <c r="O22" s="43"/>
      <c r="P22" s="23"/>
      <c r="Q22" s="23"/>
    </row>
    <row r="23" spans="1:17">
      <c r="A23" s="23"/>
      <c r="B23" s="53">
        <v>13</v>
      </c>
      <c r="C23" s="58">
        <v>89.086997985839844</v>
      </c>
      <c r="D23" s="59">
        <v>9973.51953125</v>
      </c>
      <c r="E23" s="59">
        <v>0</v>
      </c>
      <c r="F23" s="59">
        <v>1.5771800652146339E-2</v>
      </c>
      <c r="G23" s="42">
        <v>0</v>
      </c>
      <c r="H23" s="23"/>
      <c r="I23" s="23"/>
      <c r="J23" s="99"/>
      <c r="K23" s="99"/>
      <c r="L23" s="99"/>
      <c r="M23" s="99"/>
      <c r="N23" s="43">
        <f t="shared" si="0"/>
        <v>89.086997985839844</v>
      </c>
      <c r="O23" s="43"/>
      <c r="P23" s="23"/>
      <c r="Q23" s="23"/>
    </row>
    <row r="24" spans="1:17">
      <c r="A24" s="23"/>
      <c r="B24" s="53">
        <v>14</v>
      </c>
      <c r="C24" s="58">
        <v>95.234001159667969</v>
      </c>
      <c r="D24" s="59">
        <v>9973.798828125</v>
      </c>
      <c r="E24" s="59">
        <v>0</v>
      </c>
      <c r="F24" s="59">
        <v>1.4722820371389389E-2</v>
      </c>
      <c r="G24" s="42">
        <v>0</v>
      </c>
      <c r="H24" s="23"/>
      <c r="I24" s="23"/>
      <c r="J24" s="99"/>
      <c r="K24" s="99"/>
      <c r="L24" s="99"/>
      <c r="M24" s="99"/>
      <c r="N24" s="43">
        <f t="shared" si="0"/>
        <v>95.234001159667969</v>
      </c>
      <c r="O24" s="43"/>
      <c r="P24" s="23"/>
      <c r="Q24" s="23"/>
    </row>
    <row r="25" spans="1:17">
      <c r="A25" s="23"/>
      <c r="B25" s="53">
        <v>15</v>
      </c>
      <c r="C25" s="58">
        <v>101.80599975585938</v>
      </c>
      <c r="D25" s="59">
        <v>9973.912109375</v>
      </c>
      <c r="E25" s="59">
        <v>0</v>
      </c>
      <c r="F25" s="59">
        <v>1.356262993067503E-2</v>
      </c>
      <c r="G25" s="42">
        <v>0</v>
      </c>
      <c r="H25" s="23"/>
      <c r="I25" s="23"/>
      <c r="J25" s="99"/>
      <c r="K25" s="99"/>
      <c r="L25" s="99"/>
      <c r="M25" s="99"/>
      <c r="N25" s="43">
        <f t="shared" si="0"/>
        <v>101.80599975585938</v>
      </c>
      <c r="O25" s="43"/>
      <c r="P25" s="23"/>
      <c r="Q25" s="23"/>
    </row>
    <row r="26" spans="1:17">
      <c r="A26" s="23"/>
      <c r="B26" s="53">
        <v>16</v>
      </c>
      <c r="C26" s="58">
        <v>108.83100128173828</v>
      </c>
      <c r="D26" s="59">
        <v>9973.94921875</v>
      </c>
      <c r="E26" s="59">
        <v>0</v>
      </c>
      <c r="F26" s="59">
        <v>1.6864530742168427E-2</v>
      </c>
      <c r="G26" s="42">
        <v>0</v>
      </c>
      <c r="H26" s="23"/>
      <c r="I26" s="23"/>
      <c r="J26" s="99"/>
      <c r="K26" s="99"/>
      <c r="L26" s="99"/>
      <c r="M26" s="99"/>
      <c r="N26" s="43">
        <f t="shared" si="0"/>
        <v>108.83100128173828</v>
      </c>
      <c r="O26" s="43"/>
      <c r="P26" s="23"/>
      <c r="Q26" s="23"/>
    </row>
    <row r="27" spans="1:17">
      <c r="A27" s="23"/>
      <c r="B27" s="53">
        <v>17</v>
      </c>
      <c r="C27" s="58">
        <v>116.33999633789063</v>
      </c>
      <c r="D27" s="59">
        <v>9973.669921875</v>
      </c>
      <c r="E27" s="59">
        <v>0</v>
      </c>
      <c r="F27" s="59">
        <v>1.3701099902391434E-2</v>
      </c>
      <c r="G27" s="42">
        <v>0</v>
      </c>
      <c r="H27" s="23"/>
      <c r="I27" s="23"/>
      <c r="J27" s="99"/>
      <c r="K27" s="99"/>
      <c r="L27" s="99"/>
      <c r="M27" s="99"/>
      <c r="N27" s="43">
        <f t="shared" si="0"/>
        <v>116.33999633789063</v>
      </c>
      <c r="O27" s="43"/>
      <c r="P27" s="23"/>
      <c r="Q27" s="23"/>
    </row>
    <row r="28" spans="1:17">
      <c r="A28" s="23"/>
      <c r="B28" s="53">
        <v>18</v>
      </c>
      <c r="C28" s="58">
        <v>124.36799621582031</v>
      </c>
      <c r="D28" s="59">
        <v>9974.265625</v>
      </c>
      <c r="E28" s="59">
        <v>0</v>
      </c>
      <c r="F28" s="59">
        <v>1.4290880411863327E-2</v>
      </c>
      <c r="G28" s="42">
        <v>0</v>
      </c>
      <c r="H28" s="23"/>
      <c r="I28" s="23"/>
      <c r="J28" s="99"/>
      <c r="K28" s="99"/>
      <c r="L28" s="99"/>
      <c r="M28" s="99"/>
      <c r="N28" s="43">
        <f t="shared" si="0"/>
        <v>124.36799621582031</v>
      </c>
      <c r="O28" s="43"/>
      <c r="P28" s="23"/>
      <c r="Q28" s="23"/>
    </row>
    <row r="29" spans="1:17">
      <c r="A29" s="23"/>
      <c r="B29" s="53">
        <v>19</v>
      </c>
      <c r="C29" s="58">
        <v>132.94999694824219</v>
      </c>
      <c r="D29" s="59">
        <v>9973.470703125</v>
      </c>
      <c r="E29" s="59">
        <v>0</v>
      </c>
      <c r="F29" s="59">
        <v>1.2498320080339909E-2</v>
      </c>
      <c r="G29" s="42">
        <v>0</v>
      </c>
      <c r="H29" s="23"/>
      <c r="I29" s="23"/>
      <c r="J29" s="99"/>
      <c r="K29" s="99"/>
      <c r="L29" s="99"/>
      <c r="M29" s="99"/>
      <c r="N29" s="43">
        <f t="shared" si="0"/>
        <v>132.94999694824219</v>
      </c>
      <c r="O29" s="43"/>
      <c r="P29" s="23"/>
      <c r="Q29" s="23"/>
    </row>
    <row r="30" spans="1:17">
      <c r="A30" s="23"/>
      <c r="B30" s="53">
        <v>20</v>
      </c>
      <c r="C30" s="58">
        <v>142.12399291992188</v>
      </c>
      <c r="D30" s="59">
        <v>9973.259765625</v>
      </c>
      <c r="E30" s="59">
        <v>0</v>
      </c>
      <c r="F30" s="59">
        <v>1.3924890197813511E-2</v>
      </c>
      <c r="G30" s="42">
        <v>0</v>
      </c>
      <c r="H30" s="23"/>
      <c r="I30" s="23"/>
      <c r="J30" s="99"/>
      <c r="K30" s="99"/>
      <c r="L30" s="99"/>
      <c r="M30" s="99"/>
      <c r="N30" s="43">
        <f t="shared" si="0"/>
        <v>142.12399291992188</v>
      </c>
      <c r="O30" s="43"/>
      <c r="P30" s="23"/>
      <c r="Q30" s="23"/>
    </row>
    <row r="31" spans="1:17">
      <c r="A31" s="23"/>
      <c r="B31" s="53">
        <v>21</v>
      </c>
      <c r="C31" s="58">
        <v>151.9320068359375</v>
      </c>
      <c r="D31" s="59">
        <v>9973.265625</v>
      </c>
      <c r="E31" s="59">
        <v>0</v>
      </c>
      <c r="F31" s="59">
        <v>7.9482384026050568E-3</v>
      </c>
      <c r="G31" s="42">
        <v>0</v>
      </c>
      <c r="H31" s="23"/>
      <c r="I31" s="23"/>
      <c r="J31" s="99"/>
      <c r="K31" s="99"/>
      <c r="L31" s="99"/>
      <c r="M31" s="99"/>
      <c r="N31" s="43">
        <f t="shared" si="0"/>
        <v>151.9320068359375</v>
      </c>
      <c r="O31" s="43"/>
      <c r="P31" s="23"/>
      <c r="Q31" s="23"/>
    </row>
    <row r="32" spans="1:17">
      <c r="A32" s="23"/>
      <c r="B32" s="53">
        <v>22</v>
      </c>
      <c r="C32" s="58">
        <v>162.41499328613281</v>
      </c>
      <c r="D32" s="59">
        <v>9973.75</v>
      </c>
      <c r="E32" s="59">
        <v>0</v>
      </c>
      <c r="F32" s="59">
        <v>5.4803448729217052E-3</v>
      </c>
      <c r="G32" s="42">
        <v>0</v>
      </c>
      <c r="H32" s="23"/>
      <c r="I32" s="23"/>
      <c r="J32" s="99"/>
      <c r="K32" s="99"/>
      <c r="L32" s="99"/>
      <c r="M32" s="99"/>
      <c r="N32" s="43">
        <f t="shared" si="0"/>
        <v>162.41499328613281</v>
      </c>
      <c r="O32" s="43"/>
      <c r="P32" s="23"/>
      <c r="Q32" s="23"/>
    </row>
    <row r="33" spans="1:17">
      <c r="A33" s="23"/>
      <c r="B33" s="53">
        <v>23</v>
      </c>
      <c r="C33" s="58">
        <v>173.62300109863281</v>
      </c>
      <c r="D33" s="59">
        <v>9973.76953125</v>
      </c>
      <c r="E33" s="59">
        <v>0</v>
      </c>
      <c r="F33" s="59">
        <v>6.3982591964304447E-3</v>
      </c>
      <c r="G33" s="42">
        <v>0</v>
      </c>
      <c r="H33" s="23"/>
      <c r="I33" s="23"/>
      <c r="J33" s="99"/>
      <c r="K33" s="99"/>
      <c r="L33" s="99"/>
      <c r="M33" s="99"/>
      <c r="N33" s="43">
        <f t="shared" si="0"/>
        <v>173.62300109863281</v>
      </c>
      <c r="O33" s="43"/>
      <c r="P33" s="23"/>
      <c r="Q33" s="23"/>
    </row>
    <row r="34" spans="1:17">
      <c r="A34" s="23"/>
      <c r="B34" s="53">
        <v>24</v>
      </c>
      <c r="C34" s="58">
        <v>185.60400390625</v>
      </c>
      <c r="D34" s="59">
        <v>9973.482421875</v>
      </c>
      <c r="E34" s="59">
        <v>0</v>
      </c>
      <c r="F34" s="59">
        <v>9.4109959900379181E-3</v>
      </c>
      <c r="G34" s="42">
        <v>0</v>
      </c>
      <c r="H34" s="23"/>
      <c r="I34" s="23"/>
      <c r="J34" s="99"/>
      <c r="K34" s="99"/>
      <c r="L34" s="99"/>
      <c r="M34" s="99"/>
      <c r="N34" s="43">
        <f t="shared" si="0"/>
        <v>185.60400390625</v>
      </c>
      <c r="O34" s="43"/>
      <c r="P34" s="23"/>
      <c r="Q34" s="23"/>
    </row>
    <row r="35" spans="1:17">
      <c r="A35" s="23"/>
      <c r="B35" s="53">
        <v>25</v>
      </c>
      <c r="C35" s="58">
        <v>198.41099548339844</v>
      </c>
      <c r="D35" s="59">
        <v>9973.8984375</v>
      </c>
      <c r="E35" s="59">
        <v>0</v>
      </c>
      <c r="F35" s="59">
        <v>1.3697669841349125E-2</v>
      </c>
      <c r="G35" s="42">
        <v>0</v>
      </c>
      <c r="H35" s="23"/>
      <c r="I35" s="23"/>
      <c r="J35" s="99"/>
      <c r="K35" s="99"/>
      <c r="L35" s="99"/>
      <c r="M35" s="99"/>
      <c r="N35" s="43">
        <f t="shared" si="0"/>
        <v>198.41099548339844</v>
      </c>
      <c r="O35" s="43"/>
      <c r="P35" s="23"/>
      <c r="Q35" s="23"/>
    </row>
    <row r="36" spans="1:17">
      <c r="A36" s="23"/>
      <c r="B36" s="53">
        <v>26</v>
      </c>
      <c r="C36" s="58">
        <v>212.10200500488281</v>
      </c>
      <c r="D36" s="59">
        <v>9974.271484375</v>
      </c>
      <c r="E36" s="59">
        <v>0</v>
      </c>
      <c r="F36" s="59">
        <v>5.9600640088319778E-3</v>
      </c>
      <c r="G36" s="42">
        <v>0</v>
      </c>
      <c r="H36" s="23"/>
      <c r="I36" s="23"/>
      <c r="J36" s="99"/>
      <c r="K36" s="99"/>
      <c r="L36" s="99"/>
      <c r="M36" s="99"/>
      <c r="N36" s="43">
        <f t="shared" si="0"/>
        <v>212.10200500488281</v>
      </c>
      <c r="O36" s="43"/>
      <c r="P36" s="23"/>
      <c r="Q36" s="23"/>
    </row>
    <row r="37" spans="1:17">
      <c r="A37" s="23"/>
      <c r="B37" s="53">
        <v>27</v>
      </c>
      <c r="C37" s="58">
        <v>226.73800659179688</v>
      </c>
      <c r="D37" s="59">
        <v>9974.357421875</v>
      </c>
      <c r="E37" s="59">
        <v>0</v>
      </c>
      <c r="F37" s="59">
        <v>4.0939999744296074E-3</v>
      </c>
      <c r="G37" s="42">
        <v>0</v>
      </c>
      <c r="H37" s="23"/>
      <c r="I37" s="23"/>
      <c r="J37" s="99"/>
      <c r="K37" s="99"/>
      <c r="L37" s="99"/>
      <c r="M37" s="99"/>
      <c r="N37" s="43">
        <f t="shared" si="0"/>
        <v>226.73800659179688</v>
      </c>
      <c r="O37" s="43"/>
      <c r="P37" s="23"/>
      <c r="Q37" s="23"/>
    </row>
    <row r="38" spans="1:17">
      <c r="A38" s="23"/>
      <c r="B38" s="53">
        <v>28</v>
      </c>
      <c r="C38" s="58">
        <v>242.38400268554688</v>
      </c>
      <c r="D38" s="59">
        <v>9974.2578125</v>
      </c>
      <c r="E38" s="59">
        <v>0</v>
      </c>
      <c r="F38" s="59">
        <v>7.0068738423287868E-3</v>
      </c>
      <c r="G38" s="42">
        <v>0</v>
      </c>
      <c r="H38" s="23"/>
      <c r="I38" s="23"/>
      <c r="J38" s="99"/>
      <c r="K38" s="99"/>
      <c r="L38" s="99"/>
      <c r="M38" s="99"/>
      <c r="N38" s="43">
        <f t="shared" si="0"/>
        <v>242.38400268554688</v>
      </c>
      <c r="O38" s="43"/>
      <c r="P38" s="23"/>
      <c r="Q38" s="23"/>
    </row>
    <row r="39" spans="1:17">
      <c r="A39" s="23"/>
      <c r="B39" s="53">
        <v>29</v>
      </c>
      <c r="C39" s="58">
        <v>259.1090087890625</v>
      </c>
      <c r="D39" s="59">
        <v>9973.9384765625</v>
      </c>
      <c r="E39" s="59">
        <v>0</v>
      </c>
      <c r="F39" s="59">
        <v>4.8661730252206326E-3</v>
      </c>
      <c r="G39" s="42">
        <v>0</v>
      </c>
      <c r="H39" s="23"/>
      <c r="I39" s="23"/>
      <c r="J39" s="99"/>
      <c r="K39" s="99"/>
      <c r="L39" s="99"/>
      <c r="M39" s="99"/>
      <c r="N39" s="43">
        <f t="shared" si="0"/>
        <v>259.1090087890625</v>
      </c>
      <c r="O39" s="43"/>
      <c r="P39" s="23"/>
      <c r="Q39" s="23"/>
    </row>
    <row r="40" spans="1:17">
      <c r="A40" s="23"/>
      <c r="B40" s="53">
        <v>30</v>
      </c>
      <c r="C40" s="58">
        <v>276.989013671875</v>
      </c>
      <c r="D40" s="59">
        <v>9973.107421875</v>
      </c>
      <c r="E40" s="59">
        <v>0</v>
      </c>
      <c r="F40" s="59">
        <v>5.3368601948022842E-3</v>
      </c>
      <c r="G40" s="42">
        <v>0</v>
      </c>
      <c r="H40" s="23"/>
      <c r="I40" s="23"/>
      <c r="J40" s="99"/>
      <c r="K40" s="99"/>
      <c r="L40" s="99"/>
      <c r="M40" s="99"/>
      <c r="N40" s="43">
        <f t="shared" si="0"/>
        <v>276.989013671875</v>
      </c>
      <c r="O40" s="43"/>
      <c r="P40" s="23"/>
      <c r="Q40" s="23"/>
    </row>
    <row r="41" spans="1:17">
      <c r="A41" s="23"/>
      <c r="B41" s="53">
        <v>31</v>
      </c>
      <c r="C41" s="58">
        <v>296.10198974609375</v>
      </c>
      <c r="D41" s="59">
        <v>9973.50390625</v>
      </c>
      <c r="E41" s="59">
        <v>0</v>
      </c>
      <c r="F41" s="59">
        <v>1.0782060213387012E-2</v>
      </c>
      <c r="G41" s="42">
        <v>0</v>
      </c>
      <c r="H41" s="23"/>
      <c r="I41" s="23"/>
      <c r="J41" s="99"/>
      <c r="K41" s="99"/>
      <c r="L41" s="99"/>
      <c r="M41" s="99"/>
      <c r="N41" s="43">
        <f t="shared" si="0"/>
        <v>296.10198974609375</v>
      </c>
      <c r="O41" s="43"/>
      <c r="P41" s="23"/>
      <c r="Q41" s="23"/>
    </row>
    <row r="42" spans="1:17">
      <c r="A42" s="23"/>
      <c r="B42" s="53">
        <v>32</v>
      </c>
      <c r="C42" s="58">
        <v>316.53500366210938</v>
      </c>
      <c r="D42" s="59">
        <v>9974.689453125</v>
      </c>
      <c r="E42" s="59">
        <v>0</v>
      </c>
      <c r="F42" s="59">
        <v>7.5334631837904453E-3</v>
      </c>
      <c r="G42" s="42">
        <v>0</v>
      </c>
      <c r="H42" s="23"/>
      <c r="I42" s="23"/>
      <c r="J42" s="99"/>
      <c r="K42" s="99"/>
      <c r="L42" s="99"/>
      <c r="M42" s="99"/>
      <c r="N42" s="43">
        <f t="shared" si="0"/>
        <v>316.53500366210938</v>
      </c>
      <c r="O42" s="43"/>
      <c r="P42" s="23"/>
      <c r="Q42" s="23"/>
    </row>
    <row r="43" spans="1:17">
      <c r="A43" s="23"/>
      <c r="B43" s="53">
        <v>33</v>
      </c>
      <c r="C43" s="58">
        <v>338.37701416015625</v>
      </c>
      <c r="D43" s="59">
        <v>9973.845703125</v>
      </c>
      <c r="E43" s="59">
        <v>0</v>
      </c>
      <c r="F43" s="59">
        <v>7.3677119798958302E-3</v>
      </c>
      <c r="G43" s="42">
        <v>0</v>
      </c>
      <c r="H43" s="23"/>
      <c r="I43" s="23"/>
      <c r="J43" s="99"/>
      <c r="K43" s="99"/>
      <c r="L43" s="99"/>
      <c r="M43" s="99"/>
      <c r="N43" s="43">
        <f t="shared" si="0"/>
        <v>338.37701416015625</v>
      </c>
      <c r="O43" s="43"/>
      <c r="P43" s="23"/>
      <c r="Q43" s="23"/>
    </row>
    <row r="44" spans="1:17">
      <c r="A44" s="23"/>
      <c r="B44" s="53">
        <v>34</v>
      </c>
      <c r="C44" s="58">
        <v>361.72601318359375</v>
      </c>
      <c r="D44" s="59">
        <v>9973.41796875</v>
      </c>
      <c r="E44" s="59">
        <v>0</v>
      </c>
      <c r="F44" s="59">
        <v>8.5104657337069511E-3</v>
      </c>
      <c r="G44" s="42">
        <v>0</v>
      </c>
      <c r="H44" s="23"/>
      <c r="I44" s="23"/>
      <c r="J44" s="99"/>
      <c r="K44" s="99"/>
      <c r="L44" s="99"/>
      <c r="M44" s="99"/>
      <c r="N44" s="43">
        <f t="shared" si="0"/>
        <v>361.72601318359375</v>
      </c>
      <c r="O44" s="43"/>
      <c r="P44" s="23"/>
      <c r="Q44" s="23"/>
    </row>
    <row r="45" spans="1:17">
      <c r="A45" s="23"/>
      <c r="B45" s="53">
        <v>35</v>
      </c>
      <c r="C45" s="58">
        <v>386.68701171875</v>
      </c>
      <c r="D45" s="59">
        <v>9972.970703125</v>
      </c>
      <c r="E45" s="59">
        <v>0</v>
      </c>
      <c r="F45" s="59">
        <v>2.815410029143095E-3</v>
      </c>
      <c r="G45" s="42">
        <v>0</v>
      </c>
      <c r="H45" s="23"/>
      <c r="I45" s="23"/>
      <c r="J45" s="99"/>
      <c r="K45" s="99"/>
      <c r="L45" s="99"/>
      <c r="M45" s="99"/>
      <c r="N45" s="43">
        <f t="shared" si="0"/>
        <v>386.68701171875</v>
      </c>
      <c r="O45" s="43"/>
      <c r="P45" s="23"/>
      <c r="Q45" s="23"/>
    </row>
    <row r="46" spans="1:17">
      <c r="A46" s="23"/>
      <c r="B46" s="53">
        <v>36</v>
      </c>
      <c r="C46" s="58">
        <v>413.3699951171875</v>
      </c>
      <c r="D46" s="59">
        <v>9973.234375</v>
      </c>
      <c r="E46" s="59">
        <v>0</v>
      </c>
      <c r="F46" s="59">
        <v>-5.9848657110705972E-4</v>
      </c>
      <c r="G46" s="42">
        <v>0</v>
      </c>
      <c r="H46" s="23"/>
      <c r="I46" s="23"/>
      <c r="J46" s="99"/>
      <c r="K46" s="99"/>
      <c r="L46" s="99"/>
      <c r="M46" s="99"/>
      <c r="N46" s="43">
        <f t="shared" si="0"/>
        <v>413.3699951171875</v>
      </c>
      <c r="O46" s="43"/>
      <c r="P46" s="23"/>
      <c r="Q46" s="23"/>
    </row>
    <row r="47" spans="1:17">
      <c r="A47" s="23"/>
      <c r="B47" s="53">
        <v>37</v>
      </c>
      <c r="C47" s="58">
        <v>441.89401245117188</v>
      </c>
      <c r="D47" s="59">
        <v>9973.1171875</v>
      </c>
      <c r="E47" s="59">
        <v>0</v>
      </c>
      <c r="F47" s="59">
        <v>-3.6321408697403967E-4</v>
      </c>
      <c r="G47" s="42">
        <v>0</v>
      </c>
      <c r="H47" s="23"/>
      <c r="I47" s="23"/>
      <c r="J47" s="99"/>
      <c r="K47" s="99"/>
      <c r="L47" s="99"/>
      <c r="M47" s="99"/>
      <c r="N47" s="43">
        <f t="shared" si="0"/>
        <v>441.89401245117188</v>
      </c>
      <c r="O47" s="43"/>
      <c r="P47" s="23"/>
      <c r="Q47" s="23"/>
    </row>
    <row r="48" spans="1:17">
      <c r="A48" s="23"/>
      <c r="B48" s="53">
        <v>38</v>
      </c>
      <c r="C48" s="58">
        <v>472.38699340820313</v>
      </c>
      <c r="D48" s="59">
        <v>9972.6796875</v>
      </c>
      <c r="E48" s="59">
        <v>0</v>
      </c>
      <c r="F48" s="59">
        <v>4.8816991038620472E-3</v>
      </c>
      <c r="G48" s="42">
        <v>0</v>
      </c>
      <c r="H48" s="23"/>
      <c r="I48" s="23"/>
      <c r="J48" s="99"/>
      <c r="K48" s="99"/>
      <c r="L48" s="99"/>
      <c r="M48" s="99"/>
      <c r="N48" s="43">
        <f t="shared" si="0"/>
        <v>472.38699340820313</v>
      </c>
      <c r="O48" s="43"/>
      <c r="P48" s="23"/>
      <c r="Q48" s="23"/>
    </row>
    <row r="49" spans="1:17">
      <c r="A49" s="23"/>
      <c r="B49" s="53">
        <v>39</v>
      </c>
      <c r="C49" s="58">
        <v>504.9840087890625</v>
      </c>
      <c r="D49" s="59">
        <v>9972.61328125</v>
      </c>
      <c r="E49" s="59">
        <v>0</v>
      </c>
      <c r="F49" s="59">
        <v>1.2294540647417307E-4</v>
      </c>
      <c r="G49" s="42">
        <v>0</v>
      </c>
      <c r="H49" s="23"/>
      <c r="I49" s="23"/>
      <c r="J49" s="99"/>
      <c r="K49" s="99"/>
      <c r="L49" s="99"/>
      <c r="M49" s="99"/>
      <c r="N49" s="43">
        <f t="shared" si="0"/>
        <v>504.9840087890625</v>
      </c>
      <c r="O49" s="43"/>
      <c r="P49" s="23"/>
      <c r="Q49" s="23"/>
    </row>
    <row r="50" spans="1:17">
      <c r="A50" s="23"/>
      <c r="B50" s="53">
        <v>40</v>
      </c>
      <c r="C50" s="58">
        <v>539.8289794921875</v>
      </c>
      <c r="D50" s="59">
        <v>9973.05078125</v>
      </c>
      <c r="E50" s="59">
        <v>0</v>
      </c>
      <c r="F50" s="59">
        <v>-3.2855020835995674E-3</v>
      </c>
      <c r="G50" s="42">
        <v>0</v>
      </c>
      <c r="H50" s="23"/>
      <c r="I50" s="23"/>
      <c r="J50" s="99"/>
      <c r="K50" s="99"/>
      <c r="L50" s="99"/>
      <c r="M50" s="99"/>
      <c r="N50" s="43">
        <f t="shared" si="0"/>
        <v>539.8289794921875</v>
      </c>
      <c r="O50" s="43"/>
      <c r="P50" s="23"/>
      <c r="Q50" s="23"/>
    </row>
    <row r="51" spans="1:17">
      <c r="A51" s="23"/>
      <c r="B51" s="53">
        <v>41</v>
      </c>
      <c r="C51" s="58">
        <v>577.08001708984375</v>
      </c>
      <c r="D51" s="59">
        <v>9972.7109375</v>
      </c>
      <c r="E51" s="59">
        <v>0</v>
      </c>
      <c r="F51" s="59">
        <v>7.6968991197645664E-4</v>
      </c>
      <c r="G51" s="42">
        <v>0</v>
      </c>
      <c r="H51" s="23"/>
      <c r="I51" s="23"/>
      <c r="J51" s="99"/>
      <c r="K51" s="99"/>
      <c r="L51" s="99"/>
      <c r="M51" s="99"/>
      <c r="N51" s="43">
        <f t="shared" si="0"/>
        <v>577.08001708984375</v>
      </c>
      <c r="O51" s="43"/>
      <c r="P51" s="23"/>
      <c r="Q51" s="23"/>
    </row>
    <row r="52" spans="1:17">
      <c r="A52" s="23"/>
      <c r="B52" s="53">
        <v>42</v>
      </c>
      <c r="C52" s="58">
        <v>616.9010009765625</v>
      </c>
      <c r="D52" s="59">
        <v>9974.009765625</v>
      </c>
      <c r="E52" s="59">
        <v>0</v>
      </c>
      <c r="F52" s="59">
        <v>9.712994797155261E-4</v>
      </c>
      <c r="G52" s="42">
        <v>0</v>
      </c>
      <c r="H52" s="23"/>
      <c r="I52" s="23"/>
      <c r="J52" s="99"/>
      <c r="K52" s="99"/>
      <c r="L52" s="99"/>
      <c r="M52" s="99"/>
      <c r="N52" s="43">
        <f t="shared" si="0"/>
        <v>616.9010009765625</v>
      </c>
      <c r="O52" s="43"/>
      <c r="P52" s="23"/>
      <c r="Q52" s="23"/>
    </row>
    <row r="53" spans="1:17">
      <c r="A53" s="23"/>
      <c r="B53" s="53">
        <v>43</v>
      </c>
      <c r="C53" s="58">
        <v>659.469970703125</v>
      </c>
      <c r="D53" s="59">
        <v>9973.939453125</v>
      </c>
      <c r="E53" s="59">
        <v>0</v>
      </c>
      <c r="F53" s="59">
        <v>-3.8684739265590906E-3</v>
      </c>
      <c r="G53" s="42">
        <v>0</v>
      </c>
      <c r="H53" s="23"/>
      <c r="I53" s="23"/>
      <c r="J53" s="99"/>
      <c r="K53" s="99"/>
      <c r="L53" s="99"/>
      <c r="M53" s="99"/>
      <c r="N53" s="43">
        <f t="shared" si="0"/>
        <v>659.469970703125</v>
      </c>
      <c r="O53" s="43"/>
      <c r="P53" s="23"/>
      <c r="Q53" s="23"/>
    </row>
    <row r="54" spans="1:17">
      <c r="A54" s="23"/>
      <c r="B54" s="53">
        <v>44</v>
      </c>
      <c r="C54" s="58">
        <v>704.97601318359375</v>
      </c>
      <c r="D54" s="59">
        <v>9974.611328125</v>
      </c>
      <c r="E54" s="59">
        <v>0</v>
      </c>
      <c r="F54" s="59">
        <v>-1.0590390302240849E-2</v>
      </c>
      <c r="G54" s="42">
        <v>0</v>
      </c>
      <c r="H54" s="23"/>
      <c r="I54" s="23"/>
      <c r="J54" s="99"/>
      <c r="K54" s="99"/>
      <c r="L54" s="99"/>
      <c r="M54" s="99"/>
      <c r="N54" s="43">
        <f t="shared" si="0"/>
        <v>704.97601318359375</v>
      </c>
      <c r="O54" s="43"/>
      <c r="P54" s="23"/>
      <c r="Q54" s="23"/>
    </row>
    <row r="55" spans="1:17">
      <c r="A55" s="23"/>
      <c r="B55" s="53">
        <v>45</v>
      </c>
      <c r="C55" s="58">
        <v>753.62200927734375</v>
      </c>
      <c r="D55" s="59">
        <v>9974.138671875</v>
      </c>
      <c r="E55" s="59">
        <v>0</v>
      </c>
      <c r="F55" s="59">
        <v>-7.0076668635010719E-3</v>
      </c>
      <c r="G55" s="42">
        <v>0</v>
      </c>
      <c r="H55" s="23"/>
      <c r="I55" s="23"/>
      <c r="J55" s="99"/>
      <c r="K55" s="99"/>
      <c r="L55" s="99"/>
      <c r="M55" s="99"/>
      <c r="N55" s="43">
        <f t="shared" si="0"/>
        <v>753.62200927734375</v>
      </c>
      <c r="O55" s="43"/>
      <c r="P55" s="23"/>
      <c r="Q55" s="23"/>
    </row>
    <row r="56" spans="1:17">
      <c r="A56" s="23"/>
      <c r="B56" s="53">
        <v>46</v>
      </c>
      <c r="C56" s="58">
        <v>805.625</v>
      </c>
      <c r="D56" s="59">
        <v>9974.73046875</v>
      </c>
      <c r="E56" s="59">
        <v>0</v>
      </c>
      <c r="F56" s="59">
        <v>-8.4355054423213005E-3</v>
      </c>
      <c r="G56" s="42">
        <v>0</v>
      </c>
      <c r="H56" s="23"/>
      <c r="I56" s="23"/>
      <c r="J56" s="99"/>
      <c r="K56" s="99"/>
      <c r="L56" s="99"/>
      <c r="M56" s="99"/>
      <c r="N56" s="43">
        <f t="shared" si="0"/>
        <v>805.625</v>
      </c>
      <c r="O56" s="43"/>
      <c r="P56" s="23"/>
      <c r="Q56" s="23"/>
    </row>
    <row r="57" spans="1:17">
      <c r="A57" s="23"/>
      <c r="B57" s="53">
        <v>47</v>
      </c>
      <c r="C57" s="58">
        <v>861.21697998046875</v>
      </c>
      <c r="D57" s="59">
        <v>9973.646484375</v>
      </c>
      <c r="E57" s="59">
        <v>0</v>
      </c>
      <c r="F57" s="59">
        <v>-1.0028339922428131E-2</v>
      </c>
      <c r="G57" s="42">
        <v>0</v>
      </c>
      <c r="H57" s="23"/>
      <c r="I57" s="23"/>
      <c r="J57" s="99"/>
      <c r="K57" s="99"/>
      <c r="L57" s="99"/>
      <c r="M57" s="99"/>
      <c r="N57" s="43">
        <f t="shared" si="0"/>
        <v>861.21697998046875</v>
      </c>
      <c r="O57" s="43"/>
      <c r="P57" s="23"/>
      <c r="Q57" s="23"/>
    </row>
    <row r="58" spans="1:17">
      <c r="A58" s="23"/>
      <c r="B58" s="53">
        <v>48</v>
      </c>
      <c r="C58" s="58">
        <v>920.64398193359375</v>
      </c>
      <c r="D58" s="59">
        <v>9973.109375</v>
      </c>
      <c r="E58" s="59">
        <v>0</v>
      </c>
      <c r="F58" s="59">
        <v>1.6238220036029816E-2</v>
      </c>
      <c r="G58" s="42">
        <v>0</v>
      </c>
      <c r="H58" s="23"/>
      <c r="I58" s="23"/>
      <c r="J58" s="99"/>
      <c r="K58" s="99"/>
      <c r="L58" s="99"/>
      <c r="M58" s="99"/>
      <c r="N58" s="43">
        <f t="shared" si="0"/>
        <v>920.64398193359375</v>
      </c>
      <c r="O58" s="43"/>
      <c r="P58" s="23"/>
      <c r="Q58" s="23"/>
    </row>
    <row r="59" spans="1:17">
      <c r="A59" s="23"/>
      <c r="B59" s="53">
        <v>49</v>
      </c>
      <c r="C59" s="58">
        <v>984.1719970703125</v>
      </c>
      <c r="D59" s="59">
        <v>9972.923828125</v>
      </c>
      <c r="E59" s="59">
        <v>0</v>
      </c>
      <c r="F59" s="59">
        <v>1.166508998721838E-2</v>
      </c>
      <c r="G59" s="42">
        <v>0</v>
      </c>
      <c r="H59" s="23"/>
      <c r="I59" s="23"/>
      <c r="J59" s="99"/>
      <c r="K59" s="99"/>
      <c r="L59" s="99"/>
      <c r="M59" s="99"/>
      <c r="N59" s="43">
        <f t="shared" si="0"/>
        <v>984.1719970703125</v>
      </c>
      <c r="O59" s="43"/>
      <c r="P59" s="23"/>
      <c r="Q59" s="23"/>
    </row>
    <row r="60" spans="1:17">
      <c r="A60" s="23"/>
      <c r="B60" s="53">
        <v>50</v>
      </c>
      <c r="C60" s="58">
        <v>1052.083984375</v>
      </c>
      <c r="D60" s="59">
        <v>9972.90234375</v>
      </c>
      <c r="E60" s="59">
        <v>0</v>
      </c>
      <c r="F60" s="59">
        <v>8.6089922115206718E-3</v>
      </c>
      <c r="G60" s="42">
        <v>0</v>
      </c>
      <c r="H60" s="23"/>
      <c r="I60" s="23"/>
      <c r="J60" s="99"/>
      <c r="K60" s="99"/>
      <c r="L60" s="99"/>
      <c r="M60" s="99"/>
      <c r="N60" s="43">
        <f t="shared" si="0"/>
        <v>1052.083984375</v>
      </c>
      <c r="O60" s="43"/>
      <c r="P60" s="23"/>
      <c r="Q60" s="23"/>
    </row>
    <row r="61" spans="1:17">
      <c r="A61" s="23"/>
      <c r="B61" s="53">
        <v>51</v>
      </c>
      <c r="C61" s="58">
        <v>1124.6829833984375</v>
      </c>
      <c r="D61" s="59">
        <v>9973.125</v>
      </c>
      <c r="E61" s="59">
        <v>0</v>
      </c>
      <c r="F61" s="59">
        <v>4.6578859910368919E-3</v>
      </c>
      <c r="G61" s="42">
        <v>0</v>
      </c>
      <c r="H61" s="23"/>
      <c r="I61" s="23"/>
      <c r="J61" s="99"/>
      <c r="K61" s="99"/>
      <c r="L61" s="99"/>
      <c r="M61" s="99"/>
      <c r="N61" s="43">
        <f t="shared" si="0"/>
        <v>1124.6829833984375</v>
      </c>
      <c r="O61" s="43"/>
      <c r="P61" s="23"/>
      <c r="Q61" s="23"/>
    </row>
    <row r="62" spans="1:17">
      <c r="A62" s="23"/>
      <c r="B62" s="53">
        <v>52</v>
      </c>
      <c r="C62" s="58">
        <v>1202.2900390625</v>
      </c>
      <c r="D62" s="59">
        <v>9972.984375</v>
      </c>
      <c r="E62" s="59">
        <v>0</v>
      </c>
      <c r="F62" s="59">
        <v>-1.5258030034601688E-3</v>
      </c>
      <c r="G62" s="42">
        <v>0</v>
      </c>
      <c r="H62" s="23"/>
      <c r="I62" s="23"/>
      <c r="J62" s="99"/>
      <c r="K62" s="99"/>
      <c r="L62" s="99"/>
      <c r="M62" s="99"/>
      <c r="N62" s="43">
        <f t="shared" si="0"/>
        <v>1202.2900390625</v>
      </c>
      <c r="O62" s="43"/>
      <c r="P62" s="23"/>
      <c r="Q62" s="23"/>
    </row>
    <row r="63" spans="1:17">
      <c r="A63" s="23"/>
      <c r="B63" s="53">
        <v>53</v>
      </c>
      <c r="C63" s="58">
        <v>1285.2540283203125</v>
      </c>
      <c r="D63" s="59">
        <v>9973.23828125</v>
      </c>
      <c r="E63" s="59">
        <v>0</v>
      </c>
      <c r="F63" s="59">
        <v>1.5487379860132933E-3</v>
      </c>
      <c r="G63" s="42">
        <v>0</v>
      </c>
      <c r="H63" s="23"/>
      <c r="I63" s="23"/>
      <c r="J63" s="99"/>
      <c r="K63" s="99"/>
      <c r="L63" s="99"/>
      <c r="M63" s="99"/>
      <c r="N63" s="43">
        <f t="shared" si="0"/>
        <v>1285.2540283203125</v>
      </c>
      <c r="O63" s="43"/>
      <c r="P63" s="23"/>
      <c r="Q63" s="23"/>
    </row>
    <row r="64" spans="1:17">
      <c r="A64" s="23"/>
      <c r="B64" s="53">
        <v>54</v>
      </c>
      <c r="C64" s="58">
        <v>1373.9410400390625</v>
      </c>
      <c r="D64" s="59">
        <v>9973.392578125</v>
      </c>
      <c r="E64" s="59">
        <v>0</v>
      </c>
      <c r="F64" s="59">
        <v>6.2748291529715061E-3</v>
      </c>
      <c r="G64" s="42">
        <v>0</v>
      </c>
      <c r="H64" s="23"/>
      <c r="I64" s="23"/>
      <c r="J64" s="99"/>
      <c r="K64" s="99"/>
      <c r="L64" s="99"/>
      <c r="M64" s="99"/>
      <c r="N64" s="43">
        <f t="shared" si="0"/>
        <v>1373.9410400390625</v>
      </c>
      <c r="O64" s="43"/>
      <c r="P64" s="23"/>
      <c r="Q64" s="23"/>
    </row>
    <row r="65" spans="1:17">
      <c r="A65" s="23"/>
      <c r="B65" s="53">
        <v>55</v>
      </c>
      <c r="C65" s="58">
        <v>1468.7490234375</v>
      </c>
      <c r="D65" s="59">
        <v>9973.185546875</v>
      </c>
      <c r="E65" s="59">
        <v>0</v>
      </c>
      <c r="F65" s="59">
        <v>-2.2189109586179256E-3</v>
      </c>
      <c r="G65" s="42">
        <v>0</v>
      </c>
      <c r="H65" s="23"/>
      <c r="I65" s="23"/>
      <c r="J65" s="99"/>
      <c r="K65" s="99"/>
      <c r="L65" s="99"/>
      <c r="M65" s="99"/>
      <c r="N65" s="43">
        <f t="shared" si="0"/>
        <v>1468.7490234375</v>
      </c>
      <c r="O65" s="43"/>
      <c r="P65" s="23"/>
      <c r="Q65" s="23"/>
    </row>
    <row r="66" spans="1:17">
      <c r="A66" s="23"/>
      <c r="B66" s="53">
        <v>56</v>
      </c>
      <c r="C66" s="58">
        <v>1570.0989990234375</v>
      </c>
      <c r="D66" s="59">
        <v>9973.693359375</v>
      </c>
      <c r="E66" s="59">
        <v>0</v>
      </c>
      <c r="F66" s="59">
        <v>-1.0092009790241718E-2</v>
      </c>
      <c r="G66" s="42">
        <v>0</v>
      </c>
      <c r="H66" s="23"/>
      <c r="I66" s="23"/>
      <c r="J66" s="99"/>
      <c r="K66" s="99"/>
      <c r="L66" s="99"/>
      <c r="M66" s="99"/>
      <c r="N66" s="43">
        <f t="shared" si="0"/>
        <v>1570.0989990234375</v>
      </c>
      <c r="O66" s="43"/>
      <c r="P66" s="23"/>
      <c r="Q66" s="23"/>
    </row>
    <row r="67" spans="1:17">
      <c r="A67" s="23"/>
      <c r="B67" s="53">
        <v>57</v>
      </c>
      <c r="C67" s="58">
        <v>1678.4420166015625</v>
      </c>
      <c r="D67" s="59">
        <v>9973.2734375</v>
      </c>
      <c r="E67" s="59">
        <v>0</v>
      </c>
      <c r="F67" s="59">
        <v>-9.5731671899557114E-3</v>
      </c>
      <c r="G67" s="42">
        <v>0</v>
      </c>
      <c r="H67" s="23"/>
      <c r="I67" s="23"/>
      <c r="J67" s="99"/>
      <c r="K67" s="99"/>
      <c r="L67" s="99"/>
      <c r="M67" s="99"/>
      <c r="N67" s="43">
        <f t="shared" si="0"/>
        <v>1678.4420166015625</v>
      </c>
      <c r="O67" s="43"/>
      <c r="P67" s="23"/>
      <c r="Q67" s="23"/>
    </row>
    <row r="68" spans="1:17">
      <c r="A68" s="23"/>
      <c r="B68" s="53">
        <v>58</v>
      </c>
      <c r="C68" s="58">
        <v>1794.261962890625</v>
      </c>
      <c r="D68" s="59">
        <v>9973.646484375</v>
      </c>
      <c r="E68" s="59">
        <v>0</v>
      </c>
      <c r="F68" s="59">
        <v>-9.8850857466459274E-3</v>
      </c>
      <c r="G68" s="42">
        <v>0</v>
      </c>
      <c r="H68" s="23"/>
      <c r="I68" s="23"/>
      <c r="J68" s="99"/>
      <c r="K68" s="99"/>
      <c r="L68" s="99"/>
      <c r="M68" s="99"/>
      <c r="N68" s="43">
        <f t="shared" si="0"/>
        <v>1794.261962890625</v>
      </c>
      <c r="O68" s="43"/>
      <c r="P68" s="23"/>
      <c r="Q68" s="23"/>
    </row>
    <row r="69" spans="1:17">
      <c r="A69" s="23"/>
      <c r="B69" s="53">
        <v>59</v>
      </c>
      <c r="C69" s="58">
        <v>1918.072998046875</v>
      </c>
      <c r="D69" s="59">
        <v>9973.33203125</v>
      </c>
      <c r="E69" s="59">
        <v>0</v>
      </c>
      <c r="F69" s="59">
        <v>-1.172167994081974E-2</v>
      </c>
      <c r="G69" s="42">
        <v>0</v>
      </c>
      <c r="H69" s="23"/>
      <c r="I69" s="23"/>
      <c r="J69" s="99"/>
      <c r="K69" s="99"/>
      <c r="L69" s="99"/>
      <c r="M69" s="99"/>
      <c r="N69" s="43">
        <f t="shared" si="0"/>
        <v>1918.072998046875</v>
      </c>
      <c r="O69" s="43"/>
      <c r="P69" s="23"/>
      <c r="Q69" s="23"/>
    </row>
    <row r="70" spans="1:17">
      <c r="A70" s="23"/>
      <c r="B70" s="53">
        <v>60</v>
      </c>
      <c r="C70" s="58">
        <v>2050.427978515625</v>
      </c>
      <c r="D70" s="59">
        <v>9973.41015625</v>
      </c>
      <c r="E70" s="59">
        <v>0</v>
      </c>
      <c r="F70" s="59">
        <v>-1.6531480476260185E-2</v>
      </c>
      <c r="G70" s="42">
        <v>0</v>
      </c>
      <c r="H70" s="23"/>
      <c r="I70" s="23"/>
      <c r="J70" s="99"/>
      <c r="K70" s="99"/>
      <c r="L70" s="99"/>
      <c r="M70" s="99"/>
      <c r="N70" s="43">
        <f t="shared" si="0"/>
        <v>2050.427978515625</v>
      </c>
      <c r="O70" s="43"/>
      <c r="P70" s="23"/>
      <c r="Q70" s="23"/>
    </row>
    <row r="71" spans="1:17">
      <c r="A71" s="23"/>
      <c r="B71" s="53">
        <v>61</v>
      </c>
      <c r="C71" s="58">
        <v>2191.916015625</v>
      </c>
      <c r="D71" s="59">
        <v>9973.4462890625</v>
      </c>
      <c r="E71" s="59">
        <v>0</v>
      </c>
      <c r="F71" s="59">
        <v>-2.0207790657877922E-2</v>
      </c>
      <c r="G71" s="42">
        <v>0</v>
      </c>
      <c r="H71" s="23"/>
      <c r="I71" s="23"/>
      <c r="J71" s="99"/>
      <c r="K71" s="99"/>
      <c r="L71" s="99"/>
      <c r="M71" s="99"/>
      <c r="N71" s="43">
        <f t="shared" si="0"/>
        <v>2191.916015625</v>
      </c>
      <c r="O71" s="43"/>
      <c r="P71" s="23"/>
      <c r="Q71" s="23"/>
    </row>
    <row r="72" spans="1:17">
      <c r="A72" s="23"/>
      <c r="B72" s="53">
        <v>62</v>
      </c>
      <c r="C72" s="58">
        <v>2343.16796875</v>
      </c>
      <c r="D72" s="59">
        <v>9973.63671875</v>
      </c>
      <c r="E72" s="59">
        <v>0</v>
      </c>
      <c r="F72" s="59">
        <v>-1.7138179391622543E-2</v>
      </c>
      <c r="G72" s="42">
        <v>0</v>
      </c>
      <c r="H72" s="23"/>
      <c r="I72" s="23"/>
      <c r="J72" s="99"/>
      <c r="K72" s="99"/>
      <c r="L72" s="99"/>
      <c r="M72" s="99"/>
      <c r="N72" s="43">
        <f t="shared" si="0"/>
        <v>2343.16796875</v>
      </c>
      <c r="O72" s="43"/>
      <c r="P72" s="23"/>
      <c r="Q72" s="23"/>
    </row>
    <row r="73" spans="1:17">
      <c r="A73" s="23"/>
      <c r="B73" s="53">
        <v>63</v>
      </c>
      <c r="C73" s="58">
        <v>2504.85595703125</v>
      </c>
      <c r="D73" s="59">
        <v>9973.5439453125</v>
      </c>
      <c r="E73" s="59">
        <v>0</v>
      </c>
      <c r="F73" s="59">
        <v>-2.1606549620628357E-2</v>
      </c>
      <c r="G73" s="42">
        <v>0</v>
      </c>
      <c r="H73" s="23"/>
      <c r="I73" s="23"/>
      <c r="J73" s="99"/>
      <c r="K73" s="99"/>
      <c r="L73" s="99"/>
      <c r="M73" s="99"/>
      <c r="N73" s="43">
        <f t="shared" si="0"/>
        <v>2504.85595703125</v>
      </c>
      <c r="O73" s="43"/>
      <c r="P73" s="23"/>
      <c r="Q73" s="23"/>
    </row>
    <row r="74" spans="1:17">
      <c r="A74" s="23"/>
      <c r="B74" s="53">
        <v>64</v>
      </c>
      <c r="C74" s="58">
        <v>2677.701904296875</v>
      </c>
      <c r="D74" s="59">
        <v>9972.4072265625</v>
      </c>
      <c r="E74" s="59">
        <v>0</v>
      </c>
      <c r="F74" s="59">
        <v>-2.7693549171090126E-2</v>
      </c>
      <c r="G74" s="42">
        <v>0</v>
      </c>
      <c r="H74" s="23"/>
      <c r="I74" s="23"/>
      <c r="J74" s="99"/>
      <c r="K74" s="99"/>
      <c r="L74" s="99"/>
      <c r="M74" s="99"/>
      <c r="N74" s="43">
        <f t="shared" si="0"/>
        <v>2677.701904296875</v>
      </c>
      <c r="O74" s="43"/>
      <c r="P74" s="23"/>
      <c r="Q74" s="23"/>
    </row>
    <row r="75" spans="1:17">
      <c r="A75" s="23"/>
      <c r="B75" s="53">
        <v>65</v>
      </c>
      <c r="C75" s="58">
        <v>2862.47412109375</v>
      </c>
      <c r="D75" s="59">
        <v>9972.970703125</v>
      </c>
      <c r="E75" s="59">
        <v>0</v>
      </c>
      <c r="F75" s="59">
        <v>-3.3280450850725174E-2</v>
      </c>
      <c r="G75" s="42">
        <v>0</v>
      </c>
      <c r="H75" s="23"/>
      <c r="I75" s="23"/>
      <c r="J75" s="99"/>
      <c r="K75" s="99"/>
      <c r="L75" s="99"/>
      <c r="M75" s="99"/>
      <c r="N75" s="43">
        <f t="shared" ref="N75:N138" si="1">IF($L$4=$C$10,C75,IF(D75="","",B75))</f>
        <v>2862.47412109375</v>
      </c>
      <c r="O75" s="43"/>
      <c r="P75" s="23"/>
      <c r="Q75" s="23"/>
    </row>
    <row r="76" spans="1:17">
      <c r="A76" s="23"/>
      <c r="B76" s="53">
        <v>66</v>
      </c>
      <c r="C76" s="58">
        <v>3059.9970703125</v>
      </c>
      <c r="D76" s="59">
        <v>9974.099609375</v>
      </c>
      <c r="E76" s="59">
        <v>0</v>
      </c>
      <c r="F76" s="59">
        <v>-3.5726919770240784E-2</v>
      </c>
      <c r="G76" s="42">
        <v>0</v>
      </c>
      <c r="H76" s="23"/>
      <c r="I76" s="23"/>
      <c r="J76" s="99"/>
      <c r="K76" s="99"/>
      <c r="L76" s="99"/>
      <c r="M76" s="99"/>
      <c r="N76" s="43">
        <f t="shared" si="1"/>
        <v>3059.9970703125</v>
      </c>
      <c r="O76" s="43"/>
      <c r="P76" s="23"/>
      <c r="Q76" s="23"/>
    </row>
    <row r="77" spans="1:17">
      <c r="A77" s="23"/>
      <c r="B77" s="53">
        <v>67</v>
      </c>
      <c r="C77" s="58">
        <v>3271.14990234375</v>
      </c>
      <c r="D77" s="59">
        <v>9974.0283203125</v>
      </c>
      <c r="E77" s="59">
        <v>0</v>
      </c>
      <c r="F77" s="59">
        <v>-4.1259601712226868E-2</v>
      </c>
      <c r="G77" s="42">
        <v>0</v>
      </c>
      <c r="H77" s="23"/>
      <c r="I77" s="23"/>
      <c r="J77" s="99"/>
      <c r="K77" s="99"/>
      <c r="L77" s="99"/>
      <c r="M77" s="99"/>
      <c r="N77" s="43">
        <f t="shared" si="1"/>
        <v>3271.14990234375</v>
      </c>
      <c r="O77" s="43"/>
      <c r="P77" s="23"/>
      <c r="Q77" s="23"/>
    </row>
    <row r="78" spans="1:17">
      <c r="A78" s="23"/>
      <c r="B78" s="53">
        <v>68</v>
      </c>
      <c r="C78" s="58">
        <v>3496.8720703125</v>
      </c>
      <c r="D78" s="59">
        <v>9972.8251953125</v>
      </c>
      <c r="E78" s="59">
        <v>0</v>
      </c>
      <c r="F78" s="59">
        <v>-4.6997170895338058E-2</v>
      </c>
      <c r="G78" s="42">
        <v>0</v>
      </c>
      <c r="H78" s="23"/>
      <c r="I78" s="23"/>
      <c r="J78" s="99"/>
      <c r="K78" s="99"/>
      <c r="L78" s="99"/>
      <c r="M78" s="99"/>
      <c r="N78" s="43">
        <f t="shared" si="1"/>
        <v>3496.8720703125</v>
      </c>
      <c r="O78" s="43"/>
      <c r="P78" s="23"/>
      <c r="Q78" s="23"/>
    </row>
    <row r="79" spans="1:17">
      <c r="A79" s="23"/>
      <c r="B79" s="53">
        <v>69</v>
      </c>
      <c r="C79" s="58">
        <v>3738.1708984375</v>
      </c>
      <c r="D79" s="59">
        <v>9973.701171875</v>
      </c>
      <c r="E79" s="59">
        <v>0</v>
      </c>
      <c r="F79" s="59">
        <v>-4.9474760890007019E-2</v>
      </c>
      <c r="G79" s="42">
        <v>0</v>
      </c>
      <c r="H79" s="23"/>
      <c r="I79" s="23"/>
      <c r="J79" s="99"/>
      <c r="K79" s="99"/>
      <c r="L79" s="99"/>
      <c r="M79" s="99"/>
      <c r="N79" s="43">
        <f t="shared" si="1"/>
        <v>3738.1708984375</v>
      </c>
      <c r="O79" s="43"/>
      <c r="P79" s="23"/>
      <c r="Q79" s="23"/>
    </row>
    <row r="80" spans="1:17">
      <c r="A80" s="23"/>
      <c r="B80" s="53">
        <v>70</v>
      </c>
      <c r="C80" s="58">
        <v>3996.12109375</v>
      </c>
      <c r="D80" s="59">
        <v>9973.591796875</v>
      </c>
      <c r="E80" s="59">
        <v>0</v>
      </c>
      <c r="F80" s="59">
        <v>-5.2894551306962967E-2</v>
      </c>
      <c r="G80" s="42">
        <v>0</v>
      </c>
      <c r="H80" s="23"/>
      <c r="I80" s="23"/>
      <c r="J80" s="99"/>
      <c r="K80" s="99"/>
      <c r="L80" s="99"/>
      <c r="M80" s="99"/>
      <c r="N80" s="43">
        <f t="shared" si="1"/>
        <v>3996.12109375</v>
      </c>
      <c r="O80" s="43"/>
      <c r="P80" s="23"/>
      <c r="Q80" s="23"/>
    </row>
    <row r="81" spans="1:17">
      <c r="A81" s="23"/>
      <c r="B81" s="53">
        <v>71</v>
      </c>
      <c r="C81" s="58">
        <v>4271.8701171875</v>
      </c>
      <c r="D81" s="59">
        <v>9973.4482421875</v>
      </c>
      <c r="E81" s="59">
        <v>0</v>
      </c>
      <c r="F81" s="59">
        <v>-5.821986123919487E-2</v>
      </c>
      <c r="G81" s="42">
        <v>0</v>
      </c>
      <c r="H81" s="23"/>
      <c r="I81" s="23"/>
      <c r="J81" s="99"/>
      <c r="K81" s="99"/>
      <c r="L81" s="99"/>
      <c r="M81" s="99"/>
      <c r="N81" s="43">
        <f t="shared" si="1"/>
        <v>4271.8701171875</v>
      </c>
      <c r="O81" s="43"/>
      <c r="P81" s="23"/>
      <c r="Q81" s="23"/>
    </row>
    <row r="82" spans="1:17">
      <c r="A82" s="23"/>
      <c r="B82" s="53">
        <v>72</v>
      </c>
      <c r="C82" s="58">
        <v>4566.64697265625</v>
      </c>
      <c r="D82" s="59">
        <v>9972.3115234375</v>
      </c>
      <c r="E82" s="59">
        <v>0</v>
      </c>
      <c r="F82" s="59">
        <v>-6.5839633345603943E-2</v>
      </c>
      <c r="G82" s="42">
        <v>0</v>
      </c>
      <c r="H82" s="23"/>
      <c r="I82" s="23"/>
      <c r="J82" s="99"/>
      <c r="K82" s="99"/>
      <c r="L82" s="99"/>
      <c r="M82" s="99"/>
      <c r="N82" s="43">
        <f t="shared" si="1"/>
        <v>4566.64697265625</v>
      </c>
      <c r="O82" s="43"/>
      <c r="P82" s="23"/>
      <c r="Q82" s="23"/>
    </row>
    <row r="83" spans="1:17">
      <c r="A83" s="23"/>
      <c r="B83" s="53">
        <v>73</v>
      </c>
      <c r="C83" s="58">
        <v>4881.76416015625</v>
      </c>
      <c r="D83" s="59">
        <v>9973.177734375</v>
      </c>
      <c r="E83" s="59">
        <v>0</v>
      </c>
      <c r="F83" s="59">
        <v>-6.1362098902463913E-2</v>
      </c>
      <c r="G83" s="42">
        <v>0</v>
      </c>
      <c r="H83" s="23"/>
      <c r="I83" s="23"/>
      <c r="J83" s="99"/>
      <c r="K83" s="99"/>
      <c r="L83" s="99"/>
      <c r="M83" s="99"/>
      <c r="N83" s="43">
        <f t="shared" si="1"/>
        <v>4881.76416015625</v>
      </c>
      <c r="O83" s="43"/>
      <c r="P83" s="23"/>
      <c r="Q83" s="23"/>
    </row>
    <row r="84" spans="1:17">
      <c r="A84" s="23"/>
      <c r="B84" s="53">
        <v>74</v>
      </c>
      <c r="C84" s="58">
        <v>5218.6259765625</v>
      </c>
      <c r="D84" s="59">
        <v>9972.6728515625</v>
      </c>
      <c r="E84" s="59">
        <v>0</v>
      </c>
      <c r="F84" s="59">
        <v>-6.9395251572132111E-2</v>
      </c>
      <c r="G84" s="42">
        <v>0</v>
      </c>
      <c r="H84" s="23"/>
      <c r="I84" s="23"/>
      <c r="J84" s="99"/>
      <c r="K84" s="99"/>
      <c r="L84" s="99"/>
      <c r="M84" s="99"/>
      <c r="N84" s="43">
        <f t="shared" si="1"/>
        <v>5218.6259765625</v>
      </c>
      <c r="O84" s="43"/>
      <c r="P84" s="23"/>
      <c r="Q84" s="23"/>
    </row>
    <row r="85" spans="1:17">
      <c r="A85" s="23"/>
      <c r="B85" s="53">
        <v>75</v>
      </c>
      <c r="C85" s="58">
        <v>5578.73291015625</v>
      </c>
      <c r="D85" s="59">
        <v>9971.9609375</v>
      </c>
      <c r="E85" s="59">
        <v>0</v>
      </c>
      <c r="F85" s="59">
        <v>-7.9009637236595154E-2</v>
      </c>
      <c r="G85" s="42">
        <v>0</v>
      </c>
      <c r="H85" s="23"/>
      <c r="I85" s="23"/>
      <c r="J85" s="99"/>
      <c r="K85" s="99"/>
      <c r="L85" s="99"/>
      <c r="M85" s="99"/>
      <c r="N85" s="43">
        <f t="shared" si="1"/>
        <v>5578.73291015625</v>
      </c>
      <c r="O85" s="43"/>
      <c r="P85" s="23"/>
      <c r="Q85" s="23"/>
    </row>
    <row r="86" spans="1:17">
      <c r="A86" s="23"/>
      <c r="B86" s="53">
        <v>76</v>
      </c>
      <c r="C86" s="58">
        <v>5963.68896484375</v>
      </c>
      <c r="D86" s="59">
        <v>9973.568359375</v>
      </c>
      <c r="E86" s="59">
        <v>0</v>
      </c>
      <c r="F86" s="59">
        <v>-8.7955862283706665E-2</v>
      </c>
      <c r="G86" s="42">
        <v>0</v>
      </c>
      <c r="H86" s="23"/>
      <c r="I86" s="23"/>
      <c r="J86" s="99"/>
      <c r="K86" s="99"/>
      <c r="L86" s="99"/>
      <c r="M86" s="99"/>
      <c r="N86" s="43">
        <f t="shared" si="1"/>
        <v>5963.68896484375</v>
      </c>
      <c r="O86" s="43"/>
      <c r="P86" s="23"/>
      <c r="Q86" s="23"/>
    </row>
    <row r="87" spans="1:17">
      <c r="A87" s="23"/>
      <c r="B87" s="53">
        <v>77</v>
      </c>
      <c r="C87" s="58">
        <v>6375.208984375</v>
      </c>
      <c r="D87" s="59">
        <v>9972.359375</v>
      </c>
      <c r="E87" s="59">
        <v>0</v>
      </c>
      <c r="F87" s="59">
        <v>-9.4304002821445465E-2</v>
      </c>
      <c r="G87" s="42">
        <v>0</v>
      </c>
      <c r="H87" s="23"/>
      <c r="I87" s="23"/>
      <c r="J87" s="99"/>
      <c r="K87" s="99"/>
      <c r="L87" s="99"/>
      <c r="M87" s="99"/>
      <c r="N87" s="43">
        <f t="shared" si="1"/>
        <v>6375.208984375</v>
      </c>
      <c r="O87" s="43"/>
      <c r="P87" s="23"/>
      <c r="Q87" s="23"/>
    </row>
    <row r="88" spans="1:17">
      <c r="A88" s="23"/>
      <c r="B88" s="53">
        <v>78</v>
      </c>
      <c r="C88" s="58">
        <v>6815.125</v>
      </c>
      <c r="D88" s="59">
        <v>9971.3095703125</v>
      </c>
      <c r="E88" s="59">
        <v>0</v>
      </c>
      <c r="F88" s="59">
        <v>-0.10351479798555374</v>
      </c>
      <c r="G88" s="42">
        <v>0</v>
      </c>
      <c r="H88" s="23"/>
      <c r="I88" s="23"/>
      <c r="J88" s="99"/>
      <c r="K88" s="99"/>
      <c r="L88" s="99"/>
      <c r="M88" s="99"/>
      <c r="N88" s="43">
        <f t="shared" si="1"/>
        <v>6815.125</v>
      </c>
      <c r="O88" s="43"/>
      <c r="P88" s="23"/>
      <c r="Q88" s="23"/>
    </row>
    <row r="89" spans="1:17">
      <c r="A89" s="23"/>
      <c r="B89" s="53">
        <v>79</v>
      </c>
      <c r="C89" s="58">
        <v>7285.39697265625</v>
      </c>
      <c r="D89" s="59">
        <v>9972.416015625</v>
      </c>
      <c r="E89" s="59">
        <v>0</v>
      </c>
      <c r="F89" s="59">
        <v>-0.10897800326347351</v>
      </c>
      <c r="G89" s="42">
        <v>0</v>
      </c>
      <c r="H89" s="23"/>
      <c r="I89" s="23"/>
      <c r="J89" s="99"/>
      <c r="K89" s="99"/>
      <c r="L89" s="99"/>
      <c r="M89" s="99"/>
      <c r="N89" s="43">
        <f t="shared" si="1"/>
        <v>7285.39697265625</v>
      </c>
      <c r="O89" s="43"/>
      <c r="P89" s="23"/>
      <c r="Q89" s="23"/>
    </row>
    <row r="90" spans="1:17">
      <c r="A90" s="23"/>
      <c r="B90" s="53">
        <v>80</v>
      </c>
      <c r="C90" s="58">
        <v>7788.119140625</v>
      </c>
      <c r="D90" s="59">
        <v>9972.1884765625</v>
      </c>
      <c r="E90" s="59">
        <v>0</v>
      </c>
      <c r="F90" s="59">
        <v>-0.10670290142297745</v>
      </c>
      <c r="G90" s="42">
        <v>0</v>
      </c>
      <c r="H90" s="23"/>
      <c r="I90" s="23"/>
      <c r="J90" s="99"/>
      <c r="K90" s="99"/>
      <c r="L90" s="99"/>
      <c r="M90" s="99"/>
      <c r="N90" s="43">
        <f t="shared" si="1"/>
        <v>7788.119140625</v>
      </c>
      <c r="O90" s="43"/>
      <c r="P90" s="23"/>
      <c r="Q90" s="23"/>
    </row>
    <row r="91" spans="1:17">
      <c r="A91" s="23"/>
      <c r="B91" s="53">
        <v>81</v>
      </c>
      <c r="C91" s="58">
        <v>8325.5322265625</v>
      </c>
      <c r="D91" s="59">
        <v>9972.0498046875</v>
      </c>
      <c r="E91" s="59">
        <v>0</v>
      </c>
      <c r="F91" s="59">
        <v>-0.12139809876680374</v>
      </c>
      <c r="G91" s="42">
        <v>0</v>
      </c>
      <c r="H91" s="23"/>
      <c r="I91" s="23"/>
      <c r="J91" s="99"/>
      <c r="K91" s="99"/>
      <c r="L91" s="99"/>
      <c r="M91" s="99"/>
      <c r="N91" s="43">
        <f t="shared" si="1"/>
        <v>8325.5322265625</v>
      </c>
      <c r="O91" s="43"/>
      <c r="P91" s="23"/>
      <c r="Q91" s="23"/>
    </row>
    <row r="92" spans="1:17">
      <c r="A92" s="23"/>
      <c r="B92" s="53">
        <v>82</v>
      </c>
      <c r="C92" s="58">
        <v>8900.029296875</v>
      </c>
      <c r="D92" s="59">
        <v>9972.0732421875</v>
      </c>
      <c r="E92" s="59">
        <v>0</v>
      </c>
      <c r="F92" s="59">
        <v>-0.12173669785261154</v>
      </c>
      <c r="G92" s="42">
        <v>0</v>
      </c>
      <c r="H92" s="23"/>
      <c r="I92" s="23"/>
      <c r="J92" s="99"/>
      <c r="K92" s="99"/>
      <c r="L92" s="99"/>
      <c r="M92" s="99"/>
      <c r="N92" s="43">
        <f t="shared" si="1"/>
        <v>8900.029296875</v>
      </c>
      <c r="O92" s="43"/>
      <c r="P92" s="23"/>
      <c r="Q92" s="23"/>
    </row>
    <row r="93" spans="1:17">
      <c r="A93" s="23"/>
      <c r="B93" s="53">
        <v>83</v>
      </c>
      <c r="C93" s="58">
        <v>9514.16796875</v>
      </c>
      <c r="D93" s="59">
        <v>9974.8193359375</v>
      </c>
      <c r="E93" s="59">
        <v>0</v>
      </c>
      <c r="F93" s="59">
        <v>-0.16183209419250488</v>
      </c>
      <c r="G93" s="42">
        <v>0</v>
      </c>
      <c r="H93" s="23"/>
      <c r="I93" s="23"/>
      <c r="J93" s="99"/>
      <c r="K93" s="99"/>
      <c r="L93" s="99"/>
      <c r="M93" s="99"/>
      <c r="N93" s="43">
        <f t="shared" si="1"/>
        <v>9514.16796875</v>
      </c>
      <c r="O93" s="43"/>
      <c r="P93" s="23"/>
      <c r="Q93" s="23"/>
    </row>
    <row r="94" spans="1:17">
      <c r="A94" s="23"/>
      <c r="B94" s="53">
        <v>84</v>
      </c>
      <c r="C94" s="58">
        <v>10170.6845703125</v>
      </c>
      <c r="D94" s="59">
        <v>9973.0791015625</v>
      </c>
      <c r="E94" s="59">
        <v>0</v>
      </c>
      <c r="F94" s="59">
        <v>-0.15847660601139069</v>
      </c>
      <c r="G94" s="42">
        <v>0</v>
      </c>
      <c r="H94" s="23"/>
      <c r="I94" s="23"/>
      <c r="J94" s="99"/>
      <c r="K94" s="99"/>
      <c r="L94" s="99"/>
      <c r="M94" s="99"/>
      <c r="N94" s="43">
        <f t="shared" si="1"/>
        <v>10170.6845703125</v>
      </c>
      <c r="O94" s="43"/>
      <c r="P94" s="23"/>
      <c r="Q94" s="23"/>
    </row>
    <row r="95" spans="1:17">
      <c r="A95" s="23"/>
      <c r="B95" s="53">
        <v>85</v>
      </c>
      <c r="C95" s="58">
        <v>10872.5048828125</v>
      </c>
      <c r="D95" s="59">
        <v>9972.7607421875</v>
      </c>
      <c r="E95" s="59">
        <v>0</v>
      </c>
      <c r="F95" s="59">
        <v>-0.16719140112400055</v>
      </c>
      <c r="G95" s="42">
        <v>0</v>
      </c>
      <c r="H95" s="23"/>
      <c r="I95" s="23"/>
      <c r="J95" s="99"/>
      <c r="K95" s="99"/>
      <c r="L95" s="99"/>
      <c r="M95" s="99"/>
      <c r="N95" s="43">
        <f t="shared" si="1"/>
        <v>10872.5048828125</v>
      </c>
      <c r="O95" s="43"/>
      <c r="P95" s="23"/>
      <c r="Q95" s="23"/>
    </row>
    <row r="96" spans="1:17">
      <c r="A96" s="23"/>
      <c r="B96" s="53">
        <v>86</v>
      </c>
      <c r="C96" s="58">
        <v>11622.7529296875</v>
      </c>
      <c r="D96" s="59">
        <v>9973.2587890625</v>
      </c>
      <c r="E96" s="59">
        <v>0</v>
      </c>
      <c r="F96" s="59">
        <v>-0.19204509258270264</v>
      </c>
      <c r="G96" s="42">
        <v>0</v>
      </c>
      <c r="H96" s="23"/>
      <c r="I96" s="23"/>
      <c r="J96" s="99"/>
      <c r="K96" s="99"/>
      <c r="L96" s="99"/>
      <c r="M96" s="99"/>
      <c r="N96" s="43">
        <f t="shared" si="1"/>
        <v>11622.7529296875</v>
      </c>
      <c r="O96" s="43"/>
      <c r="P96" s="23"/>
      <c r="Q96" s="23"/>
    </row>
    <row r="97" spans="1:17">
      <c r="A97" s="23"/>
      <c r="B97" s="53">
        <v>87</v>
      </c>
      <c r="C97" s="58">
        <v>12424.771484375</v>
      </c>
      <c r="D97" s="59">
        <v>9973.1494140625</v>
      </c>
      <c r="E97" s="59">
        <v>0</v>
      </c>
      <c r="F97" s="59">
        <v>-0.19764420390129089</v>
      </c>
      <c r="G97" s="42">
        <v>0</v>
      </c>
      <c r="H97" s="23"/>
      <c r="I97" s="23"/>
      <c r="J97" s="99"/>
      <c r="K97" s="99"/>
      <c r="L97" s="99"/>
      <c r="M97" s="99"/>
      <c r="N97" s="43">
        <f t="shared" si="1"/>
        <v>12424.771484375</v>
      </c>
      <c r="O97" s="43"/>
      <c r="P97" s="23"/>
      <c r="Q97" s="23"/>
    </row>
    <row r="98" spans="1:17">
      <c r="A98" s="23"/>
      <c r="B98" s="53">
        <v>88</v>
      </c>
      <c r="C98" s="58">
        <v>13282.1318359375</v>
      </c>
      <c r="D98" s="59">
        <v>9973.1982421875</v>
      </c>
      <c r="E98" s="59">
        <v>0</v>
      </c>
      <c r="F98" s="59">
        <v>-0.20809109508991241</v>
      </c>
      <c r="G98" s="42">
        <v>0</v>
      </c>
      <c r="H98" s="23"/>
      <c r="I98" s="23"/>
      <c r="J98" s="99"/>
      <c r="K98" s="99"/>
      <c r="L98" s="99"/>
      <c r="M98" s="99"/>
      <c r="N98" s="43">
        <f t="shared" si="1"/>
        <v>13282.1318359375</v>
      </c>
      <c r="O98" s="43"/>
      <c r="P98" s="23"/>
      <c r="Q98" s="23"/>
    </row>
    <row r="99" spans="1:17">
      <c r="A99" s="23"/>
      <c r="B99" s="53">
        <v>89</v>
      </c>
      <c r="C99" s="58">
        <v>14198.6552734375</v>
      </c>
      <c r="D99" s="59">
        <v>9973.59375</v>
      </c>
      <c r="E99" s="59">
        <v>0</v>
      </c>
      <c r="F99" s="59">
        <v>-0.22667139768600464</v>
      </c>
      <c r="G99" s="42">
        <v>0</v>
      </c>
      <c r="H99" s="23"/>
      <c r="I99" s="23"/>
      <c r="J99" s="99"/>
      <c r="K99" s="99"/>
      <c r="L99" s="99"/>
      <c r="M99" s="99"/>
      <c r="N99" s="43">
        <f t="shared" si="1"/>
        <v>14198.6552734375</v>
      </c>
      <c r="O99" s="43"/>
      <c r="P99" s="23"/>
      <c r="Q99" s="23"/>
    </row>
    <row r="100" spans="1:17">
      <c r="A100" s="23"/>
      <c r="B100" s="53">
        <v>90</v>
      </c>
      <c r="C100" s="58">
        <v>15178.4208984375</v>
      </c>
      <c r="D100" s="59">
        <v>9973.6298828125</v>
      </c>
      <c r="E100" s="59">
        <v>0</v>
      </c>
      <c r="F100" s="59">
        <v>-0.23610790073871613</v>
      </c>
      <c r="G100" s="42">
        <v>0</v>
      </c>
      <c r="H100" s="23"/>
      <c r="I100" s="23"/>
      <c r="J100" s="99"/>
      <c r="K100" s="99"/>
      <c r="L100" s="99"/>
      <c r="M100" s="99"/>
      <c r="N100" s="43">
        <f t="shared" si="1"/>
        <v>15178.4208984375</v>
      </c>
      <c r="O100" s="43"/>
      <c r="P100" s="23"/>
      <c r="Q100" s="23"/>
    </row>
    <row r="101" spans="1:17">
      <c r="A101" s="23"/>
      <c r="B101" s="53">
        <v>91</v>
      </c>
      <c r="C101" s="58">
        <v>16225.7958984375</v>
      </c>
      <c r="D101" s="59">
        <v>9973.0537109375</v>
      </c>
      <c r="E101" s="59">
        <v>0</v>
      </c>
      <c r="F101" s="59">
        <v>-0.24998709559440613</v>
      </c>
      <c r="G101" s="42">
        <v>0</v>
      </c>
      <c r="H101" s="23"/>
      <c r="I101" s="23"/>
      <c r="J101" s="99"/>
      <c r="K101" s="99"/>
      <c r="L101" s="99"/>
      <c r="M101" s="99"/>
      <c r="N101" s="43">
        <f t="shared" si="1"/>
        <v>16225.7958984375</v>
      </c>
      <c r="O101" s="43"/>
      <c r="P101" s="23"/>
      <c r="Q101" s="23"/>
    </row>
    <row r="102" spans="1:17">
      <c r="A102" s="23"/>
      <c r="B102" s="53">
        <v>92</v>
      </c>
      <c r="C102" s="58">
        <v>17345.443359375</v>
      </c>
      <c r="D102" s="59">
        <v>9973.544921875</v>
      </c>
      <c r="E102" s="59">
        <v>0</v>
      </c>
      <c r="F102" s="59">
        <v>-0.27272799611091614</v>
      </c>
      <c r="G102" s="42">
        <v>0</v>
      </c>
      <c r="H102" s="23"/>
      <c r="I102" s="23"/>
      <c r="J102" s="99"/>
      <c r="K102" s="99"/>
      <c r="L102" s="99"/>
      <c r="M102" s="99"/>
      <c r="N102" s="43">
        <f t="shared" si="1"/>
        <v>17345.443359375</v>
      </c>
      <c r="O102" s="43"/>
      <c r="P102" s="23"/>
      <c r="Q102" s="23"/>
    </row>
    <row r="103" spans="1:17">
      <c r="A103" s="23"/>
      <c r="B103" s="53">
        <v>93</v>
      </c>
      <c r="C103" s="58">
        <v>18542.3515625</v>
      </c>
      <c r="D103" s="59">
        <v>9973.861328125</v>
      </c>
      <c r="E103" s="59">
        <v>0</v>
      </c>
      <c r="F103" s="59">
        <v>-0.29594370722770691</v>
      </c>
      <c r="G103" s="42">
        <v>0</v>
      </c>
      <c r="H103" s="23"/>
      <c r="I103" s="23"/>
      <c r="J103" s="99"/>
      <c r="K103" s="99"/>
      <c r="L103" s="99"/>
      <c r="M103" s="99"/>
      <c r="N103" s="43">
        <f t="shared" si="1"/>
        <v>18542.3515625</v>
      </c>
      <c r="O103" s="43"/>
      <c r="P103" s="23"/>
      <c r="Q103" s="23"/>
    </row>
    <row r="104" spans="1:17">
      <c r="A104" s="23"/>
      <c r="B104" s="53">
        <v>94</v>
      </c>
      <c r="C104" s="58">
        <v>19821.8515625</v>
      </c>
      <c r="D104" s="59">
        <v>9974.130859375</v>
      </c>
      <c r="E104" s="59">
        <v>0</v>
      </c>
      <c r="F104" s="59">
        <v>-0.31445840001106262</v>
      </c>
      <c r="G104" s="42">
        <v>0</v>
      </c>
      <c r="H104" s="23"/>
      <c r="I104" s="23"/>
      <c r="J104" s="99"/>
      <c r="K104" s="99"/>
      <c r="L104" s="99"/>
      <c r="M104" s="99"/>
      <c r="N104" s="43">
        <f t="shared" si="1"/>
        <v>19821.8515625</v>
      </c>
      <c r="O104" s="43"/>
      <c r="P104" s="23"/>
      <c r="Q104" s="23"/>
    </row>
    <row r="105" spans="1:17">
      <c r="A105" s="23"/>
      <c r="B105" s="53">
        <v>95</v>
      </c>
      <c r="C105" s="58">
        <v>21189.640625</v>
      </c>
      <c r="D105" s="59">
        <v>9973.181640625</v>
      </c>
      <c r="E105" s="59">
        <v>0</v>
      </c>
      <c r="F105" s="59">
        <v>-0.33615890145301819</v>
      </c>
      <c r="G105" s="42">
        <v>0</v>
      </c>
      <c r="H105" s="23"/>
      <c r="I105" s="23"/>
      <c r="J105" s="99"/>
      <c r="K105" s="99"/>
      <c r="L105" s="99"/>
      <c r="M105" s="99"/>
      <c r="N105" s="43">
        <f t="shared" si="1"/>
        <v>21189.640625</v>
      </c>
      <c r="O105" s="43"/>
      <c r="P105" s="23"/>
      <c r="Q105" s="23"/>
    </row>
    <row r="106" spans="1:17">
      <c r="A106" s="23"/>
      <c r="B106" s="53">
        <v>96</v>
      </c>
      <c r="C106" s="58">
        <v>22651.814453125</v>
      </c>
      <c r="D106" s="59">
        <v>9973.1123046875</v>
      </c>
      <c r="E106" s="59">
        <v>0</v>
      </c>
      <c r="F106" s="59">
        <v>-0.35949110984802246</v>
      </c>
      <c r="G106" s="42">
        <v>0</v>
      </c>
      <c r="H106" s="23"/>
      <c r="I106" s="23"/>
      <c r="J106" s="99"/>
      <c r="K106" s="99"/>
      <c r="L106" s="99"/>
      <c r="M106" s="99"/>
      <c r="N106" s="43">
        <f t="shared" si="1"/>
        <v>22651.814453125</v>
      </c>
      <c r="O106" s="43"/>
      <c r="P106" s="23"/>
      <c r="Q106" s="23"/>
    </row>
    <row r="107" spans="1:17">
      <c r="A107" s="23"/>
      <c r="B107" s="53">
        <v>97</v>
      </c>
      <c r="C107" s="58">
        <v>24214.884765625</v>
      </c>
      <c r="D107" s="59">
        <v>9973.146484375</v>
      </c>
      <c r="E107" s="59">
        <v>0</v>
      </c>
      <c r="F107" s="59">
        <v>-0.38242191076278687</v>
      </c>
      <c r="G107" s="42">
        <v>0</v>
      </c>
      <c r="H107" s="23"/>
      <c r="I107" s="23"/>
      <c r="J107" s="99"/>
      <c r="K107" s="99"/>
      <c r="L107" s="99"/>
      <c r="M107" s="99"/>
      <c r="N107" s="43">
        <f t="shared" si="1"/>
        <v>24214.884765625</v>
      </c>
      <c r="O107" s="43"/>
      <c r="P107" s="23"/>
      <c r="Q107" s="23"/>
    </row>
    <row r="108" spans="1:17">
      <c r="A108" s="23"/>
      <c r="B108" s="53">
        <v>98</v>
      </c>
      <c r="C108" s="58">
        <v>25885.8125</v>
      </c>
      <c r="D108" s="59">
        <v>9973.9072265625</v>
      </c>
      <c r="E108" s="59">
        <v>0</v>
      </c>
      <c r="F108" s="59">
        <v>-0.40792658925056458</v>
      </c>
      <c r="G108" s="42">
        <v>0</v>
      </c>
      <c r="H108" s="23"/>
      <c r="I108" s="23"/>
      <c r="J108" s="99"/>
      <c r="K108" s="99"/>
      <c r="L108" s="99"/>
      <c r="M108" s="99"/>
      <c r="N108" s="43">
        <f t="shared" si="1"/>
        <v>25885.8125</v>
      </c>
      <c r="O108" s="43"/>
      <c r="P108" s="23"/>
      <c r="Q108" s="23"/>
    </row>
    <row r="109" spans="1:17">
      <c r="A109" s="23"/>
      <c r="B109" s="53">
        <v>99</v>
      </c>
      <c r="C109" s="58">
        <v>27672.041015625</v>
      </c>
      <c r="D109" s="59">
        <v>9973.42578125</v>
      </c>
      <c r="E109" s="59">
        <v>0</v>
      </c>
      <c r="F109" s="59">
        <v>-0.43446680903434753</v>
      </c>
      <c r="G109" s="42">
        <v>0</v>
      </c>
      <c r="H109" s="23"/>
      <c r="I109" s="23"/>
      <c r="J109" s="99"/>
      <c r="K109" s="99"/>
      <c r="L109" s="99"/>
      <c r="M109" s="99"/>
      <c r="N109" s="43">
        <f t="shared" si="1"/>
        <v>27672.041015625</v>
      </c>
      <c r="O109" s="43"/>
      <c r="P109" s="23"/>
      <c r="Q109" s="23"/>
    </row>
    <row r="110" spans="1:17">
      <c r="A110" s="23"/>
      <c r="B110" s="53">
        <v>100</v>
      </c>
      <c r="C110" s="58">
        <v>29581.52734375</v>
      </c>
      <c r="D110" s="59">
        <v>9972.896484375</v>
      </c>
      <c r="E110" s="59">
        <v>0</v>
      </c>
      <c r="F110" s="59">
        <v>-0.47225341200828552</v>
      </c>
      <c r="G110" s="42">
        <v>0</v>
      </c>
      <c r="H110" s="23"/>
      <c r="I110" s="23"/>
      <c r="J110" s="99"/>
      <c r="K110" s="99"/>
      <c r="L110" s="99"/>
      <c r="M110" s="99"/>
      <c r="N110" s="43">
        <f t="shared" si="1"/>
        <v>29581.52734375</v>
      </c>
      <c r="O110" s="43"/>
      <c r="P110" s="23"/>
      <c r="Q110" s="23"/>
    </row>
    <row r="111" spans="1:17">
      <c r="A111" s="23"/>
      <c r="B111" s="53">
        <v>101</v>
      </c>
      <c r="C111" s="58">
        <v>31622.77734375</v>
      </c>
      <c r="D111" s="59">
        <v>9973.8681640625</v>
      </c>
      <c r="E111" s="59">
        <v>0</v>
      </c>
      <c r="F111" s="59">
        <v>-0.50375992059707642</v>
      </c>
      <c r="G111" s="42">
        <v>0</v>
      </c>
      <c r="H111" s="23"/>
      <c r="I111" s="23"/>
      <c r="J111" s="99"/>
      <c r="K111" s="99"/>
      <c r="L111" s="99"/>
      <c r="M111" s="99"/>
      <c r="N111" s="43">
        <f t="shared" si="1"/>
        <v>31622.77734375</v>
      </c>
      <c r="O111" s="43"/>
      <c r="P111" s="23"/>
      <c r="Q111" s="23"/>
    </row>
    <row r="112" spans="1:17">
      <c r="A112" s="23"/>
      <c r="B112" s="53">
        <v>102</v>
      </c>
      <c r="C112" s="58">
        <v>33804.87890625</v>
      </c>
      <c r="D112" s="59">
        <v>9973.875</v>
      </c>
      <c r="E112" s="59">
        <v>0</v>
      </c>
      <c r="F112" s="59">
        <v>-0.53296279907226563</v>
      </c>
      <c r="G112" s="42">
        <v>0</v>
      </c>
      <c r="H112" s="23"/>
      <c r="I112" s="23"/>
      <c r="J112" s="99"/>
      <c r="K112" s="99"/>
      <c r="L112" s="99"/>
      <c r="M112" s="99"/>
      <c r="N112" s="43">
        <f t="shared" si="1"/>
        <v>33804.87890625</v>
      </c>
      <c r="O112" s="43"/>
      <c r="P112" s="23"/>
      <c r="Q112" s="23"/>
    </row>
    <row r="113" spans="1:17">
      <c r="A113" s="23"/>
      <c r="B113" s="53">
        <v>103</v>
      </c>
      <c r="C113" s="58">
        <v>36137.55859375</v>
      </c>
      <c r="D113" s="59">
        <v>9974.373046875</v>
      </c>
      <c r="E113" s="59">
        <v>0</v>
      </c>
      <c r="F113" s="59">
        <v>-0.57396841049194336</v>
      </c>
      <c r="G113" s="42">
        <v>0</v>
      </c>
      <c r="H113" s="23"/>
      <c r="I113" s="23"/>
      <c r="J113" s="99"/>
      <c r="K113" s="99"/>
      <c r="L113" s="99"/>
      <c r="M113" s="99"/>
      <c r="N113" s="43">
        <f t="shared" si="1"/>
        <v>36137.55859375</v>
      </c>
      <c r="O113" s="43"/>
      <c r="P113" s="23"/>
      <c r="Q113" s="23"/>
    </row>
    <row r="114" spans="1:17">
      <c r="A114" s="23"/>
      <c r="B114" s="53">
        <v>104</v>
      </c>
      <c r="C114" s="58">
        <v>38631.19921875</v>
      </c>
      <c r="D114" s="59">
        <v>9972.904296875</v>
      </c>
      <c r="E114" s="59">
        <v>0</v>
      </c>
      <c r="F114" s="59">
        <v>-0.61151409149169922</v>
      </c>
      <c r="G114" s="42">
        <v>0</v>
      </c>
      <c r="H114" s="23"/>
      <c r="I114" s="23"/>
      <c r="J114" s="99"/>
      <c r="K114" s="99"/>
      <c r="L114" s="99"/>
      <c r="M114" s="99"/>
      <c r="N114" s="43">
        <f t="shared" si="1"/>
        <v>38631.19921875</v>
      </c>
      <c r="O114" s="43"/>
      <c r="P114" s="23"/>
      <c r="Q114" s="23"/>
    </row>
    <row r="115" spans="1:17">
      <c r="A115" s="23"/>
      <c r="B115" s="53">
        <v>105</v>
      </c>
      <c r="C115" s="58">
        <v>41296.9140625</v>
      </c>
      <c r="D115" s="59">
        <v>9972.8623046875</v>
      </c>
      <c r="E115" s="59">
        <v>0</v>
      </c>
      <c r="F115" s="59">
        <v>-0.65469801425933838</v>
      </c>
      <c r="G115" s="42">
        <v>0</v>
      </c>
      <c r="H115" s="23"/>
      <c r="I115" s="23"/>
      <c r="J115" s="99"/>
      <c r="K115" s="99"/>
      <c r="L115" s="99"/>
      <c r="M115" s="99"/>
      <c r="N115" s="43">
        <f t="shared" si="1"/>
        <v>41296.9140625</v>
      </c>
      <c r="O115" s="43"/>
      <c r="P115" s="23"/>
      <c r="Q115" s="23"/>
    </row>
    <row r="116" spans="1:17">
      <c r="A116" s="23"/>
      <c r="B116" s="53">
        <v>106</v>
      </c>
      <c r="C116" s="58">
        <v>44146.57421875</v>
      </c>
      <c r="D116" s="59">
        <v>9973.08203125</v>
      </c>
      <c r="E116" s="59">
        <v>0</v>
      </c>
      <c r="F116" s="59">
        <v>-0.70101958513259888</v>
      </c>
      <c r="G116" s="42">
        <v>0</v>
      </c>
      <c r="H116" s="23"/>
      <c r="I116" s="23"/>
      <c r="J116" s="99"/>
      <c r="K116" s="99"/>
      <c r="L116" s="99"/>
      <c r="M116" s="99"/>
      <c r="N116" s="43">
        <f t="shared" si="1"/>
        <v>44146.57421875</v>
      </c>
      <c r="O116" s="43"/>
      <c r="P116" s="23"/>
      <c r="Q116" s="23"/>
    </row>
    <row r="117" spans="1:17">
      <c r="A117" s="23"/>
      <c r="B117" s="53">
        <v>107</v>
      </c>
      <c r="C117" s="58">
        <v>47192.87109375</v>
      </c>
      <c r="D117" s="59">
        <v>9972.8525390625</v>
      </c>
      <c r="E117" s="59">
        <v>0</v>
      </c>
      <c r="F117" s="59">
        <v>-0.75364279747009277</v>
      </c>
      <c r="G117" s="42">
        <v>0</v>
      </c>
      <c r="H117" s="23"/>
      <c r="I117" s="23"/>
      <c r="J117" s="99"/>
      <c r="K117" s="99"/>
      <c r="L117" s="99"/>
      <c r="M117" s="99"/>
      <c r="N117" s="43">
        <f t="shared" si="1"/>
        <v>47192.87109375</v>
      </c>
      <c r="O117" s="43"/>
      <c r="P117" s="23"/>
      <c r="Q117" s="23"/>
    </row>
    <row r="118" spans="1:17">
      <c r="A118" s="23"/>
      <c r="B118" s="53">
        <v>108</v>
      </c>
      <c r="C118" s="58">
        <v>50449.375</v>
      </c>
      <c r="D118" s="59">
        <v>9972.478515625</v>
      </c>
      <c r="E118" s="59">
        <v>0</v>
      </c>
      <c r="F118" s="59">
        <v>-0.79349732398986816</v>
      </c>
      <c r="G118" s="42">
        <v>0</v>
      </c>
      <c r="H118" s="23"/>
      <c r="I118" s="23"/>
      <c r="J118" s="99"/>
      <c r="K118" s="99"/>
      <c r="L118" s="99"/>
      <c r="M118" s="99"/>
      <c r="N118" s="43">
        <f t="shared" si="1"/>
        <v>50449.375</v>
      </c>
      <c r="O118" s="43"/>
      <c r="P118" s="23"/>
      <c r="Q118" s="23"/>
    </row>
    <row r="119" spans="1:17">
      <c r="A119" s="23"/>
      <c r="B119" s="53">
        <v>109</v>
      </c>
      <c r="C119" s="58">
        <v>53930.59375</v>
      </c>
      <c r="D119" s="59">
        <v>9972.19921875</v>
      </c>
      <c r="E119" s="59">
        <v>0</v>
      </c>
      <c r="F119" s="59">
        <v>-0.85551661252975464</v>
      </c>
      <c r="G119" s="42">
        <v>0</v>
      </c>
      <c r="H119" s="23"/>
      <c r="I119" s="23"/>
      <c r="J119" s="99"/>
      <c r="K119" s="99"/>
      <c r="L119" s="99"/>
      <c r="M119" s="99"/>
      <c r="N119" s="43">
        <f t="shared" si="1"/>
        <v>53930.59375</v>
      </c>
      <c r="O119" s="43"/>
      <c r="P119" s="23"/>
      <c r="Q119" s="23"/>
    </row>
    <row r="120" spans="1:17">
      <c r="A120" s="23"/>
      <c r="B120" s="53">
        <v>110</v>
      </c>
      <c r="C120" s="58">
        <v>57652.03125</v>
      </c>
      <c r="D120" s="59">
        <v>9972.2353515625</v>
      </c>
      <c r="E120" s="59">
        <v>0</v>
      </c>
      <c r="F120" s="59">
        <v>-0.91519880294799805</v>
      </c>
      <c r="G120" s="42">
        <v>0</v>
      </c>
      <c r="H120" s="23"/>
      <c r="I120" s="23"/>
      <c r="J120" s="99"/>
      <c r="K120" s="99"/>
      <c r="L120" s="99"/>
      <c r="M120" s="99"/>
      <c r="N120" s="43">
        <f t="shared" si="1"/>
        <v>57652.03125</v>
      </c>
      <c r="O120" s="43"/>
      <c r="P120" s="23"/>
      <c r="Q120" s="23"/>
    </row>
    <row r="121" spans="1:17">
      <c r="A121" s="23"/>
      <c r="B121" s="53">
        <v>111</v>
      </c>
      <c r="C121" s="58">
        <v>61630.26171875</v>
      </c>
      <c r="D121" s="59">
        <v>9972.8388671875</v>
      </c>
      <c r="E121" s="59">
        <v>0</v>
      </c>
      <c r="F121" s="59">
        <v>-0.97503370046615601</v>
      </c>
      <c r="G121" s="42">
        <v>0</v>
      </c>
      <c r="H121" s="23"/>
      <c r="I121" s="23"/>
      <c r="J121" s="99"/>
      <c r="K121" s="99"/>
      <c r="L121" s="99"/>
      <c r="M121" s="99"/>
      <c r="N121" s="43">
        <f t="shared" si="1"/>
        <v>61630.26171875</v>
      </c>
      <c r="O121" s="43"/>
      <c r="P121" s="23"/>
      <c r="Q121" s="23"/>
    </row>
    <row r="122" spans="1:17">
      <c r="A122" s="23"/>
      <c r="B122" s="53">
        <v>112</v>
      </c>
      <c r="C122" s="58">
        <v>65883.0078125</v>
      </c>
      <c r="D122" s="59">
        <v>9972.1767578125</v>
      </c>
      <c r="E122" s="59">
        <v>0</v>
      </c>
      <c r="F122" s="59">
        <v>-1.0470600128173828</v>
      </c>
      <c r="G122" s="42">
        <v>0</v>
      </c>
      <c r="H122" s="23"/>
      <c r="I122" s="23"/>
      <c r="J122" s="99"/>
      <c r="K122" s="99"/>
      <c r="L122" s="99"/>
      <c r="M122" s="99"/>
      <c r="N122" s="43">
        <f t="shared" si="1"/>
        <v>65883.0078125</v>
      </c>
      <c r="O122" s="43"/>
      <c r="P122" s="23"/>
      <c r="Q122" s="23"/>
    </row>
    <row r="123" spans="1:17">
      <c r="A123" s="23"/>
      <c r="B123" s="53">
        <v>113</v>
      </c>
      <c r="C123" s="58">
        <v>70429.203125</v>
      </c>
      <c r="D123" s="59">
        <v>9972.27734375</v>
      </c>
      <c r="E123" s="59">
        <v>0</v>
      </c>
      <c r="F123" s="59">
        <v>-1.1121490001678467</v>
      </c>
      <c r="G123" s="42">
        <v>0</v>
      </c>
      <c r="H123" s="23"/>
      <c r="I123" s="23"/>
      <c r="J123" s="99"/>
      <c r="K123" s="99"/>
      <c r="L123" s="99"/>
      <c r="M123" s="99"/>
      <c r="N123" s="43">
        <f t="shared" si="1"/>
        <v>70429.203125</v>
      </c>
      <c r="O123" s="43"/>
      <c r="P123" s="23"/>
      <c r="Q123" s="23"/>
    </row>
    <row r="124" spans="1:17">
      <c r="A124" s="23"/>
      <c r="B124" s="53">
        <v>114</v>
      </c>
      <c r="C124" s="58">
        <v>75289.1171875</v>
      </c>
      <c r="D124" s="59">
        <v>9971.685546875</v>
      </c>
      <c r="E124" s="59">
        <v>0</v>
      </c>
      <c r="F124" s="59">
        <v>-1.1957279443740845</v>
      </c>
      <c r="G124" s="42">
        <v>0</v>
      </c>
      <c r="H124" s="23"/>
      <c r="I124" s="23"/>
      <c r="J124" s="99"/>
      <c r="K124" s="99"/>
      <c r="L124" s="99"/>
      <c r="M124" s="99"/>
      <c r="N124" s="43">
        <f t="shared" si="1"/>
        <v>75289.1171875</v>
      </c>
      <c r="O124" s="43"/>
      <c r="P124" s="23"/>
      <c r="Q124" s="23"/>
    </row>
    <row r="125" spans="1:17">
      <c r="A125" s="23"/>
      <c r="B125" s="53">
        <v>115</v>
      </c>
      <c r="C125" s="58">
        <v>80484.3828125</v>
      </c>
      <c r="D125" s="59">
        <v>9971.298828125</v>
      </c>
      <c r="E125" s="59">
        <v>0</v>
      </c>
      <c r="F125" s="59">
        <v>-1.2720609903335571</v>
      </c>
      <c r="G125" s="42">
        <v>0</v>
      </c>
      <c r="H125" s="23"/>
      <c r="I125" s="23"/>
      <c r="J125" s="99"/>
      <c r="K125" s="99"/>
      <c r="L125" s="99"/>
      <c r="M125" s="99"/>
      <c r="N125" s="43">
        <f t="shared" si="1"/>
        <v>80484.3828125</v>
      </c>
      <c r="O125" s="43"/>
      <c r="P125" s="23"/>
      <c r="Q125" s="23"/>
    </row>
    <row r="126" spans="1:17">
      <c r="A126" s="23"/>
      <c r="B126" s="53">
        <v>116</v>
      </c>
      <c r="C126" s="58">
        <v>86038.140625</v>
      </c>
      <c r="D126" s="59">
        <v>9970.828125</v>
      </c>
      <c r="E126" s="59">
        <v>0</v>
      </c>
      <c r="F126" s="59">
        <v>-1.3593930006027222</v>
      </c>
      <c r="G126" s="42">
        <v>0</v>
      </c>
      <c r="H126" s="23"/>
      <c r="I126" s="23"/>
      <c r="J126" s="99"/>
      <c r="K126" s="99"/>
      <c r="L126" s="99"/>
      <c r="M126" s="99"/>
      <c r="N126" s="43">
        <f t="shared" si="1"/>
        <v>86038.140625</v>
      </c>
      <c r="O126" s="43"/>
      <c r="P126" s="23"/>
      <c r="Q126" s="23"/>
    </row>
    <row r="127" spans="1:17">
      <c r="A127" s="23"/>
      <c r="B127" s="53">
        <v>117</v>
      </c>
      <c r="C127" s="58">
        <v>91975.125</v>
      </c>
      <c r="D127" s="59">
        <v>9969.73828125</v>
      </c>
      <c r="E127" s="59">
        <v>0</v>
      </c>
      <c r="F127" s="59">
        <v>-1.4560630321502686</v>
      </c>
      <c r="G127" s="42">
        <v>0</v>
      </c>
      <c r="H127" s="23"/>
      <c r="I127" s="23"/>
      <c r="J127" s="99"/>
      <c r="K127" s="99"/>
      <c r="L127" s="99"/>
      <c r="M127" s="99"/>
      <c r="N127" s="43">
        <f t="shared" si="1"/>
        <v>91975.125</v>
      </c>
      <c r="O127" s="43"/>
      <c r="P127" s="23"/>
      <c r="Q127" s="23"/>
    </row>
    <row r="128" spans="1:17">
      <c r="A128" s="23"/>
      <c r="B128" s="53">
        <v>118</v>
      </c>
      <c r="C128" s="58">
        <v>98321.796875</v>
      </c>
      <c r="D128" s="59">
        <v>9970.1142578125</v>
      </c>
      <c r="E128" s="59">
        <v>0</v>
      </c>
      <c r="F128" s="59">
        <v>-1.5547469854354858</v>
      </c>
      <c r="G128" s="42">
        <v>0</v>
      </c>
      <c r="H128" s="23"/>
      <c r="I128" s="23"/>
      <c r="J128" s="99"/>
      <c r="K128" s="99"/>
      <c r="L128" s="99"/>
      <c r="M128" s="99"/>
      <c r="N128" s="43">
        <f t="shared" si="1"/>
        <v>98321.796875</v>
      </c>
      <c r="O128" s="43"/>
      <c r="P128" s="23"/>
      <c r="Q128" s="23"/>
    </row>
    <row r="129" spans="1:17">
      <c r="A129" s="23"/>
      <c r="B129" s="53">
        <v>119</v>
      </c>
      <c r="C129" s="58">
        <v>105106.40625</v>
      </c>
      <c r="D129" s="59">
        <v>9969.13671875</v>
      </c>
      <c r="E129" s="59">
        <v>0</v>
      </c>
      <c r="F129" s="59">
        <v>-1.6603209972381592</v>
      </c>
      <c r="G129" s="42">
        <v>0</v>
      </c>
      <c r="H129" s="23"/>
      <c r="I129" s="23"/>
      <c r="J129" s="99"/>
      <c r="K129" s="99"/>
      <c r="L129" s="99"/>
      <c r="M129" s="99"/>
      <c r="N129" s="43">
        <f t="shared" si="1"/>
        <v>105106.40625</v>
      </c>
      <c r="O129" s="43"/>
      <c r="P129" s="23"/>
      <c r="Q129" s="23"/>
    </row>
    <row r="130" spans="1:17">
      <c r="A130" s="23"/>
      <c r="B130" s="53">
        <v>120</v>
      </c>
      <c r="C130" s="58">
        <v>112359.1875</v>
      </c>
      <c r="D130" s="59">
        <v>9968.4345703125</v>
      </c>
      <c r="E130" s="59">
        <v>0</v>
      </c>
      <c r="F130" s="59">
        <v>-1.7704969644546509</v>
      </c>
      <c r="G130" s="42">
        <v>0</v>
      </c>
      <c r="H130" s="23"/>
      <c r="I130" s="23"/>
      <c r="J130" s="99"/>
      <c r="K130" s="99"/>
      <c r="L130" s="99"/>
      <c r="M130" s="99"/>
      <c r="N130" s="43">
        <f t="shared" si="1"/>
        <v>112359.1875</v>
      </c>
      <c r="O130" s="43"/>
      <c r="P130" s="23"/>
      <c r="Q130" s="23"/>
    </row>
    <row r="131" spans="1:17">
      <c r="A131" s="23"/>
      <c r="B131" s="53">
        <v>121</v>
      </c>
      <c r="C131" s="58">
        <v>120112.4453125</v>
      </c>
      <c r="D131" s="59">
        <v>9966.904296875</v>
      </c>
      <c r="E131" s="59">
        <v>0</v>
      </c>
      <c r="F131" s="59">
        <v>-1.8987629413604736</v>
      </c>
      <c r="G131" s="42">
        <v>0</v>
      </c>
      <c r="H131" s="23"/>
      <c r="I131" s="23"/>
      <c r="J131" s="99"/>
      <c r="K131" s="99"/>
      <c r="L131" s="99"/>
      <c r="M131" s="99"/>
      <c r="N131" s="43">
        <f t="shared" si="1"/>
        <v>120112.4453125</v>
      </c>
      <c r="O131" s="43"/>
      <c r="P131" s="23"/>
      <c r="Q131" s="23"/>
    </row>
    <row r="132" spans="1:17">
      <c r="A132" s="23"/>
      <c r="B132" s="53">
        <v>122</v>
      </c>
      <c r="C132" s="58">
        <v>128400.703125</v>
      </c>
      <c r="D132" s="59">
        <v>9966.1787109375</v>
      </c>
      <c r="E132" s="59">
        <v>0</v>
      </c>
      <c r="F132" s="59">
        <v>-2.0294671058654785</v>
      </c>
      <c r="G132" s="42">
        <v>0</v>
      </c>
      <c r="H132" s="23"/>
      <c r="I132" s="23"/>
      <c r="J132" s="99"/>
      <c r="K132" s="99"/>
      <c r="L132" s="99"/>
      <c r="M132" s="99"/>
      <c r="N132" s="43">
        <f t="shared" si="1"/>
        <v>128400.703125</v>
      </c>
      <c r="O132" s="43"/>
      <c r="P132" s="23"/>
      <c r="Q132" s="23"/>
    </row>
    <row r="133" spans="1:17">
      <c r="A133" s="23"/>
      <c r="B133" s="53">
        <v>123</v>
      </c>
      <c r="C133" s="58">
        <v>137260.890625</v>
      </c>
      <c r="D133" s="59">
        <v>9965.83203125</v>
      </c>
      <c r="E133" s="59">
        <v>0</v>
      </c>
      <c r="F133" s="59">
        <v>-2.1622130870819092</v>
      </c>
      <c r="G133" s="42">
        <v>0</v>
      </c>
      <c r="H133" s="23"/>
      <c r="I133" s="23"/>
      <c r="J133" s="99"/>
      <c r="K133" s="99"/>
      <c r="L133" s="99"/>
      <c r="M133" s="99"/>
      <c r="N133" s="43">
        <f t="shared" si="1"/>
        <v>137260.890625</v>
      </c>
      <c r="O133" s="43"/>
      <c r="P133" s="23"/>
      <c r="Q133" s="23"/>
    </row>
    <row r="134" spans="1:17">
      <c r="A134" s="23"/>
      <c r="B134" s="53">
        <v>124</v>
      </c>
      <c r="C134" s="58">
        <v>146732.46875</v>
      </c>
      <c r="D134" s="59">
        <v>9964.1240234375</v>
      </c>
      <c r="E134" s="59">
        <v>0</v>
      </c>
      <c r="F134" s="59">
        <v>-2.309636116027832</v>
      </c>
      <c r="G134" s="42">
        <v>0</v>
      </c>
      <c r="H134" s="23"/>
      <c r="I134" s="23"/>
      <c r="J134" s="99"/>
      <c r="K134" s="99"/>
      <c r="L134" s="99"/>
      <c r="M134" s="99"/>
      <c r="N134" s="43">
        <f t="shared" si="1"/>
        <v>146732.46875</v>
      </c>
      <c r="O134" s="43"/>
      <c r="P134" s="23"/>
      <c r="Q134" s="23"/>
    </row>
    <row r="135" spans="1:17">
      <c r="A135" s="23"/>
      <c r="B135" s="53">
        <v>125</v>
      </c>
      <c r="C135" s="58">
        <v>156857.609375</v>
      </c>
      <c r="D135" s="59">
        <v>9962.7119140625</v>
      </c>
      <c r="E135" s="59">
        <v>0</v>
      </c>
      <c r="F135" s="59">
        <v>-2.470897912979126</v>
      </c>
      <c r="G135" s="42">
        <v>0</v>
      </c>
      <c r="H135" s="23"/>
      <c r="I135" s="23"/>
      <c r="J135" s="99"/>
      <c r="K135" s="99"/>
      <c r="L135" s="99"/>
      <c r="M135" s="99"/>
      <c r="N135" s="43">
        <f t="shared" si="1"/>
        <v>156857.609375</v>
      </c>
      <c r="O135" s="43"/>
      <c r="P135" s="23"/>
      <c r="Q135" s="23"/>
    </row>
    <row r="136" spans="1:17">
      <c r="A136" s="23"/>
      <c r="B136" s="53">
        <v>126</v>
      </c>
      <c r="C136" s="58">
        <v>167681.4375</v>
      </c>
      <c r="D136" s="59">
        <v>9961.58984375</v>
      </c>
      <c r="E136" s="59">
        <v>0</v>
      </c>
      <c r="F136" s="59">
        <v>-2.639707088470459</v>
      </c>
      <c r="G136" s="42">
        <v>0</v>
      </c>
      <c r="H136" s="23"/>
      <c r="I136" s="23"/>
      <c r="J136" s="99"/>
      <c r="K136" s="99"/>
      <c r="L136" s="99"/>
      <c r="M136" s="99"/>
      <c r="N136" s="43">
        <f t="shared" si="1"/>
        <v>167681.4375</v>
      </c>
      <c r="O136" s="43"/>
      <c r="P136" s="23"/>
      <c r="Q136" s="23"/>
    </row>
    <row r="137" spans="1:17">
      <c r="A137" s="23"/>
      <c r="B137" s="53">
        <v>127</v>
      </c>
      <c r="C137" s="58">
        <v>179252.15625</v>
      </c>
      <c r="D137" s="59">
        <v>9960.3935546875</v>
      </c>
      <c r="E137" s="59">
        <v>0</v>
      </c>
      <c r="F137" s="59">
        <v>-2.8186099529266357</v>
      </c>
      <c r="G137" s="42">
        <v>0</v>
      </c>
      <c r="H137" s="23"/>
      <c r="I137" s="23"/>
      <c r="J137" s="99"/>
      <c r="K137" s="99"/>
      <c r="L137" s="99"/>
      <c r="M137" s="99"/>
      <c r="N137" s="43">
        <f t="shared" si="1"/>
        <v>179252.15625</v>
      </c>
      <c r="O137" s="43"/>
      <c r="P137" s="23"/>
      <c r="Q137" s="23"/>
    </row>
    <row r="138" spans="1:17">
      <c r="A138" s="23"/>
      <c r="B138" s="53">
        <v>128</v>
      </c>
      <c r="C138" s="58">
        <v>191621.3125</v>
      </c>
      <c r="D138" s="59">
        <v>9958.1845703125</v>
      </c>
      <c r="E138" s="59">
        <v>0</v>
      </c>
      <c r="F138" s="59">
        <v>-3.0148310661315918</v>
      </c>
      <c r="G138" s="42">
        <v>0</v>
      </c>
      <c r="H138" s="23"/>
      <c r="I138" s="23"/>
      <c r="J138" s="99"/>
      <c r="K138" s="99"/>
      <c r="L138" s="99"/>
      <c r="M138" s="99"/>
      <c r="N138" s="43">
        <f t="shared" si="1"/>
        <v>191621.3125</v>
      </c>
      <c r="O138" s="43"/>
      <c r="P138" s="23"/>
      <c r="Q138" s="23"/>
    </row>
    <row r="139" spans="1:17">
      <c r="A139" s="23"/>
      <c r="B139" s="53">
        <v>129</v>
      </c>
      <c r="C139" s="58">
        <v>204843.984375</v>
      </c>
      <c r="D139" s="59">
        <v>9956.6708984375</v>
      </c>
      <c r="E139" s="59">
        <v>0</v>
      </c>
      <c r="F139" s="59">
        <v>-3.2216730117797852</v>
      </c>
      <c r="G139" s="42">
        <v>0</v>
      </c>
      <c r="H139" s="23"/>
      <c r="I139" s="23"/>
      <c r="J139" s="99"/>
      <c r="K139" s="99"/>
      <c r="L139" s="99"/>
      <c r="M139" s="99"/>
      <c r="N139" s="43">
        <f t="shared" ref="N139:N202" si="2">IF($L$4=$C$10,C139,IF(D139="","",B139))</f>
        <v>204843.984375</v>
      </c>
      <c r="O139" s="43"/>
      <c r="P139" s="23"/>
      <c r="Q139" s="23"/>
    </row>
    <row r="140" spans="1:17">
      <c r="A140" s="23"/>
      <c r="B140" s="53">
        <v>130</v>
      </c>
      <c r="C140" s="58">
        <v>218979.0625</v>
      </c>
      <c r="D140" s="59">
        <v>9953.962890625</v>
      </c>
      <c r="E140" s="59">
        <v>0</v>
      </c>
      <c r="F140" s="59">
        <v>-3.4456110000610352</v>
      </c>
      <c r="G140" s="42">
        <v>0</v>
      </c>
      <c r="H140" s="23"/>
      <c r="I140" s="23"/>
      <c r="J140" s="99"/>
      <c r="K140" s="99"/>
      <c r="L140" s="99"/>
      <c r="M140" s="99"/>
      <c r="N140" s="43">
        <f t="shared" si="2"/>
        <v>218979.0625</v>
      </c>
      <c r="O140" s="43"/>
      <c r="P140" s="23"/>
      <c r="Q140" s="23"/>
    </row>
    <row r="141" spans="1:17">
      <c r="A141" s="23"/>
      <c r="B141" s="53">
        <v>131</v>
      </c>
      <c r="C141" s="58">
        <v>234089.53125</v>
      </c>
      <c r="D141" s="59">
        <v>9951.4716796875</v>
      </c>
      <c r="E141" s="59">
        <v>0</v>
      </c>
      <c r="F141" s="59">
        <v>-3.6832399368286133</v>
      </c>
      <c r="G141" s="42">
        <v>0</v>
      </c>
      <c r="H141" s="23"/>
      <c r="I141" s="23"/>
      <c r="J141" s="99"/>
      <c r="K141" s="99"/>
      <c r="L141" s="99"/>
      <c r="M141" s="99"/>
      <c r="N141" s="43">
        <f t="shared" si="2"/>
        <v>234089.53125</v>
      </c>
      <c r="O141" s="43"/>
      <c r="P141" s="23"/>
      <c r="Q141" s="23"/>
    </row>
    <row r="142" spans="1:17">
      <c r="A142" s="23"/>
      <c r="B142" s="53">
        <v>132</v>
      </c>
      <c r="C142" s="58">
        <v>250242.6875</v>
      </c>
      <c r="D142" s="59">
        <v>9948.9697265625</v>
      </c>
      <c r="E142" s="59">
        <v>0</v>
      </c>
      <c r="F142" s="59">
        <v>-3.9277360439300537</v>
      </c>
      <c r="G142" s="42">
        <v>0</v>
      </c>
      <c r="H142" s="23"/>
      <c r="I142" s="23"/>
      <c r="J142" s="99"/>
      <c r="K142" s="99"/>
      <c r="L142" s="99"/>
      <c r="M142" s="99"/>
      <c r="N142" s="43">
        <f t="shared" si="2"/>
        <v>250242.6875</v>
      </c>
      <c r="O142" s="43"/>
      <c r="P142" s="23"/>
      <c r="Q142" s="23"/>
    </row>
    <row r="143" spans="1:17">
      <c r="A143" s="23"/>
      <c r="B143" s="53">
        <v>133</v>
      </c>
      <c r="C143" s="58">
        <v>267510.46875</v>
      </c>
      <c r="D143" s="59">
        <v>9945.7802734375</v>
      </c>
      <c r="E143" s="59">
        <v>0</v>
      </c>
      <c r="F143" s="59">
        <v>-4.1981558799743652</v>
      </c>
      <c r="G143" s="42">
        <v>0</v>
      </c>
      <c r="H143" s="23"/>
      <c r="I143" s="23"/>
      <c r="J143" s="99"/>
      <c r="K143" s="99"/>
      <c r="L143" s="99"/>
      <c r="M143" s="99"/>
      <c r="N143" s="43">
        <f t="shared" si="2"/>
        <v>267510.46875</v>
      </c>
      <c r="O143" s="43"/>
      <c r="P143" s="23"/>
      <c r="Q143" s="23"/>
    </row>
    <row r="144" spans="1:17">
      <c r="A144" s="23"/>
      <c r="B144" s="53">
        <v>134</v>
      </c>
      <c r="C144" s="58">
        <v>285969.8125</v>
      </c>
      <c r="D144" s="59">
        <v>9940.6298828125</v>
      </c>
      <c r="E144" s="59">
        <v>0</v>
      </c>
      <c r="F144" s="59">
        <v>-4.4797120094299316</v>
      </c>
      <c r="G144" s="42">
        <v>0</v>
      </c>
      <c r="H144" s="23"/>
      <c r="I144" s="23"/>
      <c r="J144" s="99"/>
      <c r="K144" s="99"/>
      <c r="L144" s="99"/>
      <c r="M144" s="99"/>
      <c r="N144" s="43">
        <f t="shared" si="2"/>
        <v>285969.8125</v>
      </c>
      <c r="O144" s="43"/>
      <c r="P144" s="23"/>
      <c r="Q144" s="23"/>
    </row>
    <row r="145" spans="1:17">
      <c r="A145" s="23"/>
      <c r="B145" s="53">
        <v>135</v>
      </c>
      <c r="C145" s="58">
        <v>305702.9375</v>
      </c>
      <c r="D145" s="59">
        <v>9936.853515625</v>
      </c>
      <c r="E145" s="59">
        <v>0</v>
      </c>
      <c r="F145" s="59">
        <v>-4.785834789276123</v>
      </c>
      <c r="G145" s="42">
        <v>0</v>
      </c>
      <c r="H145" s="23"/>
      <c r="I145" s="23"/>
      <c r="J145" s="99"/>
      <c r="K145" s="99"/>
      <c r="L145" s="99"/>
      <c r="M145" s="99"/>
      <c r="N145" s="43">
        <f t="shared" si="2"/>
        <v>305702.9375</v>
      </c>
      <c r="O145" s="43"/>
      <c r="P145" s="23"/>
      <c r="Q145" s="23"/>
    </row>
    <row r="146" spans="1:17">
      <c r="A146" s="23"/>
      <c r="B146" s="53">
        <v>136</v>
      </c>
      <c r="C146" s="58">
        <v>326797.71875</v>
      </c>
      <c r="D146" s="59">
        <v>9932.74609375</v>
      </c>
      <c r="E146" s="59">
        <v>0</v>
      </c>
      <c r="F146" s="59">
        <v>-5.115534782409668</v>
      </c>
      <c r="G146" s="42">
        <v>0</v>
      </c>
      <c r="H146" s="23"/>
      <c r="I146" s="23"/>
      <c r="J146" s="99"/>
      <c r="K146" s="99"/>
      <c r="L146" s="99"/>
      <c r="M146" s="99"/>
      <c r="N146" s="43">
        <f t="shared" si="2"/>
        <v>326797.71875</v>
      </c>
      <c r="O146" s="43"/>
      <c r="P146" s="23"/>
      <c r="Q146" s="23"/>
    </row>
    <row r="147" spans="1:17">
      <c r="A147" s="23"/>
      <c r="B147" s="53">
        <v>137</v>
      </c>
      <c r="C147" s="58">
        <v>349348.125</v>
      </c>
      <c r="D147" s="59">
        <v>9926.8583984375</v>
      </c>
      <c r="E147" s="59">
        <v>0</v>
      </c>
      <c r="F147" s="59">
        <v>-5.463716983795166</v>
      </c>
      <c r="G147" s="42">
        <v>0</v>
      </c>
      <c r="H147" s="23"/>
      <c r="I147" s="23"/>
      <c r="J147" s="99"/>
      <c r="K147" s="99"/>
      <c r="L147" s="99"/>
      <c r="M147" s="99"/>
      <c r="N147" s="43">
        <f t="shared" si="2"/>
        <v>349348.125</v>
      </c>
      <c r="O147" s="43"/>
      <c r="P147" s="23"/>
      <c r="Q147" s="23"/>
    </row>
    <row r="148" spans="1:17">
      <c r="A148" s="23"/>
      <c r="B148" s="53">
        <v>138</v>
      </c>
      <c r="C148" s="58">
        <v>373454.59375</v>
      </c>
      <c r="D148" s="59">
        <v>9921.185546875</v>
      </c>
      <c r="E148" s="59">
        <v>0</v>
      </c>
      <c r="F148" s="59">
        <v>-5.837831974029541</v>
      </c>
      <c r="G148" s="42">
        <v>0</v>
      </c>
      <c r="H148" s="23"/>
      <c r="I148" s="23"/>
      <c r="J148" s="99"/>
      <c r="K148" s="99"/>
      <c r="L148" s="99"/>
      <c r="M148" s="99"/>
      <c r="N148" s="43">
        <f t="shared" si="2"/>
        <v>373454.59375</v>
      </c>
      <c r="O148" s="43"/>
      <c r="P148" s="23"/>
      <c r="Q148" s="23"/>
    </row>
    <row r="149" spans="1:17">
      <c r="A149" s="23"/>
      <c r="B149" s="53">
        <v>139</v>
      </c>
      <c r="C149" s="58">
        <v>399224.53125</v>
      </c>
      <c r="D149" s="59">
        <v>9913.8896484375</v>
      </c>
      <c r="E149" s="59">
        <v>0</v>
      </c>
      <c r="F149" s="59">
        <v>-6.2342348098754883</v>
      </c>
      <c r="G149" s="42">
        <v>0</v>
      </c>
      <c r="H149" s="23"/>
      <c r="I149" s="23"/>
      <c r="J149" s="99"/>
      <c r="K149" s="99"/>
      <c r="L149" s="99"/>
      <c r="M149" s="99"/>
      <c r="N149" s="43">
        <f t="shared" si="2"/>
        <v>399224.53125</v>
      </c>
      <c r="O149" s="43"/>
      <c r="P149" s="23"/>
      <c r="Q149" s="23"/>
    </row>
    <row r="150" spans="1:17">
      <c r="A150" s="23"/>
      <c r="B150" s="53">
        <v>140</v>
      </c>
      <c r="C150" s="58">
        <v>426772.6875</v>
      </c>
      <c r="D150" s="59">
        <v>9906.048828125</v>
      </c>
      <c r="E150" s="59">
        <v>0</v>
      </c>
      <c r="F150" s="59">
        <v>-6.6593198776245117</v>
      </c>
      <c r="G150" s="42">
        <v>0</v>
      </c>
      <c r="H150" s="23"/>
      <c r="I150" s="23"/>
      <c r="J150" s="99"/>
      <c r="K150" s="99"/>
      <c r="L150" s="99"/>
      <c r="M150" s="99"/>
      <c r="N150" s="43">
        <f t="shared" si="2"/>
        <v>426772.6875</v>
      </c>
      <c r="O150" s="43"/>
      <c r="P150" s="23"/>
      <c r="Q150" s="23"/>
    </row>
    <row r="151" spans="1:17">
      <c r="A151" s="23"/>
      <c r="B151" s="53">
        <v>141</v>
      </c>
      <c r="C151" s="58">
        <v>456221.78125</v>
      </c>
      <c r="D151" s="59">
        <v>9897.1533203125</v>
      </c>
      <c r="E151" s="59">
        <v>0</v>
      </c>
      <c r="F151" s="59">
        <v>-7.1134181022644043</v>
      </c>
      <c r="G151" s="42">
        <v>0</v>
      </c>
      <c r="H151" s="23"/>
      <c r="I151" s="23"/>
      <c r="J151" s="99"/>
      <c r="K151" s="99"/>
      <c r="L151" s="99"/>
      <c r="M151" s="99"/>
      <c r="N151" s="43">
        <f t="shared" si="2"/>
        <v>456221.78125</v>
      </c>
      <c r="O151" s="43"/>
      <c r="P151" s="23"/>
      <c r="Q151" s="23"/>
    </row>
    <row r="152" spans="1:17">
      <c r="A152" s="23"/>
      <c r="B152" s="53">
        <v>142</v>
      </c>
      <c r="C152" s="58">
        <v>487702.96875</v>
      </c>
      <c r="D152" s="59">
        <v>9887.39453125</v>
      </c>
      <c r="E152" s="59">
        <v>0</v>
      </c>
      <c r="F152" s="59">
        <v>-7.5915141105651855</v>
      </c>
      <c r="G152" s="42">
        <v>0</v>
      </c>
      <c r="H152" s="23"/>
      <c r="I152" s="23"/>
      <c r="J152" s="99"/>
      <c r="K152" s="99"/>
      <c r="L152" s="99"/>
      <c r="M152" s="99"/>
      <c r="N152" s="43">
        <f t="shared" si="2"/>
        <v>487702.96875</v>
      </c>
      <c r="O152" s="43"/>
      <c r="P152" s="23"/>
      <c r="Q152" s="23"/>
    </row>
    <row r="153" spans="1:17">
      <c r="A153" s="23"/>
      <c r="B153" s="53">
        <v>143</v>
      </c>
      <c r="C153" s="58">
        <v>521356.5</v>
      </c>
      <c r="D153" s="59">
        <v>9876.3857421875</v>
      </c>
      <c r="E153" s="59">
        <v>0</v>
      </c>
      <c r="F153" s="59">
        <v>-8.1060323715209961</v>
      </c>
      <c r="G153" s="42">
        <v>0</v>
      </c>
      <c r="H153" s="23"/>
      <c r="I153" s="23"/>
      <c r="J153" s="99"/>
      <c r="K153" s="99"/>
      <c r="L153" s="99"/>
      <c r="M153" s="99"/>
      <c r="N153" s="43">
        <f t="shared" si="2"/>
        <v>521356.5</v>
      </c>
      <c r="O153" s="43"/>
      <c r="P153" s="23"/>
      <c r="Q153" s="23"/>
    </row>
    <row r="154" spans="1:17">
      <c r="A154" s="23"/>
      <c r="B154" s="53">
        <v>144</v>
      </c>
      <c r="C154" s="58">
        <v>557332.3125</v>
      </c>
      <c r="D154" s="59">
        <v>9863.654296875</v>
      </c>
      <c r="E154" s="59">
        <v>0</v>
      </c>
      <c r="F154" s="59">
        <v>-8.6501150131225586</v>
      </c>
      <c r="G154" s="42">
        <v>0</v>
      </c>
      <c r="H154" s="23"/>
      <c r="I154" s="23"/>
      <c r="J154" s="99"/>
      <c r="K154" s="99"/>
      <c r="L154" s="99"/>
      <c r="M154" s="99"/>
      <c r="N154" s="43">
        <f t="shared" si="2"/>
        <v>557332.3125</v>
      </c>
      <c r="O154" s="43"/>
      <c r="P154" s="23"/>
      <c r="Q154" s="23"/>
    </row>
    <row r="155" spans="1:17">
      <c r="A155" s="23"/>
      <c r="B155" s="53">
        <v>145</v>
      </c>
      <c r="C155" s="58">
        <v>595790.5625</v>
      </c>
      <c r="D155" s="59">
        <v>9849.0791015625</v>
      </c>
      <c r="E155" s="59">
        <v>0</v>
      </c>
      <c r="F155" s="59">
        <v>-9.2316608428955078</v>
      </c>
      <c r="G155" s="42">
        <v>0</v>
      </c>
      <c r="H155" s="23"/>
      <c r="I155" s="23"/>
      <c r="J155" s="99"/>
      <c r="K155" s="99"/>
      <c r="L155" s="99"/>
      <c r="M155" s="99"/>
      <c r="N155" s="43">
        <f t="shared" si="2"/>
        <v>595790.5625</v>
      </c>
      <c r="O155" s="43"/>
      <c r="P155" s="23"/>
      <c r="Q155" s="23"/>
    </row>
    <row r="156" spans="1:17">
      <c r="A156" s="23"/>
      <c r="B156" s="53">
        <v>146</v>
      </c>
      <c r="C156" s="58">
        <v>636902.5625</v>
      </c>
      <c r="D156" s="59">
        <v>9832.8447265625</v>
      </c>
      <c r="E156" s="59">
        <v>0</v>
      </c>
      <c r="F156" s="59">
        <v>-9.8510732650756836</v>
      </c>
      <c r="G156" s="42">
        <v>0</v>
      </c>
      <c r="H156" s="23"/>
      <c r="I156" s="23"/>
      <c r="J156" s="99"/>
      <c r="K156" s="99"/>
      <c r="L156" s="99"/>
      <c r="M156" s="99"/>
      <c r="N156" s="43">
        <f t="shared" si="2"/>
        <v>636902.5625</v>
      </c>
      <c r="O156" s="43"/>
      <c r="P156" s="23"/>
      <c r="Q156" s="23"/>
    </row>
    <row r="157" spans="1:17">
      <c r="A157" s="23"/>
      <c r="B157" s="53">
        <v>147</v>
      </c>
      <c r="C157" s="58">
        <v>680851.5</v>
      </c>
      <c r="D157" s="59">
        <v>9814.5615234375</v>
      </c>
      <c r="E157" s="59">
        <v>0</v>
      </c>
      <c r="F157" s="59">
        <v>-10.514410018920898</v>
      </c>
      <c r="G157" s="42">
        <v>0</v>
      </c>
      <c r="H157" s="23"/>
      <c r="I157" s="23"/>
      <c r="J157" s="99"/>
      <c r="K157" s="99"/>
      <c r="L157" s="99"/>
      <c r="M157" s="99"/>
      <c r="N157" s="43">
        <f t="shared" si="2"/>
        <v>680851.5</v>
      </c>
      <c r="O157" s="43"/>
      <c r="P157" s="23"/>
      <c r="Q157" s="23"/>
    </row>
    <row r="158" spans="1:17">
      <c r="A158" s="23"/>
      <c r="B158" s="53">
        <v>148</v>
      </c>
      <c r="C158" s="58">
        <v>727833.125</v>
      </c>
      <c r="D158" s="59">
        <v>9793.177734375</v>
      </c>
      <c r="E158" s="59">
        <v>0</v>
      </c>
      <c r="F158" s="59">
        <v>-11.215120315551758</v>
      </c>
      <c r="G158" s="42">
        <v>0</v>
      </c>
      <c r="H158" s="23"/>
      <c r="I158" s="23"/>
      <c r="J158" s="99"/>
      <c r="K158" s="99"/>
      <c r="L158" s="99"/>
      <c r="M158" s="99"/>
      <c r="N158" s="43">
        <f t="shared" si="2"/>
        <v>727833.125</v>
      </c>
      <c r="O158" s="43"/>
      <c r="P158" s="23"/>
      <c r="Q158" s="23"/>
    </row>
    <row r="159" spans="1:17">
      <c r="A159" s="23"/>
      <c r="B159" s="53">
        <v>149</v>
      </c>
      <c r="C159" s="58">
        <v>778056.625</v>
      </c>
      <c r="D159" s="59">
        <v>9769.748046875</v>
      </c>
      <c r="E159" s="59">
        <v>0</v>
      </c>
      <c r="F159" s="59">
        <v>-11.968440055847168</v>
      </c>
      <c r="G159" s="42">
        <v>0</v>
      </c>
      <c r="H159" s="23"/>
      <c r="I159" s="23"/>
      <c r="J159" s="99"/>
      <c r="K159" s="99"/>
      <c r="L159" s="99"/>
      <c r="M159" s="99"/>
      <c r="N159" s="43">
        <f t="shared" si="2"/>
        <v>778056.625</v>
      </c>
      <c r="O159" s="43"/>
      <c r="P159" s="23"/>
      <c r="Q159" s="23"/>
    </row>
    <row r="160" spans="1:17">
      <c r="A160" s="23"/>
      <c r="B160" s="53">
        <v>150</v>
      </c>
      <c r="C160" s="58">
        <v>831745.75</v>
      </c>
      <c r="D160" s="59">
        <v>9743.03515625</v>
      </c>
      <c r="E160" s="59">
        <v>0</v>
      </c>
      <c r="F160" s="59">
        <v>-12.753100395202637</v>
      </c>
      <c r="G160" s="42">
        <v>0</v>
      </c>
      <c r="H160" s="23"/>
      <c r="I160" s="23"/>
      <c r="J160" s="99"/>
      <c r="K160" s="99"/>
      <c r="L160" s="99"/>
      <c r="M160" s="99"/>
      <c r="N160" s="43">
        <f t="shared" si="2"/>
        <v>831745.75</v>
      </c>
      <c r="O160" s="43"/>
      <c r="P160" s="23"/>
      <c r="Q160" s="23"/>
    </row>
    <row r="161" spans="1:17">
      <c r="A161" s="23"/>
      <c r="B161" s="53">
        <v>151</v>
      </c>
      <c r="C161" s="58">
        <v>889139.6875</v>
      </c>
      <c r="D161" s="59">
        <v>9713.1494140625</v>
      </c>
      <c r="E161" s="59">
        <v>0</v>
      </c>
      <c r="F161" s="59">
        <v>-13.598079681396484</v>
      </c>
      <c r="G161" s="42">
        <v>0</v>
      </c>
      <c r="H161" s="23"/>
      <c r="I161" s="23"/>
      <c r="J161" s="99"/>
      <c r="K161" s="99"/>
      <c r="L161" s="99"/>
      <c r="M161" s="99"/>
      <c r="N161" s="43">
        <f t="shared" si="2"/>
        <v>889139.6875</v>
      </c>
      <c r="O161" s="43"/>
      <c r="P161" s="23"/>
      <c r="Q161" s="23"/>
    </row>
    <row r="162" spans="1:17">
      <c r="A162" s="23"/>
      <c r="B162" s="53">
        <v>152</v>
      </c>
      <c r="C162" s="58">
        <v>950494.0625</v>
      </c>
      <c r="D162" s="59">
        <v>9679.146484375</v>
      </c>
      <c r="E162" s="59">
        <v>0</v>
      </c>
      <c r="F162" s="59">
        <v>-14.498530387878418</v>
      </c>
      <c r="G162" s="42">
        <v>0</v>
      </c>
      <c r="H162" s="23"/>
      <c r="I162" s="23"/>
      <c r="J162" s="99"/>
      <c r="K162" s="99"/>
      <c r="L162" s="99"/>
      <c r="M162" s="99"/>
      <c r="N162" s="43">
        <f t="shared" si="2"/>
        <v>950494.0625</v>
      </c>
      <c r="O162" s="43"/>
      <c r="P162" s="23"/>
      <c r="Q162" s="23"/>
    </row>
    <row r="163" spans="1:17">
      <c r="A163" s="23"/>
      <c r="B163" s="53">
        <v>153</v>
      </c>
      <c r="C163" s="58">
        <v>1016082.125</v>
      </c>
      <c r="D163" s="59">
        <v>9641.494140625</v>
      </c>
      <c r="E163" s="59">
        <v>0</v>
      </c>
      <c r="F163" s="59">
        <v>-15.443639755249023</v>
      </c>
      <c r="G163" s="42">
        <v>0</v>
      </c>
      <c r="H163" s="23"/>
      <c r="I163" s="23"/>
      <c r="J163" s="99"/>
      <c r="K163" s="99"/>
      <c r="L163" s="99"/>
      <c r="M163" s="99"/>
      <c r="N163" s="43">
        <f t="shared" si="2"/>
        <v>1016082.125</v>
      </c>
      <c r="O163" s="43"/>
      <c r="P163" s="23"/>
      <c r="Q163" s="23"/>
    </row>
    <row r="164" spans="1:17">
      <c r="A164" s="23"/>
      <c r="B164" s="53">
        <v>154</v>
      </c>
      <c r="C164" s="58">
        <v>1086196</v>
      </c>
      <c r="D164" s="59">
        <v>9599.0390625</v>
      </c>
      <c r="E164" s="59">
        <v>0</v>
      </c>
      <c r="F164" s="59">
        <v>-16.448820114135742</v>
      </c>
      <c r="G164" s="42">
        <v>0</v>
      </c>
      <c r="H164" s="23"/>
      <c r="I164" s="23"/>
      <c r="J164" s="99"/>
      <c r="K164" s="99"/>
      <c r="L164" s="99"/>
      <c r="M164" s="99"/>
      <c r="N164" s="43">
        <f t="shared" si="2"/>
        <v>1086196</v>
      </c>
      <c r="O164" s="43"/>
      <c r="P164" s="23"/>
      <c r="Q164" s="23"/>
    </row>
    <row r="165" spans="1:17">
      <c r="A165" s="23"/>
      <c r="B165" s="53">
        <v>155</v>
      </c>
      <c r="C165" s="58">
        <v>1161148.125</v>
      </c>
      <c r="D165" s="59">
        <v>9550.990234375</v>
      </c>
      <c r="E165" s="59">
        <v>0</v>
      </c>
      <c r="F165" s="59">
        <v>-17.493570327758789</v>
      </c>
      <c r="G165" s="42">
        <v>0</v>
      </c>
      <c r="H165" s="23"/>
      <c r="I165" s="23"/>
      <c r="J165" s="99"/>
      <c r="K165" s="99"/>
      <c r="L165" s="99"/>
      <c r="M165" s="99"/>
      <c r="N165" s="43">
        <f t="shared" si="2"/>
        <v>1161148.125</v>
      </c>
      <c r="O165" s="43"/>
      <c r="P165" s="23"/>
      <c r="Q165" s="23"/>
    </row>
    <row r="166" spans="1:17">
      <c r="A166" s="23"/>
      <c r="B166" s="53">
        <v>156</v>
      </c>
      <c r="C166" s="58">
        <v>1241272.125</v>
      </c>
      <c r="D166" s="59">
        <v>9497.9208984375</v>
      </c>
      <c r="E166" s="59">
        <v>0</v>
      </c>
      <c r="F166" s="59">
        <v>-18.609729766845703</v>
      </c>
      <c r="G166" s="42">
        <v>0</v>
      </c>
      <c r="H166" s="23"/>
      <c r="I166" s="23"/>
      <c r="J166" s="99"/>
      <c r="K166" s="99"/>
      <c r="L166" s="99"/>
      <c r="M166" s="99"/>
      <c r="N166" s="43">
        <f t="shared" si="2"/>
        <v>1241272.125</v>
      </c>
      <c r="O166" s="43"/>
      <c r="P166" s="23"/>
      <c r="Q166" s="23"/>
    </row>
    <row r="167" spans="1:17">
      <c r="A167" s="23"/>
      <c r="B167" s="53">
        <v>157</v>
      </c>
      <c r="C167" s="58">
        <v>1326925.125</v>
      </c>
      <c r="D167" s="59">
        <v>9438.6025390625</v>
      </c>
      <c r="E167" s="59">
        <v>0</v>
      </c>
      <c r="F167" s="59">
        <v>-19.788650512695313</v>
      </c>
      <c r="G167" s="42">
        <v>0</v>
      </c>
      <c r="H167" s="23"/>
      <c r="I167" s="23"/>
      <c r="J167" s="99"/>
      <c r="K167" s="99"/>
      <c r="L167" s="99"/>
      <c r="M167" s="99"/>
      <c r="N167" s="43">
        <f t="shared" si="2"/>
        <v>1326925.125</v>
      </c>
      <c r="O167" s="43"/>
      <c r="P167" s="23"/>
      <c r="Q167" s="23"/>
    </row>
    <row r="168" spans="1:17">
      <c r="A168" s="23"/>
      <c r="B168" s="53">
        <v>158</v>
      </c>
      <c r="C168" s="58">
        <v>1418488.5</v>
      </c>
      <c r="D168" s="59">
        <v>9373.228515625</v>
      </c>
      <c r="E168" s="59">
        <v>0</v>
      </c>
      <c r="F168" s="59">
        <v>-21.026769638061523</v>
      </c>
      <c r="G168" s="42">
        <v>0</v>
      </c>
      <c r="H168" s="23"/>
      <c r="I168" s="23"/>
      <c r="J168" s="99"/>
      <c r="K168" s="99"/>
      <c r="L168" s="99"/>
      <c r="M168" s="99"/>
      <c r="N168" s="43">
        <f t="shared" si="2"/>
        <v>1418488.5</v>
      </c>
      <c r="O168" s="43"/>
      <c r="P168" s="23"/>
      <c r="Q168" s="23"/>
    </row>
    <row r="169" spans="1:17">
      <c r="A169" s="23"/>
      <c r="B169" s="53">
        <v>159</v>
      </c>
      <c r="C169" s="58">
        <v>1516370.125</v>
      </c>
      <c r="D169" s="59">
        <v>9301.388671875</v>
      </c>
      <c r="E169" s="59">
        <v>0</v>
      </c>
      <c r="F169" s="59">
        <v>-22.332880020141602</v>
      </c>
      <c r="G169" s="42">
        <v>0</v>
      </c>
      <c r="H169" s="23"/>
      <c r="I169" s="23"/>
      <c r="J169" s="99"/>
      <c r="K169" s="99"/>
      <c r="L169" s="99"/>
      <c r="M169" s="99"/>
      <c r="N169" s="43">
        <f t="shared" si="2"/>
        <v>1516370.125</v>
      </c>
      <c r="O169" s="43"/>
      <c r="P169" s="23"/>
      <c r="Q169" s="23"/>
    </row>
    <row r="170" spans="1:17">
      <c r="A170" s="23"/>
      <c r="B170" s="53">
        <v>160</v>
      </c>
      <c r="C170" s="58">
        <v>1621005.875</v>
      </c>
      <c r="D170" s="59">
        <v>9221.421875</v>
      </c>
      <c r="E170" s="59">
        <v>0</v>
      </c>
      <c r="F170" s="59">
        <v>-23.693359375</v>
      </c>
      <c r="G170" s="42">
        <v>0</v>
      </c>
      <c r="H170" s="23"/>
      <c r="I170" s="23"/>
      <c r="J170" s="99"/>
      <c r="K170" s="99"/>
      <c r="L170" s="99"/>
      <c r="M170" s="99"/>
      <c r="N170" s="43">
        <f t="shared" si="2"/>
        <v>1621005.875</v>
      </c>
      <c r="O170" s="43"/>
      <c r="P170" s="23"/>
      <c r="Q170" s="23"/>
    </row>
    <row r="171" spans="1:17">
      <c r="A171" s="23"/>
      <c r="B171" s="53">
        <v>161</v>
      </c>
      <c r="C171" s="58">
        <v>1732862.125</v>
      </c>
      <c r="D171" s="59">
        <v>9133.5654296875</v>
      </c>
      <c r="E171" s="59">
        <v>0</v>
      </c>
      <c r="F171" s="59">
        <v>-25.120010375976563</v>
      </c>
      <c r="G171" s="42">
        <v>0</v>
      </c>
      <c r="H171" s="23"/>
      <c r="I171" s="23"/>
      <c r="J171" s="99"/>
      <c r="K171" s="99"/>
      <c r="L171" s="99"/>
      <c r="M171" s="99"/>
      <c r="N171" s="43">
        <f t="shared" si="2"/>
        <v>1732862.125</v>
      </c>
      <c r="O171" s="43"/>
      <c r="P171" s="23"/>
      <c r="Q171" s="23"/>
    </row>
    <row r="172" spans="1:17">
      <c r="A172" s="23"/>
      <c r="B172" s="53">
        <v>162</v>
      </c>
      <c r="C172" s="58">
        <v>1852436.875</v>
      </c>
      <c r="D172" s="59">
        <v>9037.5693359375</v>
      </c>
      <c r="E172" s="59">
        <v>0</v>
      </c>
      <c r="F172" s="59">
        <v>-26.605709075927734</v>
      </c>
      <c r="G172" s="42">
        <v>0</v>
      </c>
      <c r="H172" s="23"/>
      <c r="I172" s="23"/>
      <c r="J172" s="99"/>
      <c r="K172" s="99"/>
      <c r="L172" s="99"/>
      <c r="M172" s="99"/>
      <c r="N172" s="43">
        <f t="shared" si="2"/>
        <v>1852436.875</v>
      </c>
      <c r="O172" s="43"/>
      <c r="P172" s="23"/>
      <c r="Q172" s="23"/>
    </row>
    <row r="173" spans="1:17">
      <c r="A173" s="23"/>
      <c r="B173" s="53">
        <v>163</v>
      </c>
      <c r="C173" s="58">
        <v>1980262.75</v>
      </c>
      <c r="D173" s="59">
        <v>8932.853515625</v>
      </c>
      <c r="E173" s="59">
        <v>0</v>
      </c>
      <c r="F173" s="59">
        <v>-28.155340194702148</v>
      </c>
      <c r="G173" s="42">
        <v>0</v>
      </c>
      <c r="H173" s="23"/>
      <c r="I173" s="23"/>
      <c r="J173" s="99"/>
      <c r="K173" s="99"/>
      <c r="L173" s="99"/>
      <c r="M173" s="99"/>
      <c r="N173" s="43">
        <f t="shared" si="2"/>
        <v>1980262.75</v>
      </c>
      <c r="O173" s="43"/>
      <c r="P173" s="23"/>
      <c r="Q173" s="23"/>
    </row>
    <row r="174" spans="1:17">
      <c r="A174" s="23"/>
      <c r="B174" s="53">
        <v>164</v>
      </c>
      <c r="C174" s="58">
        <v>2116909</v>
      </c>
      <c r="D174" s="59">
        <v>8819.16015625</v>
      </c>
      <c r="E174" s="59">
        <v>0</v>
      </c>
      <c r="F174" s="59">
        <v>-29.760099411010742</v>
      </c>
      <c r="G174" s="42">
        <v>0</v>
      </c>
      <c r="H174" s="23"/>
      <c r="I174" s="23"/>
      <c r="J174" s="99"/>
      <c r="K174" s="99"/>
      <c r="L174" s="99"/>
      <c r="M174" s="99"/>
      <c r="N174" s="43">
        <f t="shared" si="2"/>
        <v>2116909</v>
      </c>
      <c r="O174" s="43"/>
      <c r="P174" s="23"/>
      <c r="Q174" s="23"/>
    </row>
    <row r="175" spans="1:17">
      <c r="A175" s="23"/>
      <c r="B175" s="53">
        <v>165</v>
      </c>
      <c r="C175" s="58">
        <v>2262984.75</v>
      </c>
      <c r="D175" s="59">
        <v>8696.8623046875</v>
      </c>
      <c r="E175" s="59">
        <v>0</v>
      </c>
      <c r="F175" s="59">
        <v>-31.418630599975586</v>
      </c>
      <c r="G175" s="42">
        <v>0</v>
      </c>
      <c r="H175" s="23"/>
      <c r="I175" s="23"/>
      <c r="J175" s="99"/>
      <c r="K175" s="99"/>
      <c r="L175" s="99"/>
      <c r="M175" s="99"/>
      <c r="N175" s="43">
        <f t="shared" si="2"/>
        <v>2262984.75</v>
      </c>
      <c r="O175" s="43"/>
      <c r="P175" s="23"/>
      <c r="Q175" s="23"/>
    </row>
    <row r="176" spans="1:17">
      <c r="A176" s="23"/>
      <c r="B176" s="53">
        <v>166</v>
      </c>
      <c r="C176" s="58">
        <v>2419140</v>
      </c>
      <c r="D176" s="59">
        <v>8566.12109375</v>
      </c>
      <c r="E176" s="59">
        <v>0</v>
      </c>
      <c r="F176" s="59">
        <v>-33.127891540527344</v>
      </c>
      <c r="G176" s="42">
        <v>0</v>
      </c>
      <c r="H176" s="23"/>
      <c r="I176" s="23"/>
      <c r="J176" s="99"/>
      <c r="K176" s="99"/>
      <c r="L176" s="99"/>
      <c r="M176" s="99"/>
      <c r="N176" s="43">
        <f t="shared" si="2"/>
        <v>2419140</v>
      </c>
      <c r="O176" s="43"/>
      <c r="P176" s="23"/>
      <c r="Q176" s="23"/>
    </row>
    <row r="177" spans="1:17">
      <c r="A177" s="23"/>
      <c r="B177" s="53">
        <v>167</v>
      </c>
      <c r="C177" s="58">
        <v>2586070.75</v>
      </c>
      <c r="D177" s="59">
        <v>8425.916015625</v>
      </c>
      <c r="E177" s="59">
        <v>0</v>
      </c>
      <c r="F177" s="59">
        <v>-34.88800048828125</v>
      </c>
      <c r="G177" s="42">
        <v>0</v>
      </c>
      <c r="H177" s="23"/>
      <c r="I177" s="23"/>
      <c r="J177" s="99"/>
      <c r="K177" s="99"/>
      <c r="L177" s="99"/>
      <c r="M177" s="99"/>
      <c r="N177" s="43">
        <f t="shared" si="2"/>
        <v>2586070.75</v>
      </c>
      <c r="O177" s="43"/>
      <c r="P177" s="23"/>
      <c r="Q177" s="23"/>
    </row>
    <row r="178" spans="1:17">
      <c r="A178" s="23"/>
      <c r="B178" s="53">
        <v>168</v>
      </c>
      <c r="C178" s="58">
        <v>2764520.5</v>
      </c>
      <c r="D178" s="59">
        <v>8278.873046875</v>
      </c>
      <c r="E178" s="59">
        <v>0</v>
      </c>
      <c r="F178" s="59">
        <v>-36.684940338134766</v>
      </c>
      <c r="G178" s="42">
        <v>0</v>
      </c>
      <c r="H178" s="23"/>
      <c r="I178" s="23"/>
      <c r="J178" s="99"/>
      <c r="K178" s="99"/>
      <c r="L178" s="99"/>
      <c r="M178" s="99"/>
      <c r="N178" s="43">
        <f t="shared" si="2"/>
        <v>2764520.5</v>
      </c>
      <c r="O178" s="43"/>
      <c r="P178" s="23"/>
      <c r="Q178" s="23"/>
    </row>
    <row r="179" spans="1:17">
      <c r="A179" s="23"/>
      <c r="B179" s="53">
        <v>169</v>
      </c>
      <c r="C179" s="58">
        <v>2955284</v>
      </c>
      <c r="D179" s="59">
        <v>8124.08984375</v>
      </c>
      <c r="E179" s="59">
        <v>0</v>
      </c>
      <c r="F179" s="59">
        <v>-38.524311065673828</v>
      </c>
      <c r="G179" s="42">
        <v>0</v>
      </c>
      <c r="H179" s="23"/>
      <c r="I179" s="23"/>
      <c r="J179" s="99"/>
      <c r="K179" s="99"/>
      <c r="L179" s="99"/>
      <c r="M179" s="99"/>
      <c r="N179" s="43">
        <f t="shared" si="2"/>
        <v>2955284</v>
      </c>
      <c r="O179" s="43"/>
      <c r="P179" s="23"/>
      <c r="Q179" s="23"/>
    </row>
    <row r="180" spans="1:17">
      <c r="A180" s="23"/>
      <c r="B180" s="53">
        <v>170</v>
      </c>
      <c r="C180" s="58">
        <v>3159210.75</v>
      </c>
      <c r="D180" s="59">
        <v>7962.369140625</v>
      </c>
      <c r="E180" s="59">
        <v>0</v>
      </c>
      <c r="F180" s="59">
        <v>-40.395290374755859</v>
      </c>
      <c r="G180" s="42">
        <v>0</v>
      </c>
      <c r="H180" s="23"/>
      <c r="I180" s="23"/>
      <c r="J180" s="99"/>
      <c r="K180" s="99"/>
      <c r="L180" s="99"/>
      <c r="M180" s="99"/>
      <c r="N180" s="43">
        <f t="shared" si="2"/>
        <v>3159210.75</v>
      </c>
      <c r="O180" s="43"/>
      <c r="P180" s="23"/>
      <c r="Q180" s="23"/>
    </row>
    <row r="181" spans="1:17">
      <c r="A181" s="23"/>
      <c r="B181" s="53">
        <v>171</v>
      </c>
      <c r="C181" s="58">
        <v>3377209.5</v>
      </c>
      <c r="D181" s="59">
        <v>7796.84716796875</v>
      </c>
      <c r="E181" s="59">
        <v>0</v>
      </c>
      <c r="F181" s="59">
        <v>-42.290378570556641</v>
      </c>
      <c r="G181" s="42">
        <v>0</v>
      </c>
      <c r="H181" s="23"/>
      <c r="I181" s="23"/>
      <c r="J181" s="99"/>
      <c r="K181" s="99"/>
      <c r="L181" s="99"/>
      <c r="M181" s="99"/>
      <c r="N181" s="43">
        <f t="shared" si="2"/>
        <v>3377209.5</v>
      </c>
      <c r="O181" s="43"/>
      <c r="P181" s="23"/>
      <c r="Q181" s="23"/>
    </row>
    <row r="182" spans="1:17">
      <c r="A182" s="23"/>
      <c r="B182" s="53">
        <v>172</v>
      </c>
      <c r="C182" s="58">
        <v>3610251</v>
      </c>
      <c r="D182" s="59">
        <v>7627.7509765625</v>
      </c>
      <c r="E182" s="59">
        <v>0</v>
      </c>
      <c r="F182" s="59">
        <v>-44.200229644775391</v>
      </c>
      <c r="G182" s="42">
        <v>0</v>
      </c>
      <c r="H182" s="23"/>
      <c r="I182" s="23"/>
      <c r="J182" s="99"/>
      <c r="K182" s="99"/>
      <c r="L182" s="99"/>
      <c r="M182" s="99"/>
      <c r="N182" s="43">
        <f t="shared" si="2"/>
        <v>3610251</v>
      </c>
      <c r="O182" s="43"/>
      <c r="P182" s="23"/>
      <c r="Q182" s="23"/>
    </row>
    <row r="183" spans="1:17">
      <c r="A183" s="23"/>
      <c r="B183" s="53">
        <v>173</v>
      </c>
      <c r="C183" s="58">
        <v>3859373.5</v>
      </c>
      <c r="D183" s="59">
        <v>7456.76708984375</v>
      </c>
      <c r="E183" s="59">
        <v>0</v>
      </c>
      <c r="F183" s="59">
        <v>-46.119468688964844</v>
      </c>
      <c r="G183" s="42">
        <v>0</v>
      </c>
      <c r="H183" s="23"/>
      <c r="I183" s="23"/>
      <c r="J183" s="99"/>
      <c r="K183" s="99"/>
      <c r="L183" s="99"/>
      <c r="M183" s="99"/>
      <c r="N183" s="43">
        <f t="shared" si="2"/>
        <v>3859373.5</v>
      </c>
      <c r="O183" s="43"/>
      <c r="P183" s="23"/>
      <c r="Q183" s="23"/>
    </row>
    <row r="184" spans="1:17">
      <c r="A184" s="23"/>
      <c r="B184" s="53">
        <v>174</v>
      </c>
      <c r="C184" s="58">
        <v>4125686.25</v>
      </c>
      <c r="D184" s="59">
        <v>7288.56005859375</v>
      </c>
      <c r="E184" s="59">
        <v>0</v>
      </c>
      <c r="F184" s="59">
        <v>-48.040088653564453</v>
      </c>
      <c r="G184" s="42">
        <v>0</v>
      </c>
      <c r="H184" s="23"/>
      <c r="I184" s="23"/>
      <c r="J184" s="99"/>
      <c r="K184" s="99"/>
      <c r="L184" s="99"/>
      <c r="M184" s="99"/>
      <c r="N184" s="43">
        <f t="shared" si="2"/>
        <v>4125686.25</v>
      </c>
      <c r="O184" s="43"/>
      <c r="P184" s="23"/>
      <c r="Q184" s="23"/>
    </row>
    <row r="185" spans="1:17">
      <c r="A185" s="23"/>
      <c r="B185" s="53">
        <v>175</v>
      </c>
      <c r="C185" s="58">
        <v>4410376</v>
      </c>
      <c r="D185" s="59">
        <v>7124.748046875</v>
      </c>
      <c r="E185" s="59">
        <v>0</v>
      </c>
      <c r="F185" s="59">
        <v>-49.987331390380859</v>
      </c>
      <c r="G185" s="42">
        <v>0</v>
      </c>
      <c r="H185" s="23"/>
      <c r="I185" s="23"/>
      <c r="J185" s="99"/>
      <c r="K185" s="99"/>
      <c r="L185" s="99"/>
      <c r="M185" s="99"/>
      <c r="N185" s="43">
        <f t="shared" si="2"/>
        <v>4410376</v>
      </c>
      <c r="O185" s="43"/>
      <c r="P185" s="23"/>
      <c r="Q185" s="23"/>
    </row>
    <row r="186" spans="1:17">
      <c r="A186" s="23"/>
      <c r="B186" s="53">
        <v>176</v>
      </c>
      <c r="C186" s="58">
        <v>4714710</v>
      </c>
      <c r="D186" s="59">
        <v>6963.833984375</v>
      </c>
      <c r="E186" s="59">
        <v>0</v>
      </c>
      <c r="F186" s="59">
        <v>-51.946159362792969</v>
      </c>
      <c r="G186" s="42">
        <v>0</v>
      </c>
      <c r="H186" s="23"/>
      <c r="I186" s="23"/>
      <c r="J186" s="99"/>
      <c r="K186" s="99"/>
      <c r="L186" s="99"/>
      <c r="M186" s="99"/>
      <c r="N186" s="43">
        <f t="shared" si="2"/>
        <v>4714710</v>
      </c>
      <c r="O186" s="43"/>
      <c r="P186" s="23"/>
      <c r="Q186" s="23"/>
    </row>
    <row r="187" spans="1:17">
      <c r="A187" s="23"/>
      <c r="B187" s="53">
        <v>177</v>
      </c>
      <c r="C187" s="58">
        <v>5040045</v>
      </c>
      <c r="D187" s="59">
        <v>6812.47802734375</v>
      </c>
      <c r="E187" s="59">
        <v>0</v>
      </c>
      <c r="F187" s="59">
        <v>-53.892189025878906</v>
      </c>
      <c r="G187" s="42">
        <v>0</v>
      </c>
      <c r="H187" s="23"/>
      <c r="I187" s="23"/>
      <c r="J187" s="99"/>
      <c r="K187" s="99"/>
      <c r="L187" s="99"/>
      <c r="M187" s="99"/>
      <c r="N187" s="43">
        <f t="shared" si="2"/>
        <v>5040045</v>
      </c>
      <c r="O187" s="43"/>
      <c r="P187" s="23"/>
      <c r="Q187" s="23"/>
    </row>
    <row r="188" spans="1:17">
      <c r="A188" s="23"/>
      <c r="B188" s="53">
        <v>178</v>
      </c>
      <c r="C188" s="58">
        <v>5387829</v>
      </c>
      <c r="D188" s="59">
        <v>6674.833984375</v>
      </c>
      <c r="E188" s="59">
        <v>0</v>
      </c>
      <c r="F188" s="59">
        <v>-55.847549438476563</v>
      </c>
      <c r="G188" s="42">
        <v>0</v>
      </c>
      <c r="H188" s="23"/>
      <c r="I188" s="23"/>
      <c r="J188" s="99"/>
      <c r="K188" s="99"/>
      <c r="L188" s="99"/>
      <c r="M188" s="99"/>
      <c r="N188" s="43">
        <f t="shared" si="2"/>
        <v>5387829</v>
      </c>
      <c r="O188" s="43"/>
      <c r="P188" s="23"/>
      <c r="Q188" s="23"/>
    </row>
    <row r="189" spans="1:17">
      <c r="A189" s="23"/>
      <c r="B189" s="53">
        <v>179</v>
      </c>
      <c r="C189" s="58">
        <v>5759611.5</v>
      </c>
      <c r="D189" s="59">
        <v>6557.328125</v>
      </c>
      <c r="E189" s="59">
        <v>0</v>
      </c>
      <c r="F189" s="59">
        <v>-57.820018768310547</v>
      </c>
      <c r="G189" s="42">
        <v>0</v>
      </c>
      <c r="H189" s="23"/>
      <c r="I189" s="23"/>
      <c r="J189" s="99"/>
      <c r="K189" s="99"/>
      <c r="L189" s="99"/>
      <c r="M189" s="99"/>
      <c r="N189" s="43">
        <f t="shared" si="2"/>
        <v>5759611.5</v>
      </c>
      <c r="O189" s="43"/>
      <c r="P189" s="23"/>
      <c r="Q189" s="23"/>
    </row>
    <row r="190" spans="1:17">
      <c r="A190" s="23"/>
      <c r="B190" s="53">
        <v>180</v>
      </c>
      <c r="C190" s="58">
        <v>6157049</v>
      </c>
      <c r="D190" s="59">
        <v>6463.52490234375</v>
      </c>
      <c r="E190" s="59">
        <v>0</v>
      </c>
      <c r="F190" s="59">
        <v>-59.8603515625</v>
      </c>
      <c r="G190" s="42">
        <v>0</v>
      </c>
      <c r="H190" s="23"/>
      <c r="I190" s="23"/>
      <c r="J190" s="99"/>
      <c r="K190" s="99"/>
      <c r="L190" s="99"/>
      <c r="M190" s="99"/>
      <c r="N190" s="43">
        <f t="shared" si="2"/>
        <v>6157049</v>
      </c>
      <c r="O190" s="43"/>
      <c r="P190" s="23"/>
      <c r="Q190" s="23"/>
    </row>
    <row r="191" spans="1:17">
      <c r="A191" s="23"/>
      <c r="B191" s="53">
        <v>181</v>
      </c>
      <c r="C191" s="58">
        <v>6581911</v>
      </c>
      <c r="D191" s="59">
        <v>6399.39013671875</v>
      </c>
      <c r="E191" s="59">
        <v>0</v>
      </c>
      <c r="F191" s="59">
        <v>-61.998970031738281</v>
      </c>
      <c r="G191" s="42">
        <v>0</v>
      </c>
      <c r="H191" s="23"/>
      <c r="I191" s="23"/>
      <c r="J191" s="99"/>
      <c r="K191" s="99"/>
      <c r="L191" s="99"/>
      <c r="M191" s="99"/>
      <c r="N191" s="43">
        <f t="shared" si="2"/>
        <v>6581911</v>
      </c>
      <c r="O191" s="43"/>
      <c r="P191" s="23"/>
      <c r="Q191" s="23"/>
    </row>
    <row r="192" spans="1:17">
      <c r="A192" s="23"/>
      <c r="B192" s="53">
        <v>182</v>
      </c>
      <c r="C192" s="58">
        <v>7036090.5</v>
      </c>
      <c r="D192" s="59">
        <v>6371.2021484375</v>
      </c>
      <c r="E192" s="59">
        <v>0</v>
      </c>
      <c r="F192" s="59">
        <v>-64.30938720703125</v>
      </c>
      <c r="G192" s="42">
        <v>0</v>
      </c>
      <c r="H192" s="23"/>
      <c r="I192" s="23"/>
      <c r="J192" s="99"/>
      <c r="K192" s="99"/>
      <c r="L192" s="99"/>
      <c r="M192" s="99"/>
      <c r="N192" s="43">
        <f t="shared" si="2"/>
        <v>7036090.5</v>
      </c>
      <c r="O192" s="43"/>
      <c r="P192" s="23"/>
      <c r="Q192" s="23"/>
    </row>
    <row r="193" spans="1:17">
      <c r="A193" s="23"/>
      <c r="B193" s="53">
        <v>183</v>
      </c>
      <c r="C193" s="58">
        <v>7521610</v>
      </c>
      <c r="D193" s="59">
        <v>6382.125</v>
      </c>
      <c r="E193" s="59">
        <v>0</v>
      </c>
      <c r="F193" s="59">
        <v>-66.883308410644531</v>
      </c>
      <c r="G193" s="42">
        <v>0</v>
      </c>
      <c r="H193" s="23"/>
      <c r="I193" s="23"/>
      <c r="J193" s="99"/>
      <c r="K193" s="99"/>
      <c r="L193" s="99"/>
      <c r="M193" s="99"/>
      <c r="N193" s="43">
        <f t="shared" si="2"/>
        <v>7521610</v>
      </c>
      <c r="O193" s="43"/>
      <c r="P193" s="23"/>
      <c r="Q193" s="23"/>
    </row>
    <row r="194" spans="1:17">
      <c r="A194" s="23"/>
      <c r="B194" s="53">
        <v>184</v>
      </c>
      <c r="C194" s="58">
        <v>8040632.5</v>
      </c>
      <c r="D194" s="59">
        <v>6439.615234375</v>
      </c>
      <c r="E194" s="59">
        <v>0</v>
      </c>
      <c r="F194" s="59">
        <v>-69.802299499511719</v>
      </c>
      <c r="G194" s="42">
        <v>0</v>
      </c>
      <c r="H194" s="23"/>
      <c r="I194" s="23"/>
      <c r="J194" s="99"/>
      <c r="K194" s="99"/>
      <c r="L194" s="99"/>
      <c r="M194" s="99"/>
      <c r="N194" s="43">
        <f t="shared" si="2"/>
        <v>8040632.5</v>
      </c>
      <c r="O194" s="43"/>
      <c r="P194" s="23"/>
      <c r="Q194" s="23"/>
    </row>
    <row r="195" spans="1:17">
      <c r="A195" s="23"/>
      <c r="B195" s="53">
        <v>185</v>
      </c>
      <c r="C195" s="58">
        <v>8595470</v>
      </c>
      <c r="D195" s="59">
        <v>6547.42822265625</v>
      </c>
      <c r="E195" s="59">
        <v>0</v>
      </c>
      <c r="F195" s="59">
        <v>-73.146842956542969</v>
      </c>
      <c r="G195" s="42">
        <v>0</v>
      </c>
      <c r="H195" s="23"/>
      <c r="I195" s="23"/>
      <c r="J195" s="99"/>
      <c r="K195" s="99"/>
      <c r="L195" s="99"/>
      <c r="M195" s="99"/>
      <c r="N195" s="43">
        <f t="shared" si="2"/>
        <v>8595470</v>
      </c>
      <c r="O195" s="43"/>
      <c r="P195" s="23"/>
      <c r="Q195" s="23"/>
    </row>
    <row r="196" spans="1:17">
      <c r="A196" s="23"/>
      <c r="B196" s="53">
        <v>186</v>
      </c>
      <c r="C196" s="58">
        <v>9188593</v>
      </c>
      <c r="D196" s="59">
        <v>6719.01904296875</v>
      </c>
      <c r="E196" s="59">
        <v>0</v>
      </c>
      <c r="F196" s="59">
        <v>-76.962516784667969</v>
      </c>
      <c r="G196" s="42">
        <v>0</v>
      </c>
      <c r="H196" s="23"/>
      <c r="I196" s="23"/>
      <c r="J196" s="99"/>
      <c r="K196" s="99"/>
      <c r="L196" s="99"/>
      <c r="M196" s="99"/>
      <c r="N196" s="43">
        <f t="shared" si="2"/>
        <v>9188593</v>
      </c>
      <c r="O196" s="43"/>
      <c r="P196" s="23"/>
      <c r="Q196" s="23"/>
    </row>
    <row r="197" spans="1:17">
      <c r="A197" s="23"/>
      <c r="B197" s="53">
        <v>187</v>
      </c>
      <c r="C197" s="58">
        <v>9822644</v>
      </c>
      <c r="D197" s="59">
        <v>6992.06982421875</v>
      </c>
      <c r="E197" s="59">
        <v>0</v>
      </c>
      <c r="F197" s="59">
        <v>-81.28900146484375</v>
      </c>
      <c r="G197" s="42">
        <v>0</v>
      </c>
      <c r="H197" s="23"/>
      <c r="I197" s="23"/>
      <c r="J197" s="99"/>
      <c r="K197" s="99"/>
      <c r="L197" s="99"/>
      <c r="M197" s="99"/>
      <c r="N197" s="43">
        <f t="shared" si="2"/>
        <v>9822644</v>
      </c>
      <c r="O197" s="43"/>
      <c r="P197" s="23"/>
      <c r="Q197" s="23"/>
    </row>
    <row r="198" spans="1:17">
      <c r="A198" s="23"/>
      <c r="B198" s="53">
        <v>188</v>
      </c>
      <c r="C198" s="58">
        <v>10500447</v>
      </c>
      <c r="D198" s="59">
        <v>7450.22216796875</v>
      </c>
      <c r="E198" s="59">
        <v>0</v>
      </c>
      <c r="F198" s="59">
        <v>-86.367103576660156</v>
      </c>
      <c r="G198" s="42">
        <v>0</v>
      </c>
      <c r="H198" s="23"/>
      <c r="I198" s="23"/>
      <c r="J198" s="99"/>
      <c r="K198" s="99"/>
      <c r="L198" s="99"/>
      <c r="M198" s="99"/>
      <c r="N198" s="43">
        <f t="shared" si="2"/>
        <v>10500447</v>
      </c>
      <c r="O198" s="43"/>
      <c r="P198" s="23"/>
      <c r="Q198" s="23"/>
    </row>
    <row r="199" spans="1:17">
      <c r="A199" s="23"/>
      <c r="B199" s="53">
        <v>189</v>
      </c>
      <c r="C199" s="58">
        <v>11225022</v>
      </c>
      <c r="D199" s="59">
        <v>8250.27734375</v>
      </c>
      <c r="E199" s="59">
        <v>0</v>
      </c>
      <c r="F199" s="59">
        <v>-93.112640380859375</v>
      </c>
      <c r="G199" s="42">
        <v>0</v>
      </c>
      <c r="H199" s="23"/>
      <c r="I199" s="23"/>
      <c r="J199" s="99"/>
      <c r="K199" s="99"/>
      <c r="L199" s="99"/>
      <c r="M199" s="99"/>
      <c r="N199" s="43">
        <f t="shared" si="2"/>
        <v>11225022</v>
      </c>
      <c r="O199" s="43"/>
      <c r="P199" s="23"/>
      <c r="Q199" s="23"/>
    </row>
    <row r="200" spans="1:17">
      <c r="A200" s="23"/>
      <c r="B200" s="53">
        <v>190</v>
      </c>
      <c r="C200" s="58">
        <v>11999596</v>
      </c>
      <c r="D200" s="59">
        <v>9642.8681640625</v>
      </c>
      <c r="E200" s="59">
        <v>0</v>
      </c>
      <c r="F200" s="59">
        <v>-103.48760223388672</v>
      </c>
      <c r="G200" s="42">
        <v>0</v>
      </c>
      <c r="H200" s="23"/>
      <c r="I200" s="23"/>
      <c r="J200" s="99"/>
      <c r="K200" s="99"/>
      <c r="L200" s="99"/>
      <c r="M200" s="99"/>
      <c r="N200" s="43">
        <f t="shared" si="2"/>
        <v>11999596</v>
      </c>
      <c r="O200" s="43"/>
      <c r="P200" s="23"/>
      <c r="Q200" s="23"/>
    </row>
    <row r="201" spans="1:17">
      <c r="A201" s="23"/>
      <c r="B201" s="53">
        <v>191</v>
      </c>
      <c r="C201" s="58">
        <v>12827618</v>
      </c>
      <c r="D201" s="59">
        <v>11867.849609375</v>
      </c>
      <c r="E201" s="59">
        <v>0</v>
      </c>
      <c r="F201" s="59">
        <v>-122.58769989013672</v>
      </c>
      <c r="G201" s="42">
        <v>0</v>
      </c>
      <c r="H201" s="23"/>
      <c r="I201" s="23"/>
      <c r="J201" s="99"/>
      <c r="K201" s="99"/>
      <c r="L201" s="99"/>
      <c r="M201" s="99"/>
      <c r="N201" s="43">
        <f t="shared" si="2"/>
        <v>12827618</v>
      </c>
      <c r="O201" s="43"/>
      <c r="P201" s="23"/>
      <c r="Q201" s="23"/>
    </row>
    <row r="202" spans="1:17">
      <c r="A202" s="23"/>
      <c r="B202" s="53">
        <v>192</v>
      </c>
      <c r="C202" s="58">
        <v>13712777</v>
      </c>
      <c r="D202" s="59">
        <v>12943.0595703125</v>
      </c>
      <c r="E202" s="59">
        <v>0</v>
      </c>
      <c r="F202" s="59">
        <v>-157.88180541992188</v>
      </c>
      <c r="G202" s="42">
        <v>0</v>
      </c>
      <c r="H202" s="23"/>
      <c r="I202" s="23"/>
      <c r="J202" s="99"/>
      <c r="K202" s="99"/>
      <c r="L202" s="99"/>
      <c r="M202" s="99"/>
      <c r="N202" s="43">
        <f t="shared" si="2"/>
        <v>13712777</v>
      </c>
      <c r="O202" s="43"/>
      <c r="P202" s="23"/>
      <c r="Q202" s="23"/>
    </row>
    <row r="203" spans="1:17">
      <c r="A203" s="23"/>
      <c r="B203" s="53">
        <v>193</v>
      </c>
      <c r="C203" s="58">
        <v>14659016</v>
      </c>
      <c r="D203" s="59">
        <v>9343.4951171875</v>
      </c>
      <c r="E203" s="59">
        <v>0</v>
      </c>
      <c r="F203" s="59">
        <v>163.83479309082031</v>
      </c>
      <c r="G203" s="42">
        <v>0</v>
      </c>
      <c r="H203" s="23"/>
      <c r="I203" s="23"/>
      <c r="J203" s="99"/>
      <c r="K203" s="99"/>
      <c r="L203" s="99"/>
      <c r="M203" s="99"/>
      <c r="N203" s="43">
        <f t="shared" ref="N203:N266" si="3">IF($L$4=$C$10,C203,IF(D203="","",B203))</f>
        <v>14659016</v>
      </c>
      <c r="O203" s="43"/>
      <c r="P203" s="23"/>
      <c r="Q203" s="23"/>
    </row>
    <row r="204" spans="1:17">
      <c r="A204" s="23"/>
      <c r="B204" s="53">
        <v>194</v>
      </c>
      <c r="C204" s="58">
        <v>15670549</v>
      </c>
      <c r="D204" s="59">
        <v>1397.4320068359375</v>
      </c>
      <c r="E204" s="59">
        <v>0</v>
      </c>
      <c r="F204" s="59">
        <v>-138.21440124511719</v>
      </c>
      <c r="G204" s="42">
        <v>0</v>
      </c>
      <c r="H204" s="23"/>
      <c r="I204" s="23"/>
      <c r="J204" s="99"/>
      <c r="K204" s="99"/>
      <c r="L204" s="99"/>
      <c r="M204" s="99"/>
      <c r="N204" s="43">
        <f t="shared" si="3"/>
        <v>15670549</v>
      </c>
      <c r="O204" s="43"/>
      <c r="P204" s="23"/>
      <c r="Q204" s="23"/>
    </row>
    <row r="205" spans="1:17">
      <c r="A205" s="23"/>
      <c r="B205" s="53">
        <v>195</v>
      </c>
      <c r="C205" s="58">
        <v>16751882</v>
      </c>
      <c r="D205" s="59">
        <v>1248.426025390625</v>
      </c>
      <c r="E205" s="59">
        <v>0</v>
      </c>
      <c r="F205" s="59">
        <v>-142.43089294433594</v>
      </c>
      <c r="G205" s="42">
        <v>0</v>
      </c>
      <c r="H205" s="23"/>
      <c r="I205" s="23"/>
      <c r="J205" s="99"/>
      <c r="K205" s="99"/>
      <c r="L205" s="99"/>
      <c r="M205" s="99"/>
      <c r="N205" s="43">
        <f t="shared" si="3"/>
        <v>16751882</v>
      </c>
      <c r="O205" s="43"/>
      <c r="P205" s="23"/>
      <c r="Q205" s="23"/>
    </row>
    <row r="206" spans="1:17">
      <c r="A206" s="23"/>
      <c r="B206" s="53">
        <v>196</v>
      </c>
      <c r="C206" s="58">
        <v>17907832</v>
      </c>
      <c r="D206" s="59">
        <v>1109.9969482421875</v>
      </c>
      <c r="E206" s="59">
        <v>0</v>
      </c>
      <c r="F206" s="59">
        <v>-147.03520202636719</v>
      </c>
      <c r="G206" s="42">
        <v>0</v>
      </c>
      <c r="H206" s="23"/>
      <c r="I206" s="23"/>
      <c r="J206" s="99"/>
      <c r="K206" s="99"/>
      <c r="L206" s="99"/>
      <c r="M206" s="99"/>
      <c r="N206" s="43">
        <f t="shared" si="3"/>
        <v>17907832</v>
      </c>
      <c r="O206" s="43"/>
      <c r="P206" s="23"/>
      <c r="Q206" s="23"/>
    </row>
    <row r="207" spans="1:17">
      <c r="A207" s="23"/>
      <c r="B207" s="53">
        <v>197</v>
      </c>
      <c r="C207" s="58">
        <v>19143546</v>
      </c>
      <c r="D207" s="59">
        <v>975.41522216796875</v>
      </c>
      <c r="E207" s="59">
        <v>0</v>
      </c>
      <c r="F207" s="59">
        <v>-151.79670715332031</v>
      </c>
      <c r="G207" s="42">
        <v>0</v>
      </c>
      <c r="H207" s="23"/>
      <c r="I207" s="23"/>
      <c r="J207" s="99"/>
      <c r="K207" s="99"/>
      <c r="L207" s="99"/>
      <c r="M207" s="99"/>
      <c r="N207" s="43">
        <f t="shared" si="3"/>
        <v>19143546</v>
      </c>
      <c r="O207" s="43"/>
      <c r="P207" s="23"/>
      <c r="Q207" s="23"/>
    </row>
    <row r="208" spans="1:17">
      <c r="A208" s="23"/>
      <c r="B208" s="53">
        <v>198</v>
      </c>
      <c r="C208" s="58">
        <v>20464532</v>
      </c>
      <c r="D208" s="59">
        <v>846.8131103515625</v>
      </c>
      <c r="E208" s="59">
        <v>0</v>
      </c>
      <c r="F208" s="59">
        <v>-156.67230224609375</v>
      </c>
      <c r="G208" s="42">
        <v>0</v>
      </c>
      <c r="H208" s="23"/>
      <c r="I208" s="23"/>
      <c r="J208" s="99"/>
      <c r="K208" s="99"/>
      <c r="L208" s="99"/>
      <c r="M208" s="99"/>
      <c r="N208" s="43">
        <f t="shared" si="3"/>
        <v>20464532</v>
      </c>
      <c r="O208" s="43"/>
      <c r="P208" s="23"/>
      <c r="Q208" s="23"/>
    </row>
    <row r="209" spans="1:17">
      <c r="A209" s="23"/>
      <c r="B209" s="53">
        <v>199</v>
      </c>
      <c r="C209" s="58">
        <v>21876670</v>
      </c>
      <c r="D209" s="59">
        <v>726.9462890625</v>
      </c>
      <c r="E209" s="59">
        <v>0</v>
      </c>
      <c r="F209" s="59">
        <v>-161.22219848632813</v>
      </c>
      <c r="G209" s="42">
        <v>0</v>
      </c>
      <c r="H209" s="23"/>
      <c r="I209" s="23"/>
      <c r="J209" s="99"/>
      <c r="K209" s="99"/>
      <c r="L209" s="99"/>
      <c r="M209" s="99"/>
      <c r="N209" s="43">
        <f t="shared" si="3"/>
        <v>21876670</v>
      </c>
      <c r="O209" s="43"/>
      <c r="P209" s="23"/>
      <c r="Q209" s="23"/>
    </row>
    <row r="210" spans="1:17">
      <c r="A210" s="23"/>
      <c r="B210" s="54">
        <v>200</v>
      </c>
      <c r="C210" s="58">
        <v>23386252</v>
      </c>
      <c r="D210" s="60">
        <v>620.71368408203125</v>
      </c>
      <c r="E210" s="59">
        <v>0</v>
      </c>
      <c r="F210" s="59">
        <v>-166.19760131835938</v>
      </c>
      <c r="G210" s="42">
        <v>0</v>
      </c>
      <c r="H210" s="23"/>
      <c r="I210" s="23"/>
      <c r="J210" s="99"/>
      <c r="K210" s="99"/>
      <c r="L210" s="99"/>
      <c r="M210" s="99"/>
      <c r="N210" s="43">
        <f t="shared" si="3"/>
        <v>23386252</v>
      </c>
      <c r="O210" s="43"/>
      <c r="P210" s="23"/>
      <c r="Q210" s="23"/>
    </row>
    <row r="211" spans="1:17">
      <c r="A211" s="23"/>
      <c r="B211" s="55">
        <v>201</v>
      </c>
      <c r="C211" s="61">
        <v>25000000</v>
      </c>
      <c r="D211" s="61">
        <v>519.947509765625</v>
      </c>
      <c r="E211" s="61">
        <v>0</v>
      </c>
      <c r="F211" s="61">
        <v>-171.14370727539063</v>
      </c>
      <c r="G211" s="62">
        <v>0</v>
      </c>
      <c r="H211" s="23"/>
      <c r="I211" s="23"/>
      <c r="J211" s="99"/>
      <c r="K211" s="99"/>
      <c r="L211" s="99"/>
      <c r="M211" s="99"/>
      <c r="N211" s="43">
        <f t="shared" si="3"/>
        <v>25000000</v>
      </c>
      <c r="O211" s="43"/>
      <c r="P211" s="23"/>
      <c r="Q211" s="23"/>
    </row>
    <row r="212" spans="1:17">
      <c r="A212" s="23"/>
      <c r="B212" s="56"/>
      <c r="C212" s="63"/>
      <c r="D212" s="63"/>
      <c r="E212" s="63"/>
      <c r="F212" s="64"/>
      <c r="G212" s="64"/>
      <c r="H212" s="23"/>
      <c r="I212" s="23"/>
      <c r="J212" s="99"/>
      <c r="K212" s="99"/>
      <c r="L212" s="99"/>
      <c r="M212" s="99"/>
      <c r="N212" s="43">
        <f t="shared" si="3"/>
        <v>0</v>
      </c>
      <c r="O212" s="43"/>
      <c r="P212" s="23"/>
      <c r="Q212" s="23"/>
    </row>
    <row r="213" spans="1:17">
      <c r="A213" s="23"/>
      <c r="B213" s="56"/>
      <c r="C213" s="63"/>
      <c r="D213" s="63"/>
      <c r="E213" s="63"/>
      <c r="F213" s="63"/>
      <c r="G213" s="63"/>
      <c r="H213" s="23"/>
      <c r="I213" s="23"/>
      <c r="J213" s="99"/>
      <c r="K213" s="99"/>
      <c r="L213" s="99"/>
      <c r="M213" s="99"/>
      <c r="N213" s="43">
        <f t="shared" si="3"/>
        <v>0</v>
      </c>
      <c r="O213" s="48"/>
      <c r="P213" s="23"/>
      <c r="Q213" s="23"/>
    </row>
    <row r="214" spans="1:17">
      <c r="A214" s="23"/>
      <c r="B214" s="56"/>
      <c r="C214" s="63"/>
      <c r="D214" s="63"/>
      <c r="E214" s="63"/>
      <c r="F214" s="63"/>
      <c r="G214" s="63"/>
      <c r="H214" s="23"/>
      <c r="I214" s="23"/>
      <c r="J214" s="99"/>
      <c r="K214" s="99"/>
      <c r="L214" s="99"/>
      <c r="M214" s="99"/>
      <c r="N214" s="43">
        <f t="shared" si="3"/>
        <v>0</v>
      </c>
      <c r="O214" s="48"/>
      <c r="P214" s="23"/>
      <c r="Q214" s="23"/>
    </row>
    <row r="215" spans="1:17">
      <c r="A215" s="23"/>
      <c r="B215" s="56"/>
      <c r="C215" s="63"/>
      <c r="D215" s="63"/>
      <c r="E215" s="63"/>
      <c r="F215" s="63"/>
      <c r="G215" s="63"/>
      <c r="H215" s="23"/>
      <c r="I215" s="23"/>
      <c r="J215" s="99"/>
      <c r="K215" s="99"/>
      <c r="L215" s="99"/>
      <c r="M215" s="99"/>
      <c r="N215" s="43">
        <f t="shared" si="3"/>
        <v>0</v>
      </c>
      <c r="O215" s="48"/>
      <c r="P215" s="23"/>
      <c r="Q215" s="23"/>
    </row>
    <row r="216" spans="1:17">
      <c r="A216" s="23"/>
      <c r="B216" s="56"/>
      <c r="C216" s="63"/>
      <c r="D216" s="63"/>
      <c r="E216" s="63"/>
      <c r="F216" s="63"/>
      <c r="G216" s="63"/>
      <c r="H216" s="23"/>
      <c r="I216" s="23"/>
      <c r="J216" s="99"/>
      <c r="K216" s="99"/>
      <c r="L216" s="99"/>
      <c r="M216" s="99"/>
      <c r="N216" s="43">
        <f t="shared" si="3"/>
        <v>0</v>
      </c>
      <c r="O216" s="48"/>
      <c r="P216" s="23"/>
      <c r="Q216" s="23"/>
    </row>
    <row r="217" spans="1:17">
      <c r="A217" s="23"/>
      <c r="B217" s="56"/>
      <c r="C217" s="63"/>
      <c r="D217" s="63"/>
      <c r="E217" s="63"/>
      <c r="F217" s="63"/>
      <c r="G217" s="63"/>
      <c r="H217" s="23"/>
      <c r="I217" s="23"/>
      <c r="J217" s="99"/>
      <c r="K217" s="99"/>
      <c r="L217" s="99"/>
      <c r="M217" s="99"/>
      <c r="N217" s="43">
        <f t="shared" si="3"/>
        <v>0</v>
      </c>
      <c r="O217" s="48"/>
      <c r="P217" s="23"/>
      <c r="Q217" s="23"/>
    </row>
    <row r="218" spans="1:17">
      <c r="A218" s="23"/>
      <c r="B218" s="56"/>
      <c r="C218" s="63"/>
      <c r="D218" s="63"/>
      <c r="E218" s="63"/>
      <c r="F218" s="63"/>
      <c r="G218" s="63"/>
      <c r="H218" s="23"/>
      <c r="I218" s="23"/>
      <c r="J218" s="99"/>
      <c r="K218" s="99"/>
      <c r="L218" s="99"/>
      <c r="M218" s="99"/>
      <c r="N218" s="43">
        <f t="shared" si="3"/>
        <v>0</v>
      </c>
      <c r="O218" s="48"/>
      <c r="P218" s="23"/>
      <c r="Q218" s="23"/>
    </row>
    <row r="219" spans="1:17">
      <c r="A219" s="23"/>
      <c r="B219" s="56"/>
      <c r="C219" s="63"/>
      <c r="D219" s="63"/>
      <c r="E219" s="63"/>
      <c r="F219" s="63"/>
      <c r="G219" s="63"/>
      <c r="H219" s="23"/>
      <c r="I219" s="23"/>
      <c r="J219" s="99"/>
      <c r="K219" s="99"/>
      <c r="L219" s="99"/>
      <c r="M219" s="99"/>
      <c r="N219" s="43">
        <f t="shared" si="3"/>
        <v>0</v>
      </c>
      <c r="O219" s="48"/>
      <c r="P219" s="23"/>
      <c r="Q219" s="23"/>
    </row>
    <row r="220" spans="1:17">
      <c r="A220" s="23"/>
      <c r="B220" s="56"/>
      <c r="C220" s="63"/>
      <c r="D220" s="63"/>
      <c r="E220" s="63"/>
      <c r="F220" s="63"/>
      <c r="G220" s="63"/>
      <c r="H220" s="23"/>
      <c r="I220" s="23"/>
      <c r="J220" s="99"/>
      <c r="K220" s="99"/>
      <c r="L220" s="99"/>
      <c r="M220" s="99"/>
      <c r="N220" s="43">
        <f t="shared" si="3"/>
        <v>0</v>
      </c>
      <c r="O220" s="48"/>
      <c r="P220" s="23"/>
      <c r="Q220" s="23"/>
    </row>
    <row r="221" spans="1:17">
      <c r="A221" s="23"/>
      <c r="B221" s="56"/>
      <c r="C221" s="63"/>
      <c r="D221" s="63"/>
      <c r="E221" s="63"/>
      <c r="F221" s="63"/>
      <c r="G221" s="63"/>
      <c r="H221" s="23"/>
      <c r="I221" s="23"/>
      <c r="J221" s="99"/>
      <c r="K221" s="99"/>
      <c r="L221" s="99"/>
      <c r="M221" s="99"/>
      <c r="N221" s="43">
        <f t="shared" si="3"/>
        <v>0</v>
      </c>
      <c r="O221" s="48"/>
      <c r="P221" s="23"/>
      <c r="Q221" s="23"/>
    </row>
    <row r="222" spans="1:17">
      <c r="A222" s="23"/>
      <c r="B222" s="56"/>
      <c r="C222" s="63"/>
      <c r="D222" s="63"/>
      <c r="E222" s="63"/>
      <c r="F222" s="63"/>
      <c r="G222" s="63"/>
      <c r="H222" s="23"/>
      <c r="I222" s="23"/>
      <c r="J222" s="99"/>
      <c r="K222" s="99"/>
      <c r="L222" s="99"/>
      <c r="M222" s="99"/>
      <c r="N222" s="43">
        <f t="shared" si="3"/>
        <v>0</v>
      </c>
      <c r="O222" s="48"/>
      <c r="P222" s="23"/>
      <c r="Q222" s="23"/>
    </row>
    <row r="223" spans="1:17">
      <c r="A223" s="23"/>
      <c r="B223" s="56"/>
      <c r="C223" s="63"/>
      <c r="D223" s="63"/>
      <c r="E223" s="63"/>
      <c r="F223" s="63"/>
      <c r="G223" s="63"/>
      <c r="H223" s="23"/>
      <c r="I223" s="23"/>
      <c r="J223" s="99"/>
      <c r="K223" s="99"/>
      <c r="L223" s="99"/>
      <c r="M223" s="99"/>
      <c r="N223" s="43">
        <f t="shared" si="3"/>
        <v>0</v>
      </c>
      <c r="O223" s="48"/>
      <c r="P223" s="23"/>
      <c r="Q223" s="23"/>
    </row>
    <row r="224" spans="1:17">
      <c r="A224" s="23"/>
      <c r="B224" s="56"/>
      <c r="C224" s="63"/>
      <c r="D224" s="63"/>
      <c r="E224" s="63"/>
      <c r="F224" s="63"/>
      <c r="G224" s="63"/>
      <c r="H224" s="23"/>
      <c r="I224" s="23"/>
      <c r="J224" s="99"/>
      <c r="K224" s="99"/>
      <c r="L224" s="99"/>
      <c r="M224" s="99"/>
      <c r="N224" s="43">
        <f t="shared" si="3"/>
        <v>0</v>
      </c>
      <c r="O224" s="48"/>
      <c r="P224" s="23"/>
      <c r="Q224" s="23"/>
    </row>
    <row r="225" spans="1:17">
      <c r="A225" s="23"/>
      <c r="B225" s="56"/>
      <c r="C225" s="63"/>
      <c r="D225" s="63"/>
      <c r="E225" s="63"/>
      <c r="F225" s="63"/>
      <c r="G225" s="63"/>
      <c r="H225" s="23"/>
      <c r="I225" s="23"/>
      <c r="J225" s="99"/>
      <c r="K225" s="99"/>
      <c r="L225" s="99"/>
      <c r="M225" s="99"/>
      <c r="N225" s="43">
        <f t="shared" si="3"/>
        <v>0</v>
      </c>
      <c r="O225" s="48"/>
      <c r="P225" s="23"/>
      <c r="Q225" s="23"/>
    </row>
    <row r="226" spans="1:17">
      <c r="A226" s="23"/>
      <c r="B226" s="56"/>
      <c r="C226" s="63"/>
      <c r="D226" s="63"/>
      <c r="E226" s="63"/>
      <c r="F226" s="63"/>
      <c r="G226" s="63"/>
      <c r="H226" s="23"/>
      <c r="I226" s="23"/>
      <c r="J226" s="99"/>
      <c r="K226" s="99"/>
      <c r="L226" s="99"/>
      <c r="M226" s="99"/>
      <c r="N226" s="43">
        <f t="shared" si="3"/>
        <v>0</v>
      </c>
      <c r="O226" s="48"/>
      <c r="P226" s="23"/>
      <c r="Q226" s="23"/>
    </row>
    <row r="227" spans="1:17">
      <c r="B227" s="57"/>
      <c r="C227" s="60"/>
      <c r="D227" s="60"/>
      <c r="E227" s="60"/>
      <c r="F227" s="60"/>
      <c r="G227" s="60"/>
      <c r="J227" s="99"/>
      <c r="K227" s="99"/>
      <c r="L227" s="99"/>
      <c r="M227" s="99"/>
      <c r="N227" s="43">
        <f t="shared" si="3"/>
        <v>0</v>
      </c>
    </row>
    <row r="228" spans="1:17">
      <c r="B228" s="57"/>
      <c r="C228" s="60"/>
      <c r="D228" s="60"/>
      <c r="E228" s="60"/>
      <c r="F228" s="60"/>
      <c r="G228" s="60"/>
      <c r="J228" s="99"/>
      <c r="K228" s="99"/>
      <c r="L228" s="99"/>
      <c r="M228" s="99"/>
      <c r="N228" s="43">
        <f t="shared" si="3"/>
        <v>0</v>
      </c>
    </row>
    <row r="229" spans="1:17">
      <c r="B229" s="57"/>
      <c r="C229" s="60"/>
      <c r="D229" s="60"/>
      <c r="E229" s="60"/>
      <c r="F229" s="60"/>
      <c r="G229" s="60"/>
      <c r="J229" s="99"/>
      <c r="K229" s="99"/>
      <c r="L229" s="99"/>
      <c r="M229" s="99"/>
      <c r="N229" s="43">
        <f t="shared" si="3"/>
        <v>0</v>
      </c>
    </row>
    <row r="230" spans="1:17">
      <c r="B230" s="57"/>
      <c r="C230" s="60"/>
      <c r="D230" s="60"/>
      <c r="E230" s="60"/>
      <c r="F230" s="60"/>
      <c r="G230" s="60"/>
      <c r="J230" s="99"/>
      <c r="K230" s="99"/>
      <c r="L230" s="99"/>
      <c r="M230" s="99"/>
      <c r="N230" s="43">
        <f t="shared" si="3"/>
        <v>0</v>
      </c>
    </row>
    <row r="231" spans="1:17">
      <c r="B231" s="57"/>
      <c r="C231" s="60"/>
      <c r="D231" s="60"/>
      <c r="E231" s="60"/>
      <c r="F231" s="60"/>
      <c r="G231" s="60"/>
      <c r="J231" s="99"/>
      <c r="K231" s="99"/>
      <c r="L231" s="99"/>
      <c r="M231" s="99"/>
      <c r="N231" s="43">
        <f t="shared" si="3"/>
        <v>0</v>
      </c>
    </row>
    <row r="232" spans="1:17">
      <c r="B232" s="57"/>
      <c r="C232" s="60"/>
      <c r="D232" s="60"/>
      <c r="E232" s="60"/>
      <c r="F232" s="60"/>
      <c r="G232" s="60"/>
      <c r="J232" s="99"/>
      <c r="K232" s="99"/>
      <c r="L232" s="99"/>
      <c r="M232" s="99"/>
      <c r="N232" s="43">
        <f t="shared" si="3"/>
        <v>0</v>
      </c>
    </row>
    <row r="233" spans="1:17">
      <c r="B233" s="57"/>
      <c r="C233" s="60"/>
      <c r="D233" s="60"/>
      <c r="E233" s="60"/>
      <c r="F233" s="60"/>
      <c r="G233" s="60"/>
      <c r="J233" s="99"/>
      <c r="K233" s="99"/>
      <c r="L233" s="99"/>
      <c r="M233" s="99"/>
      <c r="N233" s="43">
        <f t="shared" si="3"/>
        <v>0</v>
      </c>
    </row>
    <row r="234" spans="1:17">
      <c r="B234" s="57"/>
      <c r="C234" s="60"/>
      <c r="D234" s="60"/>
      <c r="E234" s="60"/>
      <c r="F234" s="60"/>
      <c r="G234" s="60"/>
      <c r="J234" s="99"/>
      <c r="K234" s="99"/>
      <c r="L234" s="99"/>
      <c r="M234" s="99"/>
      <c r="N234" s="43">
        <f t="shared" si="3"/>
        <v>0</v>
      </c>
    </row>
    <row r="235" spans="1:17">
      <c r="B235" s="57"/>
      <c r="C235" s="60"/>
      <c r="D235" s="60"/>
      <c r="E235" s="60"/>
      <c r="F235" s="60"/>
      <c r="G235" s="60"/>
      <c r="J235" s="99"/>
      <c r="K235" s="99"/>
      <c r="L235" s="99"/>
      <c r="M235" s="99"/>
      <c r="N235" s="43">
        <f t="shared" si="3"/>
        <v>0</v>
      </c>
    </row>
    <row r="236" spans="1:17">
      <c r="B236" s="57"/>
      <c r="C236" s="60"/>
      <c r="D236" s="60"/>
      <c r="E236" s="60"/>
      <c r="F236" s="60"/>
      <c r="G236" s="60"/>
      <c r="J236" s="99"/>
      <c r="K236" s="99"/>
      <c r="L236" s="99"/>
      <c r="M236" s="99"/>
      <c r="N236" s="43">
        <f t="shared" si="3"/>
        <v>0</v>
      </c>
    </row>
    <row r="237" spans="1:17">
      <c r="B237" s="57"/>
      <c r="C237" s="60"/>
      <c r="D237" s="60"/>
      <c r="E237" s="60"/>
      <c r="F237" s="60"/>
      <c r="G237" s="60"/>
      <c r="J237" s="99"/>
      <c r="K237" s="99"/>
      <c r="L237" s="99"/>
      <c r="M237" s="99"/>
      <c r="N237" s="43">
        <f t="shared" si="3"/>
        <v>0</v>
      </c>
    </row>
    <row r="238" spans="1:17">
      <c r="B238" s="57"/>
      <c r="C238" s="60"/>
      <c r="D238" s="60"/>
      <c r="E238" s="60"/>
      <c r="F238" s="60"/>
      <c r="G238" s="60"/>
      <c r="J238" s="99"/>
      <c r="K238" s="99"/>
      <c r="L238" s="99"/>
      <c r="M238" s="99"/>
      <c r="N238" s="43">
        <f t="shared" si="3"/>
        <v>0</v>
      </c>
    </row>
    <row r="239" spans="1:17">
      <c r="B239" s="57"/>
      <c r="C239" s="60"/>
      <c r="D239" s="60"/>
      <c r="E239" s="60"/>
      <c r="F239" s="60"/>
      <c r="G239" s="60"/>
      <c r="J239" s="99"/>
      <c r="K239" s="99"/>
      <c r="L239" s="99"/>
      <c r="M239" s="99"/>
      <c r="N239" s="43">
        <f t="shared" si="3"/>
        <v>0</v>
      </c>
    </row>
    <row r="240" spans="1:17">
      <c r="B240" s="57"/>
      <c r="C240" s="60"/>
      <c r="D240" s="60"/>
      <c r="E240" s="60"/>
      <c r="F240" s="60"/>
      <c r="G240" s="60"/>
      <c r="J240" s="99"/>
      <c r="K240" s="99"/>
      <c r="L240" s="99"/>
      <c r="M240" s="99"/>
      <c r="N240" s="43">
        <f t="shared" si="3"/>
        <v>0</v>
      </c>
    </row>
    <row r="241" spans="2:14">
      <c r="B241" s="57"/>
      <c r="C241" s="60"/>
      <c r="D241" s="60"/>
      <c r="E241" s="60"/>
      <c r="F241" s="60"/>
      <c r="G241" s="60"/>
      <c r="J241" s="99"/>
      <c r="K241" s="99"/>
      <c r="L241" s="99"/>
      <c r="M241" s="99"/>
      <c r="N241" s="43">
        <f t="shared" si="3"/>
        <v>0</v>
      </c>
    </row>
    <row r="242" spans="2:14">
      <c r="B242" s="57"/>
      <c r="C242" s="60"/>
      <c r="D242" s="60"/>
      <c r="E242" s="60"/>
      <c r="F242" s="60"/>
      <c r="G242" s="60"/>
      <c r="J242" s="99"/>
      <c r="K242" s="99"/>
      <c r="L242" s="99"/>
      <c r="M242" s="99"/>
      <c r="N242" s="43">
        <f t="shared" si="3"/>
        <v>0</v>
      </c>
    </row>
    <row r="243" spans="2:14">
      <c r="B243" s="57"/>
      <c r="C243" s="60"/>
      <c r="D243" s="60"/>
      <c r="E243" s="60"/>
      <c r="F243" s="60"/>
      <c r="G243" s="60"/>
      <c r="J243" s="99"/>
      <c r="K243" s="99"/>
      <c r="L243" s="99"/>
      <c r="M243" s="99"/>
      <c r="N243" s="43">
        <f t="shared" si="3"/>
        <v>0</v>
      </c>
    </row>
    <row r="244" spans="2:14">
      <c r="B244" s="57"/>
      <c r="C244" s="60"/>
      <c r="D244" s="60"/>
      <c r="E244" s="60"/>
      <c r="F244" s="60"/>
      <c r="G244" s="60"/>
      <c r="J244" s="99"/>
      <c r="K244" s="99"/>
      <c r="L244" s="99"/>
      <c r="M244" s="99"/>
      <c r="N244" s="43">
        <f t="shared" si="3"/>
        <v>0</v>
      </c>
    </row>
    <row r="245" spans="2:14">
      <c r="B245" s="57"/>
      <c r="C245" s="60"/>
      <c r="D245" s="60"/>
      <c r="E245" s="60"/>
      <c r="F245" s="60"/>
      <c r="G245" s="60"/>
      <c r="J245" s="99"/>
      <c r="K245" s="99"/>
      <c r="L245" s="99"/>
      <c r="M245" s="99"/>
      <c r="N245" s="43">
        <f t="shared" si="3"/>
        <v>0</v>
      </c>
    </row>
    <row r="246" spans="2:14">
      <c r="B246" s="57"/>
      <c r="C246" s="60"/>
      <c r="D246" s="60"/>
      <c r="E246" s="60"/>
      <c r="F246" s="60"/>
      <c r="G246" s="60"/>
      <c r="J246" s="99"/>
      <c r="K246" s="99"/>
      <c r="L246" s="99"/>
      <c r="M246" s="99"/>
      <c r="N246" s="43">
        <f t="shared" si="3"/>
        <v>0</v>
      </c>
    </row>
    <row r="247" spans="2:14">
      <c r="B247" s="57"/>
      <c r="C247" s="60"/>
      <c r="D247" s="60"/>
      <c r="E247" s="60"/>
      <c r="F247" s="60"/>
      <c r="G247" s="60"/>
      <c r="J247" s="99"/>
      <c r="K247" s="99"/>
      <c r="L247" s="99"/>
      <c r="M247" s="99"/>
      <c r="N247" s="43">
        <f t="shared" si="3"/>
        <v>0</v>
      </c>
    </row>
    <row r="248" spans="2:14">
      <c r="B248" s="57"/>
      <c r="C248" s="60"/>
      <c r="D248" s="60"/>
      <c r="E248" s="60"/>
      <c r="F248" s="60"/>
      <c r="G248" s="60"/>
      <c r="J248" s="99"/>
      <c r="K248" s="99"/>
      <c r="L248" s="99"/>
      <c r="M248" s="99"/>
      <c r="N248" s="43">
        <f t="shared" si="3"/>
        <v>0</v>
      </c>
    </row>
    <row r="249" spans="2:14">
      <c r="B249" s="57"/>
      <c r="C249" s="60"/>
      <c r="D249" s="60"/>
      <c r="E249" s="60"/>
      <c r="F249" s="60"/>
      <c r="G249" s="60"/>
      <c r="J249" s="99"/>
      <c r="K249" s="99"/>
      <c r="L249" s="99"/>
      <c r="M249" s="99"/>
      <c r="N249" s="43">
        <f t="shared" si="3"/>
        <v>0</v>
      </c>
    </row>
    <row r="250" spans="2:14">
      <c r="B250" s="57"/>
      <c r="C250" s="60"/>
      <c r="D250" s="60"/>
      <c r="E250" s="60"/>
      <c r="F250" s="60"/>
      <c r="G250" s="60"/>
      <c r="J250" s="99"/>
      <c r="K250" s="99"/>
      <c r="L250" s="99"/>
      <c r="M250" s="99"/>
      <c r="N250" s="43">
        <f t="shared" si="3"/>
        <v>0</v>
      </c>
    </row>
    <row r="251" spans="2:14">
      <c r="B251" s="57"/>
      <c r="C251" s="60"/>
      <c r="D251" s="60"/>
      <c r="E251" s="60"/>
      <c r="F251" s="60"/>
      <c r="G251" s="60"/>
      <c r="J251" s="99"/>
      <c r="K251" s="99"/>
      <c r="L251" s="99"/>
      <c r="M251" s="99"/>
      <c r="N251" s="43">
        <f t="shared" si="3"/>
        <v>0</v>
      </c>
    </row>
    <row r="252" spans="2:14">
      <c r="B252" s="57"/>
      <c r="C252" s="60"/>
      <c r="D252" s="60"/>
      <c r="E252" s="60"/>
      <c r="F252" s="60"/>
      <c r="G252" s="60"/>
      <c r="J252" s="99"/>
      <c r="K252" s="99"/>
      <c r="L252" s="99"/>
      <c r="M252" s="99"/>
      <c r="N252" s="43">
        <f t="shared" si="3"/>
        <v>0</v>
      </c>
    </row>
    <row r="253" spans="2:14">
      <c r="B253" s="57"/>
      <c r="C253" s="60"/>
      <c r="D253" s="60"/>
      <c r="E253" s="60"/>
      <c r="F253" s="60"/>
      <c r="G253" s="60"/>
      <c r="J253" s="99"/>
      <c r="K253" s="99"/>
      <c r="L253" s="99"/>
      <c r="M253" s="99"/>
      <c r="N253" s="43">
        <f t="shared" si="3"/>
        <v>0</v>
      </c>
    </row>
    <row r="254" spans="2:14">
      <c r="B254" s="57"/>
      <c r="C254" s="60"/>
      <c r="D254" s="60"/>
      <c r="E254" s="60"/>
      <c r="F254" s="60"/>
      <c r="G254" s="60"/>
      <c r="J254" s="99"/>
      <c r="K254" s="99"/>
      <c r="L254" s="99"/>
      <c r="M254" s="99"/>
      <c r="N254" s="43">
        <f t="shared" si="3"/>
        <v>0</v>
      </c>
    </row>
    <row r="255" spans="2:14">
      <c r="B255" s="57"/>
      <c r="C255" s="60"/>
      <c r="D255" s="60"/>
      <c r="E255" s="60"/>
      <c r="F255" s="60"/>
      <c r="G255" s="60"/>
      <c r="J255" s="99"/>
      <c r="K255" s="99"/>
      <c r="L255" s="99"/>
      <c r="M255" s="99"/>
      <c r="N255" s="43">
        <f t="shared" si="3"/>
        <v>0</v>
      </c>
    </row>
    <row r="256" spans="2:14">
      <c r="B256" s="57"/>
      <c r="C256" s="60"/>
      <c r="D256" s="60"/>
      <c r="E256" s="60"/>
      <c r="F256" s="60"/>
      <c r="G256" s="60"/>
      <c r="J256" s="99"/>
      <c r="K256" s="99"/>
      <c r="L256" s="99"/>
      <c r="M256" s="99"/>
      <c r="N256" s="43">
        <f t="shared" si="3"/>
        <v>0</v>
      </c>
    </row>
    <row r="257" spans="2:14">
      <c r="B257" s="57"/>
      <c r="C257" s="60"/>
      <c r="D257" s="60"/>
      <c r="E257" s="60"/>
      <c r="F257" s="60"/>
      <c r="G257" s="60"/>
      <c r="J257" s="99"/>
      <c r="K257" s="99"/>
      <c r="L257" s="99"/>
      <c r="M257" s="99"/>
      <c r="N257" s="43">
        <f t="shared" si="3"/>
        <v>0</v>
      </c>
    </row>
    <row r="258" spans="2:14">
      <c r="B258" s="57"/>
      <c r="C258" s="60"/>
      <c r="D258" s="60"/>
      <c r="E258" s="60"/>
      <c r="F258" s="60"/>
      <c r="G258" s="60"/>
      <c r="J258" s="99"/>
      <c r="K258" s="99"/>
      <c r="L258" s="99"/>
      <c r="M258" s="99"/>
      <c r="N258" s="43">
        <f t="shared" si="3"/>
        <v>0</v>
      </c>
    </row>
    <row r="259" spans="2:14">
      <c r="B259" s="57"/>
      <c r="C259" s="60"/>
      <c r="D259" s="60"/>
      <c r="E259" s="60"/>
      <c r="F259" s="60"/>
      <c r="G259" s="60"/>
      <c r="J259" s="99"/>
      <c r="K259" s="99"/>
      <c r="L259" s="99"/>
      <c r="M259" s="99"/>
      <c r="N259" s="43">
        <f t="shared" si="3"/>
        <v>0</v>
      </c>
    </row>
    <row r="260" spans="2:14">
      <c r="B260" s="57"/>
      <c r="C260" s="60"/>
      <c r="D260" s="60"/>
      <c r="E260" s="60"/>
      <c r="F260" s="60"/>
      <c r="G260" s="60"/>
      <c r="J260" s="99"/>
      <c r="K260" s="99"/>
      <c r="L260" s="99"/>
      <c r="M260" s="99"/>
      <c r="N260" s="43">
        <f t="shared" si="3"/>
        <v>0</v>
      </c>
    </row>
    <row r="261" spans="2:14">
      <c r="B261" s="57"/>
      <c r="C261" s="60"/>
      <c r="D261" s="60"/>
      <c r="E261" s="60"/>
      <c r="F261" s="60"/>
      <c r="G261" s="60"/>
      <c r="J261" s="99"/>
      <c r="K261" s="99"/>
      <c r="L261" s="99"/>
      <c r="M261" s="99"/>
      <c r="N261" s="43">
        <f t="shared" si="3"/>
        <v>0</v>
      </c>
    </row>
    <row r="262" spans="2:14">
      <c r="B262" s="57"/>
      <c r="C262" s="60"/>
      <c r="D262" s="60"/>
      <c r="E262" s="60"/>
      <c r="F262" s="60"/>
      <c r="G262" s="60"/>
      <c r="J262" s="99"/>
      <c r="K262" s="99"/>
      <c r="L262" s="99"/>
      <c r="M262" s="99"/>
      <c r="N262" s="43">
        <f t="shared" si="3"/>
        <v>0</v>
      </c>
    </row>
    <row r="263" spans="2:14">
      <c r="B263" s="57"/>
      <c r="C263" s="60"/>
      <c r="D263" s="60"/>
      <c r="E263" s="60"/>
      <c r="F263" s="60"/>
      <c r="G263" s="60"/>
      <c r="J263" s="99"/>
      <c r="K263" s="99"/>
      <c r="L263" s="99"/>
      <c r="M263" s="99"/>
      <c r="N263" s="43">
        <f t="shared" si="3"/>
        <v>0</v>
      </c>
    </row>
    <row r="264" spans="2:14">
      <c r="B264" s="57"/>
      <c r="C264" s="60"/>
      <c r="D264" s="60"/>
      <c r="E264" s="60"/>
      <c r="F264" s="60"/>
      <c r="G264" s="60"/>
      <c r="J264" s="99"/>
      <c r="K264" s="99"/>
      <c r="L264" s="99"/>
      <c r="M264" s="99"/>
      <c r="N264" s="43">
        <f t="shared" si="3"/>
        <v>0</v>
      </c>
    </row>
    <row r="265" spans="2:14">
      <c r="B265" s="57"/>
      <c r="C265" s="60"/>
      <c r="D265" s="60"/>
      <c r="E265" s="60"/>
      <c r="F265" s="60"/>
      <c r="G265" s="60"/>
      <c r="J265" s="99"/>
      <c r="K265" s="99"/>
      <c r="L265" s="99"/>
      <c r="M265" s="99"/>
      <c r="N265" s="43">
        <f t="shared" si="3"/>
        <v>0</v>
      </c>
    </row>
    <row r="266" spans="2:14">
      <c r="B266" s="57"/>
      <c r="C266" s="60"/>
      <c r="D266" s="60"/>
      <c r="E266" s="60"/>
      <c r="F266" s="60"/>
      <c r="G266" s="60"/>
      <c r="J266" s="99"/>
      <c r="K266" s="99"/>
      <c r="L266" s="99"/>
      <c r="M266" s="99"/>
      <c r="N266" s="43">
        <f t="shared" si="3"/>
        <v>0</v>
      </c>
    </row>
    <row r="267" spans="2:14">
      <c r="B267" s="57"/>
      <c r="C267" s="60"/>
      <c r="D267" s="60"/>
      <c r="E267" s="60"/>
      <c r="F267" s="60"/>
      <c r="G267" s="60"/>
      <c r="J267" s="99"/>
      <c r="K267" s="99"/>
      <c r="L267" s="99"/>
      <c r="M267" s="99"/>
      <c r="N267" s="43">
        <f t="shared" ref="N267:N330" si="4">IF($L$4=$C$10,C267,IF(D267="","",B267))</f>
        <v>0</v>
      </c>
    </row>
    <row r="268" spans="2:14">
      <c r="B268" s="57"/>
      <c r="C268" s="60"/>
      <c r="D268" s="60"/>
      <c r="E268" s="60"/>
      <c r="F268" s="60"/>
      <c r="G268" s="60"/>
      <c r="J268" s="99"/>
      <c r="K268" s="99"/>
      <c r="L268" s="99"/>
      <c r="M268" s="99"/>
      <c r="N268" s="43">
        <f t="shared" si="4"/>
        <v>0</v>
      </c>
    </row>
    <row r="269" spans="2:14">
      <c r="B269" s="57"/>
      <c r="C269" s="60"/>
      <c r="D269" s="60"/>
      <c r="E269" s="60"/>
      <c r="F269" s="60"/>
      <c r="G269" s="60"/>
      <c r="J269" s="99"/>
      <c r="K269" s="99"/>
      <c r="L269" s="99"/>
      <c r="M269" s="99"/>
      <c r="N269" s="43">
        <f t="shared" si="4"/>
        <v>0</v>
      </c>
    </row>
    <row r="270" spans="2:14">
      <c r="B270" s="57"/>
      <c r="C270" s="60"/>
      <c r="D270" s="60"/>
      <c r="E270" s="60"/>
      <c r="F270" s="60"/>
      <c r="G270" s="60"/>
      <c r="J270" s="99"/>
      <c r="K270" s="99"/>
      <c r="L270" s="99"/>
      <c r="M270" s="99"/>
      <c r="N270" s="43">
        <f t="shared" si="4"/>
        <v>0</v>
      </c>
    </row>
    <row r="271" spans="2:14">
      <c r="B271" s="57"/>
      <c r="C271" s="60"/>
      <c r="D271" s="60"/>
      <c r="E271" s="60"/>
      <c r="F271" s="60"/>
      <c r="G271" s="60"/>
      <c r="J271" s="99"/>
      <c r="K271" s="99"/>
      <c r="L271" s="99"/>
      <c r="M271" s="99"/>
      <c r="N271" s="43">
        <f t="shared" si="4"/>
        <v>0</v>
      </c>
    </row>
    <row r="272" spans="2:14">
      <c r="B272" s="57"/>
      <c r="C272" s="60"/>
      <c r="D272" s="60"/>
      <c r="E272" s="60"/>
      <c r="F272" s="60"/>
      <c r="G272" s="60"/>
      <c r="J272" s="99"/>
      <c r="K272" s="99"/>
      <c r="L272" s="99"/>
      <c r="M272" s="99"/>
      <c r="N272" s="43">
        <f t="shared" si="4"/>
        <v>0</v>
      </c>
    </row>
    <row r="273" spans="2:14">
      <c r="B273" s="57"/>
      <c r="C273" s="60"/>
      <c r="D273" s="60"/>
      <c r="E273" s="60"/>
      <c r="F273" s="60"/>
      <c r="G273" s="60"/>
      <c r="J273" s="99"/>
      <c r="K273" s="99"/>
      <c r="L273" s="99"/>
      <c r="M273" s="99"/>
      <c r="N273" s="43">
        <f t="shared" si="4"/>
        <v>0</v>
      </c>
    </row>
    <row r="274" spans="2:14">
      <c r="B274" s="57"/>
      <c r="C274" s="60"/>
      <c r="D274" s="60"/>
      <c r="E274" s="60"/>
      <c r="F274" s="60"/>
      <c r="G274" s="60"/>
      <c r="J274" s="99"/>
      <c r="K274" s="99"/>
      <c r="L274" s="99"/>
      <c r="M274" s="99"/>
      <c r="N274" s="43">
        <f t="shared" si="4"/>
        <v>0</v>
      </c>
    </row>
    <row r="275" spans="2:14">
      <c r="B275" s="57"/>
      <c r="C275" s="60"/>
      <c r="D275" s="60"/>
      <c r="E275" s="60"/>
      <c r="F275" s="60"/>
      <c r="G275" s="60"/>
      <c r="J275" s="99"/>
      <c r="K275" s="99"/>
      <c r="L275" s="99"/>
      <c r="M275" s="99"/>
      <c r="N275" s="43">
        <f t="shared" si="4"/>
        <v>0</v>
      </c>
    </row>
    <row r="276" spans="2:14">
      <c r="B276" s="57"/>
      <c r="C276" s="60"/>
      <c r="D276" s="60"/>
      <c r="E276" s="60"/>
      <c r="F276" s="60"/>
      <c r="G276" s="60"/>
      <c r="J276" s="99"/>
      <c r="K276" s="99"/>
      <c r="L276" s="99"/>
      <c r="M276" s="99"/>
      <c r="N276" s="43">
        <f t="shared" si="4"/>
        <v>0</v>
      </c>
    </row>
    <row r="277" spans="2:14">
      <c r="B277" s="57"/>
      <c r="C277" s="60"/>
      <c r="D277" s="60"/>
      <c r="E277" s="60"/>
      <c r="F277" s="60"/>
      <c r="G277" s="60"/>
      <c r="J277" s="99"/>
      <c r="K277" s="99"/>
      <c r="L277" s="99"/>
      <c r="M277" s="99"/>
      <c r="N277" s="43">
        <f t="shared" si="4"/>
        <v>0</v>
      </c>
    </row>
    <row r="278" spans="2:14">
      <c r="B278" s="57"/>
      <c r="C278" s="60"/>
      <c r="D278" s="60"/>
      <c r="E278" s="60"/>
      <c r="F278" s="60"/>
      <c r="G278" s="60"/>
      <c r="J278" s="99"/>
      <c r="K278" s="99"/>
      <c r="L278" s="99"/>
      <c r="M278" s="99"/>
      <c r="N278" s="43">
        <f t="shared" si="4"/>
        <v>0</v>
      </c>
    </row>
    <row r="279" spans="2:14">
      <c r="B279" s="57"/>
      <c r="C279" s="60"/>
      <c r="D279" s="60"/>
      <c r="E279" s="60"/>
      <c r="F279" s="60"/>
      <c r="G279" s="60"/>
      <c r="J279" s="99"/>
      <c r="K279" s="99"/>
      <c r="L279" s="99"/>
      <c r="M279" s="99"/>
      <c r="N279" s="43">
        <f t="shared" si="4"/>
        <v>0</v>
      </c>
    </row>
    <row r="280" spans="2:14">
      <c r="B280" s="57"/>
      <c r="C280" s="60"/>
      <c r="D280" s="60"/>
      <c r="E280" s="60"/>
      <c r="F280" s="60"/>
      <c r="G280" s="60"/>
      <c r="J280" s="99"/>
      <c r="K280" s="99"/>
      <c r="L280" s="99"/>
      <c r="M280" s="99"/>
      <c r="N280" s="43">
        <f t="shared" si="4"/>
        <v>0</v>
      </c>
    </row>
    <row r="281" spans="2:14">
      <c r="B281" s="57"/>
      <c r="C281" s="60"/>
      <c r="D281" s="60"/>
      <c r="E281" s="60"/>
      <c r="F281" s="60"/>
      <c r="G281" s="60"/>
      <c r="J281" s="99"/>
      <c r="K281" s="99"/>
      <c r="L281" s="99"/>
      <c r="M281" s="99"/>
      <c r="N281" s="43">
        <f t="shared" si="4"/>
        <v>0</v>
      </c>
    </row>
    <row r="282" spans="2:14">
      <c r="B282" s="57"/>
      <c r="C282" s="60"/>
      <c r="D282" s="60"/>
      <c r="E282" s="60"/>
      <c r="F282" s="60"/>
      <c r="G282" s="60"/>
      <c r="J282" s="99"/>
      <c r="K282" s="99"/>
      <c r="L282" s="99"/>
      <c r="M282" s="99"/>
      <c r="N282" s="43">
        <f t="shared" si="4"/>
        <v>0</v>
      </c>
    </row>
    <row r="283" spans="2:14">
      <c r="B283" s="57"/>
      <c r="C283" s="60"/>
      <c r="D283" s="60"/>
      <c r="E283" s="60"/>
      <c r="F283" s="60"/>
      <c r="G283" s="60"/>
      <c r="J283" s="99"/>
      <c r="K283" s="99"/>
      <c r="L283" s="99"/>
      <c r="M283" s="99"/>
      <c r="N283" s="43">
        <f t="shared" si="4"/>
        <v>0</v>
      </c>
    </row>
    <row r="284" spans="2:14">
      <c r="B284" s="57"/>
      <c r="C284" s="60"/>
      <c r="D284" s="60"/>
      <c r="E284" s="60"/>
      <c r="F284" s="60"/>
      <c r="G284" s="60"/>
      <c r="J284" s="99"/>
      <c r="K284" s="99"/>
      <c r="L284" s="99"/>
      <c r="M284" s="99"/>
      <c r="N284" s="43">
        <f t="shared" si="4"/>
        <v>0</v>
      </c>
    </row>
    <row r="285" spans="2:14">
      <c r="B285" s="57"/>
      <c r="C285" s="60"/>
      <c r="D285" s="60"/>
      <c r="E285" s="60"/>
      <c r="F285" s="60"/>
      <c r="G285" s="60"/>
      <c r="J285" s="99"/>
      <c r="K285" s="99"/>
      <c r="L285" s="99"/>
      <c r="M285" s="99"/>
      <c r="N285" s="43">
        <f t="shared" si="4"/>
        <v>0</v>
      </c>
    </row>
    <row r="286" spans="2:14">
      <c r="B286" s="57"/>
      <c r="C286" s="60"/>
      <c r="D286" s="60"/>
      <c r="E286" s="60"/>
      <c r="F286" s="60"/>
      <c r="G286" s="60"/>
      <c r="J286" s="99"/>
      <c r="K286" s="99"/>
      <c r="L286" s="99"/>
      <c r="M286" s="99"/>
      <c r="N286" s="43">
        <f t="shared" si="4"/>
        <v>0</v>
      </c>
    </row>
    <row r="287" spans="2:14">
      <c r="B287" s="57"/>
      <c r="C287" s="60"/>
      <c r="D287" s="60"/>
      <c r="E287" s="60"/>
      <c r="F287" s="60"/>
      <c r="G287" s="60"/>
      <c r="J287" s="99"/>
      <c r="K287" s="99"/>
      <c r="L287" s="99"/>
      <c r="M287" s="99"/>
      <c r="N287" s="43">
        <f t="shared" si="4"/>
        <v>0</v>
      </c>
    </row>
    <row r="288" spans="2:14">
      <c r="B288" s="57"/>
      <c r="C288" s="60"/>
      <c r="D288" s="60"/>
      <c r="E288" s="60"/>
      <c r="F288" s="60"/>
      <c r="G288" s="60"/>
      <c r="J288" s="99"/>
      <c r="K288" s="99"/>
      <c r="L288" s="99"/>
      <c r="M288" s="99"/>
      <c r="N288" s="43">
        <f t="shared" si="4"/>
        <v>0</v>
      </c>
    </row>
    <row r="289" spans="2:14">
      <c r="B289" s="57"/>
      <c r="C289" s="60"/>
      <c r="D289" s="60"/>
      <c r="E289" s="60"/>
      <c r="F289" s="60"/>
      <c r="G289" s="60"/>
      <c r="J289" s="99"/>
      <c r="K289" s="99"/>
      <c r="L289" s="99"/>
      <c r="M289" s="99"/>
      <c r="N289" s="43">
        <f t="shared" si="4"/>
        <v>0</v>
      </c>
    </row>
    <row r="290" spans="2:14">
      <c r="B290" s="57"/>
      <c r="C290" s="60"/>
      <c r="D290" s="60"/>
      <c r="E290" s="60"/>
      <c r="F290" s="60"/>
      <c r="G290" s="60"/>
      <c r="J290" s="99"/>
      <c r="K290" s="99"/>
      <c r="L290" s="99"/>
      <c r="M290" s="99"/>
      <c r="N290" s="43">
        <f t="shared" si="4"/>
        <v>0</v>
      </c>
    </row>
    <row r="291" spans="2:14">
      <c r="B291" s="57"/>
      <c r="C291" s="60"/>
      <c r="D291" s="60"/>
      <c r="E291" s="60"/>
      <c r="F291" s="60"/>
      <c r="G291" s="60"/>
      <c r="J291" s="99"/>
      <c r="K291" s="99"/>
      <c r="L291" s="99"/>
      <c r="M291" s="99"/>
      <c r="N291" s="43">
        <f t="shared" si="4"/>
        <v>0</v>
      </c>
    </row>
    <row r="292" spans="2:14">
      <c r="B292" s="57"/>
      <c r="C292" s="60"/>
      <c r="D292" s="60"/>
      <c r="E292" s="60"/>
      <c r="F292" s="60"/>
      <c r="G292" s="60"/>
      <c r="J292" s="99"/>
      <c r="K292" s="99"/>
      <c r="L292" s="99"/>
      <c r="M292" s="99"/>
      <c r="N292" s="43">
        <f t="shared" si="4"/>
        <v>0</v>
      </c>
    </row>
    <row r="293" spans="2:14">
      <c r="B293" s="57"/>
      <c r="C293" s="60"/>
      <c r="D293" s="60"/>
      <c r="E293" s="60"/>
      <c r="F293" s="60"/>
      <c r="G293" s="60"/>
      <c r="J293" s="99"/>
      <c r="K293" s="99"/>
      <c r="L293" s="99"/>
      <c r="M293" s="99"/>
      <c r="N293" s="43">
        <f t="shared" si="4"/>
        <v>0</v>
      </c>
    </row>
    <row r="294" spans="2:14">
      <c r="B294" s="57"/>
      <c r="C294" s="60"/>
      <c r="D294" s="60"/>
      <c r="E294" s="60"/>
      <c r="F294" s="60"/>
      <c r="G294" s="60"/>
      <c r="J294" s="99"/>
      <c r="K294" s="99"/>
      <c r="L294" s="99"/>
      <c r="M294" s="99"/>
      <c r="N294" s="43">
        <f t="shared" si="4"/>
        <v>0</v>
      </c>
    </row>
    <row r="295" spans="2:14">
      <c r="B295" s="57"/>
      <c r="C295" s="60"/>
      <c r="D295" s="60"/>
      <c r="E295" s="60"/>
      <c r="F295" s="60"/>
      <c r="G295" s="60"/>
      <c r="J295" s="99"/>
      <c r="K295" s="99"/>
      <c r="L295" s="99"/>
      <c r="M295" s="99"/>
      <c r="N295" s="43">
        <f t="shared" si="4"/>
        <v>0</v>
      </c>
    </row>
    <row r="296" spans="2:14">
      <c r="B296" s="57"/>
      <c r="C296" s="60"/>
      <c r="D296" s="60"/>
      <c r="E296" s="60"/>
      <c r="F296" s="60"/>
      <c r="G296" s="60"/>
      <c r="J296" s="99"/>
      <c r="K296" s="99"/>
      <c r="L296" s="99"/>
      <c r="M296" s="99"/>
      <c r="N296" s="43">
        <f t="shared" si="4"/>
        <v>0</v>
      </c>
    </row>
    <row r="297" spans="2:14">
      <c r="B297" s="57"/>
      <c r="C297" s="60"/>
      <c r="D297" s="60"/>
      <c r="E297" s="60"/>
      <c r="F297" s="60"/>
      <c r="G297" s="60"/>
      <c r="J297" s="99"/>
      <c r="K297" s="99"/>
      <c r="L297" s="99"/>
      <c r="M297" s="99"/>
      <c r="N297" s="43">
        <f t="shared" si="4"/>
        <v>0</v>
      </c>
    </row>
    <row r="298" spans="2:14">
      <c r="B298" s="57"/>
      <c r="C298" s="60"/>
      <c r="D298" s="60"/>
      <c r="E298" s="60"/>
      <c r="F298" s="60"/>
      <c r="G298" s="60"/>
      <c r="J298" s="99"/>
      <c r="K298" s="99"/>
      <c r="L298" s="99"/>
      <c r="M298" s="99"/>
      <c r="N298" s="43">
        <f t="shared" si="4"/>
        <v>0</v>
      </c>
    </row>
    <row r="299" spans="2:14">
      <c r="B299" s="57"/>
      <c r="C299" s="60"/>
      <c r="D299" s="60"/>
      <c r="E299" s="60"/>
      <c r="F299" s="60"/>
      <c r="G299" s="60"/>
      <c r="J299" s="99"/>
      <c r="K299" s="99"/>
      <c r="L299" s="99"/>
      <c r="M299" s="99"/>
      <c r="N299" s="43">
        <f t="shared" si="4"/>
        <v>0</v>
      </c>
    </row>
    <row r="300" spans="2:14">
      <c r="B300" s="57"/>
      <c r="C300" s="60"/>
      <c r="D300" s="60"/>
      <c r="E300" s="60"/>
      <c r="F300" s="60"/>
      <c r="G300" s="60"/>
      <c r="J300" s="99"/>
      <c r="K300" s="99"/>
      <c r="L300" s="99"/>
      <c r="M300" s="99"/>
      <c r="N300" s="43">
        <f t="shared" si="4"/>
        <v>0</v>
      </c>
    </row>
    <row r="301" spans="2:14">
      <c r="B301" s="57"/>
      <c r="C301" s="60"/>
      <c r="D301" s="60"/>
      <c r="E301" s="60"/>
      <c r="F301" s="60"/>
      <c r="G301" s="60"/>
      <c r="J301" s="99"/>
      <c r="K301" s="99"/>
      <c r="L301" s="99"/>
      <c r="M301" s="99"/>
      <c r="N301" s="43">
        <f t="shared" si="4"/>
        <v>0</v>
      </c>
    </row>
    <row r="302" spans="2:14">
      <c r="B302" s="57"/>
      <c r="C302" s="60"/>
      <c r="D302" s="60"/>
      <c r="E302" s="60"/>
      <c r="F302" s="60"/>
      <c r="G302" s="60"/>
      <c r="J302" s="99"/>
      <c r="K302" s="99"/>
      <c r="L302" s="99"/>
      <c r="M302" s="99"/>
      <c r="N302" s="43">
        <f t="shared" si="4"/>
        <v>0</v>
      </c>
    </row>
    <row r="303" spans="2:14">
      <c r="B303" s="57"/>
      <c r="C303" s="60"/>
      <c r="D303" s="60"/>
      <c r="E303" s="60"/>
      <c r="F303" s="60"/>
      <c r="G303" s="60"/>
      <c r="J303" s="99"/>
      <c r="K303" s="99"/>
      <c r="L303" s="99"/>
      <c r="M303" s="99"/>
      <c r="N303" s="43">
        <f t="shared" si="4"/>
        <v>0</v>
      </c>
    </row>
    <row r="304" spans="2:14">
      <c r="B304" s="57"/>
      <c r="C304" s="60"/>
      <c r="D304" s="60"/>
      <c r="E304" s="60"/>
      <c r="F304" s="60"/>
      <c r="G304" s="60"/>
      <c r="J304" s="99"/>
      <c r="K304" s="99"/>
      <c r="L304" s="99"/>
      <c r="M304" s="99"/>
      <c r="N304" s="43">
        <f t="shared" si="4"/>
        <v>0</v>
      </c>
    </row>
    <row r="305" spans="2:14">
      <c r="B305" s="57"/>
      <c r="C305" s="60"/>
      <c r="D305" s="60"/>
      <c r="E305" s="60"/>
      <c r="F305" s="60"/>
      <c r="G305" s="60"/>
      <c r="J305" s="99"/>
      <c r="K305" s="99"/>
      <c r="L305" s="99"/>
      <c r="M305" s="99"/>
      <c r="N305" s="43">
        <f t="shared" si="4"/>
        <v>0</v>
      </c>
    </row>
    <row r="306" spans="2:14">
      <c r="B306" s="57"/>
      <c r="C306" s="60"/>
      <c r="D306" s="60"/>
      <c r="E306" s="60"/>
      <c r="F306" s="60"/>
      <c r="G306" s="60"/>
      <c r="J306" s="99"/>
      <c r="K306" s="99"/>
      <c r="L306" s="99"/>
      <c r="M306" s="99"/>
      <c r="N306" s="43">
        <f t="shared" si="4"/>
        <v>0</v>
      </c>
    </row>
    <row r="307" spans="2:14">
      <c r="B307" s="57"/>
      <c r="C307" s="60"/>
      <c r="D307" s="60"/>
      <c r="E307" s="60"/>
      <c r="F307" s="60"/>
      <c r="G307" s="60"/>
      <c r="J307" s="99"/>
      <c r="K307" s="99"/>
      <c r="L307" s="99"/>
      <c r="M307" s="99"/>
      <c r="N307" s="43">
        <f t="shared" si="4"/>
        <v>0</v>
      </c>
    </row>
    <row r="308" spans="2:14">
      <c r="B308" s="57"/>
      <c r="C308" s="60"/>
      <c r="D308" s="60"/>
      <c r="E308" s="60"/>
      <c r="F308" s="60"/>
      <c r="G308" s="60"/>
      <c r="J308" s="99"/>
      <c r="K308" s="99"/>
      <c r="L308" s="99"/>
      <c r="M308" s="99"/>
      <c r="N308" s="43">
        <f t="shared" si="4"/>
        <v>0</v>
      </c>
    </row>
    <row r="309" spans="2:14">
      <c r="B309" s="57"/>
      <c r="C309" s="60"/>
      <c r="D309" s="60"/>
      <c r="E309" s="60"/>
      <c r="F309" s="60"/>
      <c r="G309" s="60"/>
      <c r="J309" s="99"/>
      <c r="K309" s="99"/>
      <c r="L309" s="99"/>
      <c r="M309" s="99"/>
      <c r="N309" s="43">
        <f t="shared" si="4"/>
        <v>0</v>
      </c>
    </row>
    <row r="310" spans="2:14">
      <c r="B310" s="57"/>
      <c r="C310" s="60"/>
      <c r="D310" s="60"/>
      <c r="E310" s="60"/>
      <c r="F310" s="60"/>
      <c r="G310" s="60"/>
      <c r="J310" s="99"/>
      <c r="K310" s="99"/>
      <c r="L310" s="99"/>
      <c r="M310" s="99"/>
      <c r="N310" s="43">
        <f t="shared" si="4"/>
        <v>0</v>
      </c>
    </row>
    <row r="311" spans="2:14">
      <c r="B311" s="57"/>
      <c r="C311" s="60"/>
      <c r="D311" s="60"/>
      <c r="E311" s="60"/>
      <c r="F311" s="60"/>
      <c r="G311" s="60"/>
      <c r="J311" s="99"/>
      <c r="K311" s="99"/>
      <c r="L311" s="99"/>
      <c r="M311" s="99"/>
      <c r="N311" s="43">
        <f t="shared" si="4"/>
        <v>0</v>
      </c>
    </row>
    <row r="312" spans="2:14">
      <c r="B312" s="57"/>
      <c r="C312" s="60"/>
      <c r="D312" s="60"/>
      <c r="E312" s="60"/>
      <c r="F312" s="60"/>
      <c r="G312" s="60"/>
      <c r="J312" s="99"/>
      <c r="K312" s="99"/>
      <c r="L312" s="99"/>
      <c r="M312" s="99"/>
      <c r="N312" s="43">
        <f t="shared" si="4"/>
        <v>0</v>
      </c>
    </row>
    <row r="313" spans="2:14">
      <c r="B313" s="57"/>
      <c r="C313" s="60"/>
      <c r="D313" s="60"/>
      <c r="E313" s="60"/>
      <c r="F313" s="60"/>
      <c r="G313" s="60"/>
      <c r="J313" s="99"/>
      <c r="K313" s="99"/>
      <c r="L313" s="99"/>
      <c r="M313" s="99"/>
      <c r="N313" s="43">
        <f t="shared" si="4"/>
        <v>0</v>
      </c>
    </row>
    <row r="314" spans="2:14">
      <c r="B314" s="57"/>
      <c r="C314" s="60"/>
      <c r="D314" s="60"/>
      <c r="E314" s="60"/>
      <c r="F314" s="60"/>
      <c r="G314" s="60"/>
      <c r="J314" s="99"/>
      <c r="K314" s="99"/>
      <c r="L314" s="99"/>
      <c r="M314" s="99"/>
      <c r="N314" s="43">
        <f t="shared" si="4"/>
        <v>0</v>
      </c>
    </row>
    <row r="315" spans="2:14">
      <c r="B315" s="57"/>
      <c r="C315" s="60"/>
      <c r="D315" s="60"/>
      <c r="E315" s="60"/>
      <c r="F315" s="60"/>
      <c r="G315" s="60"/>
      <c r="J315" s="99"/>
      <c r="K315" s="99"/>
      <c r="L315" s="99"/>
      <c r="M315" s="99"/>
      <c r="N315" s="43">
        <f t="shared" si="4"/>
        <v>0</v>
      </c>
    </row>
    <row r="316" spans="2:14">
      <c r="B316" s="57"/>
      <c r="C316" s="60"/>
      <c r="D316" s="60"/>
      <c r="E316" s="60"/>
      <c r="F316" s="60"/>
      <c r="G316" s="60"/>
      <c r="J316" s="99"/>
      <c r="K316" s="99"/>
      <c r="L316" s="99"/>
      <c r="M316" s="99"/>
      <c r="N316" s="43">
        <f t="shared" si="4"/>
        <v>0</v>
      </c>
    </row>
    <row r="317" spans="2:14">
      <c r="B317" s="57"/>
      <c r="C317" s="60"/>
      <c r="D317" s="60"/>
      <c r="E317" s="60"/>
      <c r="F317" s="60"/>
      <c r="G317" s="60"/>
      <c r="J317" s="99"/>
      <c r="K317" s="99"/>
      <c r="L317" s="99"/>
      <c r="M317" s="99"/>
      <c r="N317" s="43">
        <f t="shared" si="4"/>
        <v>0</v>
      </c>
    </row>
    <row r="318" spans="2:14">
      <c r="B318" s="57"/>
      <c r="C318" s="60"/>
      <c r="D318" s="60"/>
      <c r="E318" s="60"/>
      <c r="F318" s="60"/>
      <c r="G318" s="60"/>
      <c r="J318" s="99"/>
      <c r="K318" s="99"/>
      <c r="L318" s="99"/>
      <c r="M318" s="99"/>
      <c r="N318" s="43">
        <f t="shared" si="4"/>
        <v>0</v>
      </c>
    </row>
    <row r="319" spans="2:14">
      <c r="B319" s="57"/>
      <c r="C319" s="60"/>
      <c r="D319" s="60"/>
      <c r="E319" s="60"/>
      <c r="F319" s="60"/>
      <c r="G319" s="60"/>
      <c r="J319" s="99"/>
      <c r="K319" s="99"/>
      <c r="L319" s="99"/>
      <c r="M319" s="99"/>
      <c r="N319" s="43">
        <f t="shared" si="4"/>
        <v>0</v>
      </c>
    </row>
    <row r="320" spans="2:14">
      <c r="B320" s="57"/>
      <c r="C320" s="60"/>
      <c r="D320" s="60"/>
      <c r="E320" s="60"/>
      <c r="F320" s="60"/>
      <c r="G320" s="60"/>
      <c r="J320" s="99"/>
      <c r="K320" s="99"/>
      <c r="L320" s="99"/>
      <c r="M320" s="99"/>
      <c r="N320" s="43">
        <f t="shared" si="4"/>
        <v>0</v>
      </c>
    </row>
    <row r="321" spans="2:14">
      <c r="B321" s="57"/>
      <c r="C321" s="60"/>
      <c r="D321" s="60"/>
      <c r="E321" s="60"/>
      <c r="F321" s="60"/>
      <c r="G321" s="60"/>
      <c r="J321" s="99"/>
      <c r="K321" s="99"/>
      <c r="L321" s="99"/>
      <c r="M321" s="99"/>
      <c r="N321" s="43">
        <f t="shared" si="4"/>
        <v>0</v>
      </c>
    </row>
    <row r="322" spans="2:14">
      <c r="B322" s="57"/>
      <c r="C322" s="60"/>
      <c r="D322" s="60"/>
      <c r="E322" s="60"/>
      <c r="F322" s="60"/>
      <c r="G322" s="60"/>
      <c r="J322" s="99"/>
      <c r="K322" s="99"/>
      <c r="L322" s="99"/>
      <c r="M322" s="99"/>
      <c r="N322" s="43">
        <f t="shared" si="4"/>
        <v>0</v>
      </c>
    </row>
    <row r="323" spans="2:14">
      <c r="B323" s="57"/>
      <c r="C323" s="60"/>
      <c r="D323" s="60"/>
      <c r="E323" s="60"/>
      <c r="F323" s="60"/>
      <c r="G323" s="60"/>
      <c r="J323" s="99"/>
      <c r="K323" s="99"/>
      <c r="L323" s="99"/>
      <c r="M323" s="99"/>
      <c r="N323" s="43">
        <f t="shared" si="4"/>
        <v>0</v>
      </c>
    </row>
    <row r="324" spans="2:14">
      <c r="B324" s="57"/>
      <c r="C324" s="60"/>
      <c r="D324" s="60"/>
      <c r="E324" s="60"/>
      <c r="F324" s="60"/>
      <c r="G324" s="60"/>
      <c r="J324" s="99"/>
      <c r="K324" s="99"/>
      <c r="L324" s="99"/>
      <c r="M324" s="99"/>
      <c r="N324" s="43">
        <f t="shared" si="4"/>
        <v>0</v>
      </c>
    </row>
    <row r="325" spans="2:14">
      <c r="B325" s="57"/>
      <c r="C325" s="60"/>
      <c r="D325" s="60"/>
      <c r="E325" s="60"/>
      <c r="F325" s="60"/>
      <c r="G325" s="60"/>
      <c r="J325" s="99"/>
      <c r="K325" s="99"/>
      <c r="L325" s="99"/>
      <c r="M325" s="99"/>
      <c r="N325" s="43">
        <f t="shared" si="4"/>
        <v>0</v>
      </c>
    </row>
    <row r="326" spans="2:14">
      <c r="B326" s="57"/>
      <c r="C326" s="60"/>
      <c r="D326" s="60"/>
      <c r="E326" s="60"/>
      <c r="F326" s="60"/>
      <c r="G326" s="60"/>
      <c r="J326" s="99"/>
      <c r="K326" s="99"/>
      <c r="L326" s="99"/>
      <c r="M326" s="99"/>
      <c r="N326" s="43">
        <f t="shared" si="4"/>
        <v>0</v>
      </c>
    </row>
    <row r="327" spans="2:14">
      <c r="B327" s="57"/>
      <c r="C327" s="60"/>
      <c r="D327" s="60"/>
      <c r="E327" s="60"/>
      <c r="F327" s="60"/>
      <c r="G327" s="60"/>
      <c r="J327" s="99"/>
      <c r="K327" s="99"/>
      <c r="L327" s="99"/>
      <c r="M327" s="99"/>
      <c r="N327" s="43">
        <f t="shared" si="4"/>
        <v>0</v>
      </c>
    </row>
    <row r="328" spans="2:14">
      <c r="B328" s="57"/>
      <c r="C328" s="60"/>
      <c r="D328" s="60"/>
      <c r="E328" s="60"/>
      <c r="F328" s="60"/>
      <c r="G328" s="60"/>
      <c r="J328" s="99"/>
      <c r="K328" s="99"/>
      <c r="L328" s="99"/>
      <c r="M328" s="99"/>
      <c r="N328" s="43">
        <f t="shared" si="4"/>
        <v>0</v>
      </c>
    </row>
    <row r="329" spans="2:14">
      <c r="B329" s="57"/>
      <c r="C329" s="60"/>
      <c r="D329" s="60"/>
      <c r="E329" s="60"/>
      <c r="F329" s="60"/>
      <c r="G329" s="60"/>
      <c r="J329" s="99"/>
      <c r="K329" s="99"/>
      <c r="L329" s="99"/>
      <c r="M329" s="99"/>
      <c r="N329" s="43">
        <f t="shared" si="4"/>
        <v>0</v>
      </c>
    </row>
    <row r="330" spans="2:14">
      <c r="B330" s="57"/>
      <c r="C330" s="60"/>
      <c r="D330" s="60"/>
      <c r="E330" s="60"/>
      <c r="F330" s="60"/>
      <c r="G330" s="60"/>
      <c r="J330" s="99"/>
      <c r="K330" s="99"/>
      <c r="L330" s="99"/>
      <c r="M330" s="99"/>
      <c r="N330" s="43">
        <f t="shared" si="4"/>
        <v>0</v>
      </c>
    </row>
    <row r="331" spans="2:14">
      <c r="B331" s="57"/>
      <c r="C331" s="60"/>
      <c r="D331" s="60"/>
      <c r="E331" s="60"/>
      <c r="F331" s="60"/>
      <c r="G331" s="60"/>
      <c r="J331" s="99"/>
      <c r="K331" s="99"/>
      <c r="L331" s="99"/>
      <c r="M331" s="99"/>
      <c r="N331" s="43">
        <f t="shared" ref="N331:N394" si="5">IF($L$4=$C$10,C331,IF(D331="","",B331))</f>
        <v>0</v>
      </c>
    </row>
    <row r="332" spans="2:14">
      <c r="B332" s="57"/>
      <c r="C332" s="60"/>
      <c r="D332" s="60"/>
      <c r="E332" s="60"/>
      <c r="F332" s="60"/>
      <c r="G332" s="60"/>
      <c r="J332" s="99"/>
      <c r="K332" s="99"/>
      <c r="L332" s="99"/>
      <c r="M332" s="99"/>
      <c r="N332" s="43">
        <f t="shared" si="5"/>
        <v>0</v>
      </c>
    </row>
    <row r="333" spans="2:14">
      <c r="B333" s="57"/>
      <c r="C333" s="60"/>
      <c r="D333" s="60"/>
      <c r="E333" s="60"/>
      <c r="F333" s="60"/>
      <c r="G333" s="60"/>
      <c r="J333" s="99"/>
      <c r="K333" s="99"/>
      <c r="L333" s="99"/>
      <c r="M333" s="99"/>
      <c r="N333" s="43">
        <f t="shared" si="5"/>
        <v>0</v>
      </c>
    </row>
    <row r="334" spans="2:14">
      <c r="B334" s="57"/>
      <c r="C334" s="60"/>
      <c r="D334" s="60"/>
      <c r="E334" s="60"/>
      <c r="F334" s="60"/>
      <c r="G334" s="60"/>
      <c r="J334" s="99"/>
      <c r="K334" s="99"/>
      <c r="L334" s="99"/>
      <c r="M334" s="99"/>
      <c r="N334" s="43">
        <f t="shared" si="5"/>
        <v>0</v>
      </c>
    </row>
    <row r="335" spans="2:14">
      <c r="B335" s="57"/>
      <c r="C335" s="60"/>
      <c r="D335" s="60"/>
      <c r="E335" s="60"/>
      <c r="F335" s="60"/>
      <c r="G335" s="60"/>
      <c r="J335" s="99"/>
      <c r="K335" s="99"/>
      <c r="L335" s="99"/>
      <c r="M335" s="99"/>
      <c r="N335" s="43">
        <f t="shared" si="5"/>
        <v>0</v>
      </c>
    </row>
    <row r="336" spans="2:14">
      <c r="B336" s="57"/>
      <c r="C336" s="60"/>
      <c r="D336" s="60"/>
      <c r="E336" s="60"/>
      <c r="F336" s="60"/>
      <c r="G336" s="60"/>
      <c r="J336" s="99"/>
      <c r="K336" s="99"/>
      <c r="L336" s="99"/>
      <c r="M336" s="99"/>
      <c r="N336" s="43">
        <f t="shared" si="5"/>
        <v>0</v>
      </c>
    </row>
    <row r="337" spans="2:14">
      <c r="B337" s="57"/>
      <c r="C337" s="60"/>
      <c r="D337" s="60"/>
      <c r="E337" s="60"/>
      <c r="F337" s="60"/>
      <c r="G337" s="60"/>
      <c r="J337" s="99"/>
      <c r="K337" s="99"/>
      <c r="L337" s="99"/>
      <c r="M337" s="99"/>
      <c r="N337" s="43">
        <f t="shared" si="5"/>
        <v>0</v>
      </c>
    </row>
    <row r="338" spans="2:14">
      <c r="B338" s="57"/>
      <c r="C338" s="60"/>
      <c r="D338" s="60"/>
      <c r="E338" s="60"/>
      <c r="F338" s="60"/>
      <c r="G338" s="60"/>
      <c r="J338" s="99"/>
      <c r="K338" s="99"/>
      <c r="L338" s="99"/>
      <c r="M338" s="99"/>
      <c r="N338" s="43">
        <f t="shared" si="5"/>
        <v>0</v>
      </c>
    </row>
    <row r="339" spans="2:14">
      <c r="B339" s="57"/>
      <c r="C339" s="60"/>
      <c r="D339" s="60"/>
      <c r="E339" s="60"/>
      <c r="F339" s="60"/>
      <c r="G339" s="60"/>
      <c r="J339" s="99"/>
      <c r="K339" s="99"/>
      <c r="L339" s="99"/>
      <c r="M339" s="99"/>
      <c r="N339" s="43">
        <f t="shared" si="5"/>
        <v>0</v>
      </c>
    </row>
    <row r="340" spans="2:14">
      <c r="B340" s="57"/>
      <c r="C340" s="60"/>
      <c r="D340" s="60"/>
      <c r="E340" s="60"/>
      <c r="F340" s="60"/>
      <c r="G340" s="60"/>
      <c r="J340" s="99"/>
      <c r="K340" s="99"/>
      <c r="L340" s="99"/>
      <c r="M340" s="99"/>
      <c r="N340" s="43">
        <f t="shared" si="5"/>
        <v>0</v>
      </c>
    </row>
    <row r="341" spans="2:14">
      <c r="B341" s="57"/>
      <c r="C341" s="60"/>
      <c r="D341" s="60"/>
      <c r="E341" s="60"/>
      <c r="F341" s="60"/>
      <c r="G341" s="60"/>
      <c r="J341" s="99"/>
      <c r="K341" s="99"/>
      <c r="L341" s="99"/>
      <c r="M341" s="99"/>
      <c r="N341" s="43">
        <f t="shared" si="5"/>
        <v>0</v>
      </c>
    </row>
    <row r="342" spans="2:14">
      <c r="B342" s="57"/>
      <c r="C342" s="60"/>
      <c r="D342" s="60"/>
      <c r="E342" s="60"/>
      <c r="F342" s="60"/>
      <c r="G342" s="60"/>
      <c r="J342" s="99"/>
      <c r="K342" s="99"/>
      <c r="L342" s="99"/>
      <c r="M342" s="99"/>
      <c r="N342" s="43">
        <f t="shared" si="5"/>
        <v>0</v>
      </c>
    </row>
    <row r="343" spans="2:14">
      <c r="B343" s="57"/>
      <c r="C343" s="60"/>
      <c r="D343" s="60"/>
      <c r="E343" s="60"/>
      <c r="F343" s="60"/>
      <c r="G343" s="60"/>
      <c r="J343" s="99"/>
      <c r="K343" s="99"/>
      <c r="L343" s="99"/>
      <c r="M343" s="99"/>
      <c r="N343" s="43">
        <f t="shared" si="5"/>
        <v>0</v>
      </c>
    </row>
    <row r="344" spans="2:14">
      <c r="B344" s="57"/>
      <c r="C344" s="60"/>
      <c r="D344" s="60"/>
      <c r="E344" s="60"/>
      <c r="F344" s="60"/>
      <c r="G344" s="60"/>
      <c r="J344" s="99"/>
      <c r="K344" s="99"/>
      <c r="L344" s="99"/>
      <c r="M344" s="99"/>
      <c r="N344" s="43">
        <f t="shared" si="5"/>
        <v>0</v>
      </c>
    </row>
    <row r="345" spans="2:14">
      <c r="B345" s="57"/>
      <c r="C345" s="60"/>
      <c r="D345" s="60"/>
      <c r="E345" s="60"/>
      <c r="F345" s="60"/>
      <c r="G345" s="60"/>
      <c r="J345" s="99"/>
      <c r="K345" s="99"/>
      <c r="L345" s="99"/>
      <c r="M345" s="99"/>
      <c r="N345" s="43">
        <f t="shared" si="5"/>
        <v>0</v>
      </c>
    </row>
    <row r="346" spans="2:14">
      <c r="B346" s="57"/>
      <c r="C346" s="60"/>
      <c r="D346" s="60"/>
      <c r="E346" s="60"/>
      <c r="F346" s="60"/>
      <c r="G346" s="60"/>
      <c r="J346" s="99"/>
      <c r="K346" s="99"/>
      <c r="L346" s="99"/>
      <c r="M346" s="99"/>
      <c r="N346" s="43">
        <f t="shared" si="5"/>
        <v>0</v>
      </c>
    </row>
    <row r="347" spans="2:14">
      <c r="B347" s="57"/>
      <c r="C347" s="60"/>
      <c r="D347" s="60"/>
      <c r="E347" s="60"/>
      <c r="F347" s="60"/>
      <c r="G347" s="60"/>
      <c r="J347" s="99"/>
      <c r="K347" s="99"/>
      <c r="L347" s="99"/>
      <c r="M347" s="99"/>
      <c r="N347" s="43">
        <f t="shared" si="5"/>
        <v>0</v>
      </c>
    </row>
    <row r="348" spans="2:14">
      <c r="B348" s="57"/>
      <c r="C348" s="60"/>
      <c r="D348" s="60"/>
      <c r="E348" s="60"/>
      <c r="F348" s="60"/>
      <c r="G348" s="60"/>
      <c r="J348" s="99"/>
      <c r="K348" s="99"/>
      <c r="L348" s="99"/>
      <c r="M348" s="99"/>
      <c r="N348" s="43">
        <f t="shared" si="5"/>
        <v>0</v>
      </c>
    </row>
    <row r="349" spans="2:14">
      <c r="B349" s="57"/>
      <c r="C349" s="60"/>
      <c r="D349" s="60"/>
      <c r="E349" s="60"/>
      <c r="F349" s="60"/>
      <c r="G349" s="60"/>
      <c r="J349" s="99"/>
      <c r="K349" s="99"/>
      <c r="L349" s="99"/>
      <c r="M349" s="99"/>
      <c r="N349" s="43">
        <f t="shared" si="5"/>
        <v>0</v>
      </c>
    </row>
    <row r="350" spans="2:14">
      <c r="B350" s="57"/>
      <c r="C350" s="60"/>
      <c r="D350" s="60"/>
      <c r="E350" s="60"/>
      <c r="F350" s="60"/>
      <c r="G350" s="60"/>
      <c r="J350" s="99"/>
      <c r="K350" s="99"/>
      <c r="L350" s="99"/>
      <c r="M350" s="99"/>
      <c r="N350" s="43">
        <f t="shared" si="5"/>
        <v>0</v>
      </c>
    </row>
    <row r="351" spans="2:14">
      <c r="B351" s="57"/>
      <c r="C351" s="60"/>
      <c r="D351" s="60"/>
      <c r="E351" s="60"/>
      <c r="F351" s="60"/>
      <c r="G351" s="60"/>
      <c r="J351" s="99"/>
      <c r="K351" s="99"/>
      <c r="L351" s="99"/>
      <c r="M351" s="99"/>
      <c r="N351" s="43">
        <f t="shared" si="5"/>
        <v>0</v>
      </c>
    </row>
    <row r="352" spans="2:14">
      <c r="B352" s="57"/>
      <c r="C352" s="60"/>
      <c r="D352" s="60"/>
      <c r="E352" s="60"/>
      <c r="F352" s="60"/>
      <c r="G352" s="60"/>
      <c r="J352" s="99"/>
      <c r="K352" s="99"/>
      <c r="L352" s="99"/>
      <c r="M352" s="99"/>
      <c r="N352" s="43">
        <f t="shared" si="5"/>
        <v>0</v>
      </c>
    </row>
    <row r="353" spans="2:14">
      <c r="B353" s="57"/>
      <c r="C353" s="60"/>
      <c r="D353" s="60"/>
      <c r="E353" s="60"/>
      <c r="F353" s="60"/>
      <c r="G353" s="60"/>
      <c r="J353" s="99"/>
      <c r="K353" s="99"/>
      <c r="L353" s="99"/>
      <c r="M353" s="99"/>
      <c r="N353" s="43">
        <f t="shared" si="5"/>
        <v>0</v>
      </c>
    </row>
    <row r="354" spans="2:14">
      <c r="B354" s="57"/>
      <c r="C354" s="60"/>
      <c r="D354" s="60"/>
      <c r="E354" s="60"/>
      <c r="F354" s="60"/>
      <c r="G354" s="60"/>
      <c r="J354" s="99"/>
      <c r="K354" s="99"/>
      <c r="L354" s="99"/>
      <c r="M354" s="99"/>
      <c r="N354" s="43">
        <f t="shared" si="5"/>
        <v>0</v>
      </c>
    </row>
    <row r="355" spans="2:14">
      <c r="B355" s="57"/>
      <c r="C355" s="60"/>
      <c r="D355" s="60"/>
      <c r="E355" s="60"/>
      <c r="F355" s="60"/>
      <c r="G355" s="60"/>
      <c r="J355" s="99"/>
      <c r="K355" s="99"/>
      <c r="L355" s="99"/>
      <c r="M355" s="99"/>
      <c r="N355" s="43">
        <f t="shared" si="5"/>
        <v>0</v>
      </c>
    </row>
    <row r="356" spans="2:14">
      <c r="B356" s="57"/>
      <c r="C356" s="60"/>
      <c r="D356" s="60"/>
      <c r="E356" s="60"/>
      <c r="F356" s="60"/>
      <c r="G356" s="60"/>
      <c r="J356" s="99"/>
      <c r="K356" s="99"/>
      <c r="L356" s="99"/>
      <c r="M356" s="99"/>
      <c r="N356" s="43">
        <f t="shared" si="5"/>
        <v>0</v>
      </c>
    </row>
    <row r="357" spans="2:14">
      <c r="B357" s="57"/>
      <c r="C357" s="60"/>
      <c r="D357" s="60"/>
      <c r="E357" s="60"/>
      <c r="F357" s="60"/>
      <c r="G357" s="60"/>
      <c r="J357" s="99"/>
      <c r="K357" s="99"/>
      <c r="L357" s="99"/>
      <c r="M357" s="99"/>
      <c r="N357" s="43">
        <f t="shared" si="5"/>
        <v>0</v>
      </c>
    </row>
    <row r="358" spans="2:14">
      <c r="B358" s="57"/>
      <c r="C358" s="60"/>
      <c r="D358" s="60"/>
      <c r="E358" s="60"/>
      <c r="F358" s="60"/>
      <c r="G358" s="60"/>
      <c r="J358" s="99"/>
      <c r="K358" s="99"/>
      <c r="L358" s="99"/>
      <c r="M358" s="99"/>
      <c r="N358" s="43">
        <f t="shared" si="5"/>
        <v>0</v>
      </c>
    </row>
    <row r="359" spans="2:14">
      <c r="B359" s="57"/>
      <c r="C359" s="60"/>
      <c r="D359" s="60"/>
      <c r="E359" s="60"/>
      <c r="F359" s="60"/>
      <c r="G359" s="60"/>
      <c r="J359" s="99"/>
      <c r="K359" s="99"/>
      <c r="L359" s="99"/>
      <c r="M359" s="99"/>
      <c r="N359" s="43">
        <f t="shared" si="5"/>
        <v>0</v>
      </c>
    </row>
    <row r="360" spans="2:14">
      <c r="B360" s="57"/>
      <c r="C360" s="60"/>
      <c r="D360" s="60"/>
      <c r="E360" s="60"/>
      <c r="F360" s="60"/>
      <c r="G360" s="60"/>
      <c r="J360" s="99"/>
      <c r="K360" s="99"/>
      <c r="L360" s="99"/>
      <c r="M360" s="99"/>
      <c r="N360" s="43">
        <f t="shared" si="5"/>
        <v>0</v>
      </c>
    </row>
    <row r="361" spans="2:14">
      <c r="B361" s="57"/>
      <c r="C361" s="60"/>
      <c r="D361" s="60"/>
      <c r="E361" s="60"/>
      <c r="F361" s="60"/>
      <c r="G361" s="60"/>
      <c r="J361" s="99"/>
      <c r="K361" s="99"/>
      <c r="L361" s="99"/>
      <c r="M361" s="99"/>
      <c r="N361" s="43">
        <f t="shared" si="5"/>
        <v>0</v>
      </c>
    </row>
    <row r="362" spans="2:14">
      <c r="B362" s="57"/>
      <c r="C362" s="60"/>
      <c r="D362" s="60"/>
      <c r="E362" s="60"/>
      <c r="F362" s="60"/>
      <c r="G362" s="60"/>
      <c r="J362" s="99"/>
      <c r="K362" s="99"/>
      <c r="L362" s="99"/>
      <c r="M362" s="99"/>
      <c r="N362" s="43">
        <f t="shared" si="5"/>
        <v>0</v>
      </c>
    </row>
    <row r="363" spans="2:14">
      <c r="B363" s="57"/>
      <c r="C363" s="60"/>
      <c r="D363" s="60"/>
      <c r="E363" s="60"/>
      <c r="F363" s="60"/>
      <c r="G363" s="60"/>
      <c r="J363" s="99"/>
      <c r="K363" s="99"/>
      <c r="L363" s="99"/>
      <c r="M363" s="99"/>
      <c r="N363" s="43">
        <f t="shared" si="5"/>
        <v>0</v>
      </c>
    </row>
    <row r="364" spans="2:14">
      <c r="B364" s="57"/>
      <c r="C364" s="60"/>
      <c r="D364" s="60"/>
      <c r="E364" s="60"/>
      <c r="F364" s="60"/>
      <c r="G364" s="60"/>
      <c r="J364" s="99"/>
      <c r="K364" s="99"/>
      <c r="L364" s="99"/>
      <c r="M364" s="99"/>
      <c r="N364" s="43">
        <f t="shared" si="5"/>
        <v>0</v>
      </c>
    </row>
    <row r="365" spans="2:14">
      <c r="B365" s="57"/>
      <c r="C365" s="60"/>
      <c r="D365" s="60"/>
      <c r="E365" s="60"/>
      <c r="F365" s="60"/>
      <c r="G365" s="60"/>
      <c r="J365" s="99"/>
      <c r="K365" s="99"/>
      <c r="L365" s="99"/>
      <c r="M365" s="99"/>
      <c r="N365" s="43">
        <f t="shared" si="5"/>
        <v>0</v>
      </c>
    </row>
    <row r="366" spans="2:14">
      <c r="B366" s="57"/>
      <c r="C366" s="60"/>
      <c r="D366" s="60"/>
      <c r="E366" s="60"/>
      <c r="F366" s="60"/>
      <c r="G366" s="60"/>
      <c r="J366" s="99"/>
      <c r="K366" s="99"/>
      <c r="L366" s="99"/>
      <c r="M366" s="99"/>
      <c r="N366" s="43">
        <f t="shared" si="5"/>
        <v>0</v>
      </c>
    </row>
    <row r="367" spans="2:14">
      <c r="B367" s="57"/>
      <c r="C367" s="60"/>
      <c r="D367" s="60"/>
      <c r="E367" s="60"/>
      <c r="F367" s="60"/>
      <c r="G367" s="60"/>
      <c r="J367" s="99"/>
      <c r="K367" s="99"/>
      <c r="L367" s="99"/>
      <c r="M367" s="99"/>
      <c r="N367" s="43">
        <f t="shared" si="5"/>
        <v>0</v>
      </c>
    </row>
    <row r="368" spans="2:14">
      <c r="B368" s="57"/>
      <c r="C368" s="60"/>
      <c r="D368" s="60"/>
      <c r="E368" s="60"/>
      <c r="F368" s="60"/>
      <c r="G368" s="60"/>
      <c r="J368" s="99"/>
      <c r="K368" s="99"/>
      <c r="L368" s="99"/>
      <c r="M368" s="99"/>
      <c r="N368" s="43">
        <f t="shared" si="5"/>
        <v>0</v>
      </c>
    </row>
    <row r="369" spans="2:14">
      <c r="B369" s="57"/>
      <c r="C369" s="60"/>
      <c r="D369" s="60"/>
      <c r="E369" s="60"/>
      <c r="F369" s="60"/>
      <c r="G369" s="60"/>
      <c r="J369" s="99"/>
      <c r="K369" s="99"/>
      <c r="L369" s="99"/>
      <c r="M369" s="99"/>
      <c r="N369" s="43">
        <f t="shared" si="5"/>
        <v>0</v>
      </c>
    </row>
    <row r="370" spans="2:14">
      <c r="B370" s="57"/>
      <c r="C370" s="60"/>
      <c r="D370" s="60"/>
      <c r="E370" s="60"/>
      <c r="F370" s="60"/>
      <c r="G370" s="60"/>
      <c r="J370" s="99"/>
      <c r="K370" s="99"/>
      <c r="L370" s="99"/>
      <c r="M370" s="99"/>
      <c r="N370" s="43">
        <f t="shared" si="5"/>
        <v>0</v>
      </c>
    </row>
    <row r="371" spans="2:14">
      <c r="B371" s="57"/>
      <c r="C371" s="60"/>
      <c r="D371" s="60"/>
      <c r="E371" s="60"/>
      <c r="F371" s="60"/>
      <c r="G371" s="60"/>
      <c r="J371" s="99"/>
      <c r="K371" s="99"/>
      <c r="L371" s="99"/>
      <c r="M371" s="99"/>
      <c r="N371" s="43">
        <f t="shared" si="5"/>
        <v>0</v>
      </c>
    </row>
    <row r="372" spans="2:14">
      <c r="B372" s="57"/>
      <c r="C372" s="60"/>
      <c r="D372" s="60"/>
      <c r="E372" s="60"/>
      <c r="F372" s="60"/>
      <c r="G372" s="60"/>
      <c r="J372" s="99"/>
      <c r="K372" s="99"/>
      <c r="L372" s="99"/>
      <c r="M372" s="99"/>
      <c r="N372" s="43">
        <f t="shared" si="5"/>
        <v>0</v>
      </c>
    </row>
    <row r="373" spans="2:14">
      <c r="B373" s="57"/>
      <c r="C373" s="60"/>
      <c r="D373" s="60"/>
      <c r="E373" s="60"/>
      <c r="F373" s="60"/>
      <c r="G373" s="60"/>
      <c r="J373" s="99"/>
      <c r="K373" s="99"/>
      <c r="L373" s="99"/>
      <c r="M373" s="99"/>
      <c r="N373" s="43">
        <f t="shared" si="5"/>
        <v>0</v>
      </c>
    </row>
    <row r="374" spans="2:14">
      <c r="B374" s="57"/>
      <c r="C374" s="60"/>
      <c r="D374" s="60"/>
      <c r="E374" s="60"/>
      <c r="F374" s="60"/>
      <c r="G374" s="60"/>
      <c r="J374" s="99"/>
      <c r="K374" s="99"/>
      <c r="L374" s="99"/>
      <c r="M374" s="99"/>
      <c r="N374" s="43">
        <f t="shared" si="5"/>
        <v>0</v>
      </c>
    </row>
    <row r="375" spans="2:14">
      <c r="B375" s="57"/>
      <c r="C375" s="60"/>
      <c r="D375" s="60"/>
      <c r="E375" s="60"/>
      <c r="F375" s="60"/>
      <c r="G375" s="60"/>
      <c r="J375" s="99"/>
      <c r="K375" s="99"/>
      <c r="L375" s="99"/>
      <c r="M375" s="99"/>
      <c r="N375" s="43">
        <f t="shared" si="5"/>
        <v>0</v>
      </c>
    </row>
    <row r="376" spans="2:14">
      <c r="B376" s="57"/>
      <c r="C376" s="60"/>
      <c r="D376" s="60"/>
      <c r="E376" s="60"/>
      <c r="F376" s="60"/>
      <c r="G376" s="60"/>
      <c r="J376" s="99"/>
      <c r="K376" s="99"/>
      <c r="L376" s="99"/>
      <c r="M376" s="99"/>
      <c r="N376" s="43">
        <f t="shared" si="5"/>
        <v>0</v>
      </c>
    </row>
    <row r="377" spans="2:14">
      <c r="B377" s="57"/>
      <c r="C377" s="60"/>
      <c r="D377" s="60"/>
      <c r="E377" s="60"/>
      <c r="F377" s="60"/>
      <c r="G377" s="60"/>
      <c r="J377" s="99"/>
      <c r="K377" s="99"/>
      <c r="L377" s="99"/>
      <c r="M377" s="99"/>
      <c r="N377" s="43">
        <f t="shared" si="5"/>
        <v>0</v>
      </c>
    </row>
    <row r="378" spans="2:14">
      <c r="B378" s="57"/>
      <c r="C378" s="60"/>
      <c r="D378" s="60"/>
      <c r="E378" s="60"/>
      <c r="F378" s="60"/>
      <c r="G378" s="60"/>
      <c r="J378" s="99"/>
      <c r="K378" s="99"/>
      <c r="L378" s="99"/>
      <c r="M378" s="99"/>
      <c r="N378" s="43">
        <f t="shared" si="5"/>
        <v>0</v>
      </c>
    </row>
    <row r="379" spans="2:14">
      <c r="B379" s="57"/>
      <c r="C379" s="60"/>
      <c r="D379" s="60"/>
      <c r="E379" s="60"/>
      <c r="F379" s="60"/>
      <c r="G379" s="60"/>
      <c r="J379" s="99"/>
      <c r="K379" s="99"/>
      <c r="L379" s="99"/>
      <c r="M379" s="99"/>
      <c r="N379" s="43">
        <f t="shared" si="5"/>
        <v>0</v>
      </c>
    </row>
    <row r="380" spans="2:14">
      <c r="B380" s="57"/>
      <c r="C380" s="60"/>
      <c r="D380" s="60"/>
      <c r="E380" s="60"/>
      <c r="F380" s="60"/>
      <c r="G380" s="60"/>
      <c r="J380" s="99"/>
      <c r="K380" s="99"/>
      <c r="L380" s="99"/>
      <c r="M380" s="99"/>
      <c r="N380" s="43">
        <f t="shared" si="5"/>
        <v>0</v>
      </c>
    </row>
    <row r="381" spans="2:14">
      <c r="B381" s="57"/>
      <c r="C381" s="60"/>
      <c r="D381" s="60"/>
      <c r="E381" s="60"/>
      <c r="F381" s="60"/>
      <c r="G381" s="60"/>
      <c r="J381" s="99"/>
      <c r="K381" s="99"/>
      <c r="L381" s="99"/>
      <c r="M381" s="99"/>
      <c r="N381" s="43">
        <f t="shared" si="5"/>
        <v>0</v>
      </c>
    </row>
    <row r="382" spans="2:14">
      <c r="B382" s="57"/>
      <c r="C382" s="60"/>
      <c r="D382" s="60"/>
      <c r="E382" s="60"/>
      <c r="F382" s="60"/>
      <c r="G382" s="60"/>
      <c r="J382" s="99"/>
      <c r="K382" s="99"/>
      <c r="L382" s="99"/>
      <c r="M382" s="99"/>
      <c r="N382" s="43">
        <f t="shared" si="5"/>
        <v>0</v>
      </c>
    </row>
    <row r="383" spans="2:14">
      <c r="B383" s="57"/>
      <c r="C383" s="60"/>
      <c r="D383" s="60"/>
      <c r="E383" s="60"/>
      <c r="F383" s="60"/>
      <c r="G383" s="60"/>
      <c r="J383" s="99"/>
      <c r="K383" s="99"/>
      <c r="L383" s="99"/>
      <c r="M383" s="99"/>
      <c r="N383" s="43">
        <f t="shared" si="5"/>
        <v>0</v>
      </c>
    </row>
    <row r="384" spans="2:14">
      <c r="B384" s="57"/>
      <c r="C384" s="60"/>
      <c r="D384" s="60"/>
      <c r="E384" s="60"/>
      <c r="F384" s="60"/>
      <c r="G384" s="60"/>
      <c r="J384" s="99"/>
      <c r="K384" s="99"/>
      <c r="L384" s="99"/>
      <c r="M384" s="99"/>
      <c r="N384" s="43">
        <f t="shared" si="5"/>
        <v>0</v>
      </c>
    </row>
    <row r="385" spans="2:14">
      <c r="B385" s="57"/>
      <c r="C385" s="60"/>
      <c r="D385" s="60"/>
      <c r="E385" s="60"/>
      <c r="F385" s="60"/>
      <c r="G385" s="60"/>
      <c r="J385" s="99"/>
      <c r="K385" s="99"/>
      <c r="L385" s="99"/>
      <c r="M385" s="99"/>
      <c r="N385" s="43">
        <f t="shared" si="5"/>
        <v>0</v>
      </c>
    </row>
    <row r="386" spans="2:14">
      <c r="B386" s="57"/>
      <c r="C386" s="60"/>
      <c r="D386" s="60"/>
      <c r="E386" s="60"/>
      <c r="F386" s="60"/>
      <c r="G386" s="60"/>
      <c r="J386" s="99"/>
      <c r="K386" s="99"/>
      <c r="L386" s="99"/>
      <c r="M386" s="99"/>
      <c r="N386" s="43">
        <f t="shared" si="5"/>
        <v>0</v>
      </c>
    </row>
    <row r="387" spans="2:14">
      <c r="B387" s="57"/>
      <c r="C387" s="60"/>
      <c r="D387" s="60"/>
      <c r="E387" s="60"/>
      <c r="F387" s="60"/>
      <c r="G387" s="60"/>
      <c r="J387" s="99"/>
      <c r="K387" s="99"/>
      <c r="L387" s="99"/>
      <c r="M387" s="99"/>
      <c r="N387" s="43">
        <f t="shared" si="5"/>
        <v>0</v>
      </c>
    </row>
    <row r="388" spans="2:14">
      <c r="B388" s="57"/>
      <c r="C388" s="60"/>
      <c r="D388" s="60"/>
      <c r="E388" s="60"/>
      <c r="F388" s="60"/>
      <c r="G388" s="60"/>
      <c r="J388" s="99"/>
      <c r="K388" s="99"/>
      <c r="L388" s="99"/>
      <c r="M388" s="99"/>
      <c r="N388" s="43">
        <f t="shared" si="5"/>
        <v>0</v>
      </c>
    </row>
    <row r="389" spans="2:14">
      <c r="B389" s="57"/>
      <c r="C389" s="60"/>
      <c r="D389" s="60"/>
      <c r="E389" s="60"/>
      <c r="F389" s="60"/>
      <c r="G389" s="60"/>
      <c r="J389" s="99"/>
      <c r="K389" s="99"/>
      <c r="L389" s="99"/>
      <c r="M389" s="99"/>
      <c r="N389" s="43">
        <f t="shared" si="5"/>
        <v>0</v>
      </c>
    </row>
    <row r="390" spans="2:14">
      <c r="B390" s="57"/>
      <c r="C390" s="60"/>
      <c r="D390" s="60"/>
      <c r="E390" s="60"/>
      <c r="F390" s="60"/>
      <c r="G390" s="60"/>
      <c r="J390" s="99"/>
      <c r="K390" s="99"/>
      <c r="L390" s="99"/>
      <c r="M390" s="99"/>
      <c r="N390" s="43">
        <f t="shared" si="5"/>
        <v>0</v>
      </c>
    </row>
    <row r="391" spans="2:14">
      <c r="B391" s="57"/>
      <c r="C391" s="60"/>
      <c r="D391" s="60"/>
      <c r="E391" s="60"/>
      <c r="F391" s="60"/>
      <c r="G391" s="60"/>
      <c r="J391" s="99"/>
      <c r="K391" s="99"/>
      <c r="L391" s="99"/>
      <c r="M391" s="99"/>
      <c r="N391" s="43">
        <f t="shared" si="5"/>
        <v>0</v>
      </c>
    </row>
    <row r="392" spans="2:14">
      <c r="B392" s="57"/>
      <c r="C392" s="60"/>
      <c r="D392" s="60"/>
      <c r="E392" s="60"/>
      <c r="F392" s="60"/>
      <c r="G392" s="60"/>
      <c r="J392" s="99"/>
      <c r="K392" s="99"/>
      <c r="L392" s="99"/>
      <c r="M392" s="99"/>
      <c r="N392" s="43">
        <f t="shared" si="5"/>
        <v>0</v>
      </c>
    </row>
    <row r="393" spans="2:14">
      <c r="B393" s="57"/>
      <c r="C393" s="60"/>
      <c r="D393" s="60"/>
      <c r="E393" s="60"/>
      <c r="F393" s="60"/>
      <c r="G393" s="60"/>
      <c r="J393" s="99"/>
      <c r="K393" s="99"/>
      <c r="L393" s="99"/>
      <c r="M393" s="99"/>
      <c r="N393" s="43">
        <f t="shared" si="5"/>
        <v>0</v>
      </c>
    </row>
    <row r="394" spans="2:14">
      <c r="B394" s="57"/>
      <c r="C394" s="60"/>
      <c r="D394" s="60"/>
      <c r="E394" s="60"/>
      <c r="F394" s="60"/>
      <c r="G394" s="60"/>
      <c r="J394" s="99"/>
      <c r="K394" s="99"/>
      <c r="L394" s="99"/>
      <c r="M394" s="99"/>
      <c r="N394" s="43">
        <f t="shared" si="5"/>
        <v>0</v>
      </c>
    </row>
    <row r="395" spans="2:14">
      <c r="B395" s="57"/>
      <c r="C395" s="60"/>
      <c r="D395" s="60"/>
      <c r="E395" s="60"/>
      <c r="F395" s="60"/>
      <c r="G395" s="60"/>
      <c r="J395" s="99"/>
      <c r="K395" s="99"/>
      <c r="L395" s="99"/>
      <c r="M395" s="99"/>
      <c r="N395" s="43">
        <f t="shared" ref="N395:N458" si="6">IF($L$4=$C$10,C395,IF(D395="","",B395))</f>
        <v>0</v>
      </c>
    </row>
    <row r="396" spans="2:14">
      <c r="B396" s="57"/>
      <c r="C396" s="60"/>
      <c r="D396" s="60"/>
      <c r="E396" s="60"/>
      <c r="F396" s="60"/>
      <c r="G396" s="60"/>
      <c r="J396" s="99"/>
      <c r="K396" s="99"/>
      <c r="L396" s="99"/>
      <c r="M396" s="99"/>
      <c r="N396" s="43">
        <f t="shared" si="6"/>
        <v>0</v>
      </c>
    </row>
    <row r="397" spans="2:14">
      <c r="B397" s="57"/>
      <c r="C397" s="60"/>
      <c r="D397" s="60"/>
      <c r="E397" s="60"/>
      <c r="F397" s="60"/>
      <c r="G397" s="60"/>
      <c r="J397" s="99"/>
      <c r="K397" s="99"/>
      <c r="L397" s="99"/>
      <c r="M397" s="99"/>
      <c r="N397" s="43">
        <f t="shared" si="6"/>
        <v>0</v>
      </c>
    </row>
    <row r="398" spans="2:14">
      <c r="B398" s="57"/>
      <c r="C398" s="60"/>
      <c r="D398" s="60"/>
      <c r="E398" s="60"/>
      <c r="F398" s="60"/>
      <c r="G398" s="60"/>
      <c r="J398" s="99"/>
      <c r="K398" s="99"/>
      <c r="L398" s="99"/>
      <c r="M398" s="99"/>
      <c r="N398" s="43">
        <f t="shared" si="6"/>
        <v>0</v>
      </c>
    </row>
    <row r="399" spans="2:14">
      <c r="B399" s="57"/>
      <c r="C399" s="60"/>
      <c r="D399" s="60"/>
      <c r="E399" s="60"/>
      <c r="F399" s="60"/>
      <c r="G399" s="60"/>
      <c r="J399" s="99"/>
      <c r="K399" s="99"/>
      <c r="L399" s="99"/>
      <c r="M399" s="99"/>
      <c r="N399" s="43">
        <f t="shared" si="6"/>
        <v>0</v>
      </c>
    </row>
    <row r="400" spans="2:14">
      <c r="B400" s="57"/>
      <c r="C400" s="60"/>
      <c r="D400" s="60"/>
      <c r="E400" s="60"/>
      <c r="F400" s="60"/>
      <c r="G400" s="60"/>
      <c r="J400" s="99"/>
      <c r="K400" s="99"/>
      <c r="L400" s="99"/>
      <c r="M400" s="99"/>
      <c r="N400" s="43">
        <f t="shared" si="6"/>
        <v>0</v>
      </c>
    </row>
    <row r="401" spans="2:14">
      <c r="B401" s="57"/>
      <c r="C401" s="60"/>
      <c r="D401" s="60"/>
      <c r="E401" s="60"/>
      <c r="F401" s="60"/>
      <c r="G401" s="60"/>
      <c r="J401" s="99"/>
      <c r="K401" s="99"/>
      <c r="L401" s="99"/>
      <c r="M401" s="99"/>
      <c r="N401" s="43">
        <f t="shared" si="6"/>
        <v>0</v>
      </c>
    </row>
    <row r="402" spans="2:14">
      <c r="B402" s="57"/>
      <c r="C402" s="60"/>
      <c r="D402" s="60"/>
      <c r="E402" s="60"/>
      <c r="F402" s="60"/>
      <c r="G402" s="60"/>
      <c r="J402" s="99"/>
      <c r="K402" s="99"/>
      <c r="L402" s="99"/>
      <c r="M402" s="99"/>
      <c r="N402" s="43">
        <f t="shared" si="6"/>
        <v>0</v>
      </c>
    </row>
    <row r="403" spans="2:14">
      <c r="B403" s="57"/>
      <c r="C403" s="60"/>
      <c r="D403" s="60"/>
      <c r="E403" s="60"/>
      <c r="F403" s="60"/>
      <c r="G403" s="60"/>
      <c r="J403" s="99"/>
      <c r="K403" s="99"/>
      <c r="L403" s="99"/>
      <c r="M403" s="99"/>
      <c r="N403" s="43">
        <f t="shared" si="6"/>
        <v>0</v>
      </c>
    </row>
    <row r="404" spans="2:14">
      <c r="B404" s="57"/>
      <c r="C404" s="60"/>
      <c r="D404" s="60"/>
      <c r="E404" s="60"/>
      <c r="F404" s="60"/>
      <c r="G404" s="60"/>
      <c r="J404" s="99"/>
      <c r="K404" s="99"/>
      <c r="L404" s="99"/>
      <c r="M404" s="99"/>
      <c r="N404" s="43">
        <f t="shared" si="6"/>
        <v>0</v>
      </c>
    </row>
    <row r="405" spans="2:14">
      <c r="B405" s="57"/>
      <c r="C405" s="60"/>
      <c r="D405" s="60"/>
      <c r="E405" s="60"/>
      <c r="F405" s="60"/>
      <c r="G405" s="60"/>
      <c r="J405" s="99"/>
      <c r="K405" s="99"/>
      <c r="L405" s="99"/>
      <c r="M405" s="99"/>
      <c r="N405" s="43">
        <f t="shared" si="6"/>
        <v>0</v>
      </c>
    </row>
    <row r="406" spans="2:14">
      <c r="B406" s="57"/>
      <c r="C406" s="60"/>
      <c r="D406" s="60"/>
      <c r="E406" s="60"/>
      <c r="F406" s="60"/>
      <c r="G406" s="60"/>
      <c r="J406" s="99"/>
      <c r="K406" s="99"/>
      <c r="L406" s="99"/>
      <c r="M406" s="99"/>
      <c r="N406" s="43">
        <f t="shared" si="6"/>
        <v>0</v>
      </c>
    </row>
    <row r="407" spans="2:14">
      <c r="B407" s="57"/>
      <c r="C407" s="60"/>
      <c r="D407" s="60"/>
      <c r="E407" s="60"/>
      <c r="F407" s="60"/>
      <c r="G407" s="60"/>
      <c r="J407" s="99"/>
      <c r="K407" s="99"/>
      <c r="L407" s="99"/>
      <c r="M407" s="99"/>
      <c r="N407" s="43">
        <f t="shared" si="6"/>
        <v>0</v>
      </c>
    </row>
    <row r="408" spans="2:14">
      <c r="B408" s="57"/>
      <c r="C408" s="60"/>
      <c r="D408" s="60"/>
      <c r="E408" s="60"/>
      <c r="F408" s="60"/>
      <c r="G408" s="60"/>
      <c r="J408" s="99"/>
      <c r="K408" s="99"/>
      <c r="L408" s="99"/>
      <c r="M408" s="99"/>
      <c r="N408" s="43">
        <f t="shared" si="6"/>
        <v>0</v>
      </c>
    </row>
    <row r="409" spans="2:14">
      <c r="B409" s="57"/>
      <c r="C409" s="60"/>
      <c r="D409" s="60"/>
      <c r="E409" s="60"/>
      <c r="F409" s="60"/>
      <c r="G409" s="60"/>
      <c r="J409" s="99"/>
      <c r="K409" s="99"/>
      <c r="L409" s="99"/>
      <c r="M409" s="99"/>
      <c r="N409" s="43">
        <f t="shared" si="6"/>
        <v>0</v>
      </c>
    </row>
    <row r="410" spans="2:14">
      <c r="B410" s="57"/>
      <c r="C410" s="60"/>
      <c r="D410" s="60"/>
      <c r="E410" s="60"/>
      <c r="F410" s="60"/>
      <c r="G410" s="60"/>
      <c r="J410" s="99"/>
      <c r="K410" s="99"/>
      <c r="L410" s="99"/>
      <c r="M410" s="99"/>
      <c r="N410" s="43">
        <f t="shared" si="6"/>
        <v>0</v>
      </c>
    </row>
    <row r="411" spans="2:14">
      <c r="B411" s="57"/>
      <c r="C411" s="60"/>
      <c r="D411" s="60"/>
      <c r="E411" s="60"/>
      <c r="F411" s="60"/>
      <c r="G411" s="60"/>
      <c r="J411" s="99"/>
      <c r="K411" s="99"/>
      <c r="L411" s="99"/>
      <c r="M411" s="99"/>
      <c r="N411" s="43">
        <f t="shared" si="6"/>
        <v>0</v>
      </c>
    </row>
    <row r="412" spans="2:14">
      <c r="B412" s="57"/>
      <c r="C412" s="60"/>
      <c r="D412" s="60"/>
      <c r="E412" s="60"/>
      <c r="F412" s="60"/>
      <c r="G412" s="60"/>
      <c r="J412" s="99"/>
      <c r="K412" s="99"/>
      <c r="L412" s="99"/>
      <c r="M412" s="99"/>
      <c r="N412" s="43">
        <f t="shared" si="6"/>
        <v>0</v>
      </c>
    </row>
    <row r="413" spans="2:14">
      <c r="B413" s="57"/>
      <c r="C413" s="60"/>
      <c r="D413" s="60"/>
      <c r="E413" s="60"/>
      <c r="F413" s="60"/>
      <c r="G413" s="60"/>
      <c r="J413" s="99"/>
      <c r="K413" s="99"/>
      <c r="L413" s="99"/>
      <c r="M413" s="99"/>
      <c r="N413" s="43">
        <f t="shared" si="6"/>
        <v>0</v>
      </c>
    </row>
    <row r="414" spans="2:14">
      <c r="B414" s="57"/>
      <c r="C414" s="60"/>
      <c r="D414" s="60"/>
      <c r="E414" s="60"/>
      <c r="F414" s="60"/>
      <c r="G414" s="60"/>
      <c r="J414" s="99"/>
      <c r="K414" s="99"/>
      <c r="L414" s="99"/>
      <c r="M414" s="99"/>
      <c r="N414" s="43">
        <f t="shared" si="6"/>
        <v>0</v>
      </c>
    </row>
    <row r="415" spans="2:14">
      <c r="B415" s="57"/>
      <c r="C415" s="60"/>
      <c r="D415" s="60"/>
      <c r="E415" s="60"/>
      <c r="F415" s="60"/>
      <c r="G415" s="60"/>
      <c r="J415" s="99"/>
      <c r="K415" s="99"/>
      <c r="L415" s="99"/>
      <c r="M415" s="99"/>
      <c r="N415" s="43">
        <f t="shared" si="6"/>
        <v>0</v>
      </c>
    </row>
    <row r="416" spans="2:14">
      <c r="B416" s="57"/>
      <c r="C416" s="60"/>
      <c r="D416" s="60"/>
      <c r="E416" s="60"/>
      <c r="F416" s="60"/>
      <c r="G416" s="60"/>
      <c r="J416" s="99"/>
      <c r="K416" s="99"/>
      <c r="L416" s="99"/>
      <c r="M416" s="99"/>
      <c r="N416" s="43">
        <f t="shared" si="6"/>
        <v>0</v>
      </c>
    </row>
    <row r="417" spans="2:14">
      <c r="B417" s="57"/>
      <c r="C417" s="60"/>
      <c r="D417" s="60"/>
      <c r="E417" s="60"/>
      <c r="F417" s="60"/>
      <c r="G417" s="60"/>
      <c r="J417" s="99"/>
      <c r="K417" s="99"/>
      <c r="L417" s="99"/>
      <c r="M417" s="99"/>
      <c r="N417" s="43">
        <f t="shared" si="6"/>
        <v>0</v>
      </c>
    </row>
    <row r="418" spans="2:14">
      <c r="B418" s="57"/>
      <c r="C418" s="60"/>
      <c r="D418" s="60"/>
      <c r="E418" s="60"/>
      <c r="F418" s="60"/>
      <c r="G418" s="60"/>
      <c r="J418" s="99"/>
      <c r="K418" s="99"/>
      <c r="L418" s="99"/>
      <c r="M418" s="99"/>
      <c r="N418" s="43">
        <f t="shared" si="6"/>
        <v>0</v>
      </c>
    </row>
    <row r="419" spans="2:14">
      <c r="B419" s="57"/>
      <c r="C419" s="60"/>
      <c r="D419" s="60"/>
      <c r="E419" s="60"/>
      <c r="F419" s="60"/>
      <c r="G419" s="60"/>
      <c r="J419" s="99"/>
      <c r="K419" s="99"/>
      <c r="L419" s="99"/>
      <c r="M419" s="99"/>
      <c r="N419" s="43">
        <f t="shared" si="6"/>
        <v>0</v>
      </c>
    </row>
    <row r="420" spans="2:14">
      <c r="B420" s="57"/>
      <c r="C420" s="60"/>
      <c r="D420" s="60"/>
      <c r="E420" s="60"/>
      <c r="F420" s="60"/>
      <c r="G420" s="60"/>
      <c r="J420" s="99"/>
      <c r="K420" s="99"/>
      <c r="L420" s="99"/>
      <c r="M420" s="99"/>
      <c r="N420" s="43">
        <f t="shared" si="6"/>
        <v>0</v>
      </c>
    </row>
    <row r="421" spans="2:14">
      <c r="B421" s="57"/>
      <c r="C421" s="60"/>
      <c r="D421" s="60"/>
      <c r="E421" s="60"/>
      <c r="F421" s="60"/>
      <c r="G421" s="60"/>
      <c r="J421" s="99"/>
      <c r="K421" s="99"/>
      <c r="L421" s="99"/>
      <c r="M421" s="99"/>
      <c r="N421" s="43">
        <f t="shared" si="6"/>
        <v>0</v>
      </c>
    </row>
    <row r="422" spans="2:14">
      <c r="B422" s="57"/>
      <c r="C422" s="60"/>
      <c r="D422" s="60"/>
      <c r="E422" s="60"/>
      <c r="F422" s="60"/>
      <c r="G422" s="60"/>
      <c r="J422" s="99"/>
      <c r="K422" s="99"/>
      <c r="L422" s="99"/>
      <c r="M422" s="99"/>
      <c r="N422" s="43">
        <f t="shared" si="6"/>
        <v>0</v>
      </c>
    </row>
    <row r="423" spans="2:14">
      <c r="B423" s="57"/>
      <c r="C423" s="60"/>
      <c r="D423" s="60"/>
      <c r="E423" s="60"/>
      <c r="F423" s="60"/>
      <c r="G423" s="60"/>
      <c r="J423" s="99"/>
      <c r="K423" s="99"/>
      <c r="L423" s="99"/>
      <c r="M423" s="99"/>
      <c r="N423" s="43">
        <f t="shared" si="6"/>
        <v>0</v>
      </c>
    </row>
    <row r="424" spans="2:14">
      <c r="B424" s="57"/>
      <c r="C424" s="60"/>
      <c r="D424" s="60"/>
      <c r="E424" s="60"/>
      <c r="F424" s="60"/>
      <c r="G424" s="60"/>
      <c r="J424" s="99"/>
      <c r="K424" s="99"/>
      <c r="L424" s="99"/>
      <c r="M424" s="99"/>
      <c r="N424" s="43">
        <f t="shared" si="6"/>
        <v>0</v>
      </c>
    </row>
    <row r="425" spans="2:14">
      <c r="B425" s="57"/>
      <c r="C425" s="60"/>
      <c r="D425" s="60"/>
      <c r="E425" s="60"/>
      <c r="F425" s="60"/>
      <c r="G425" s="60"/>
      <c r="J425" s="99"/>
      <c r="K425" s="99"/>
      <c r="L425" s="99"/>
      <c r="M425" s="99"/>
      <c r="N425" s="43">
        <f t="shared" si="6"/>
        <v>0</v>
      </c>
    </row>
    <row r="426" spans="2:14">
      <c r="B426" s="57"/>
      <c r="C426" s="60"/>
      <c r="D426" s="60"/>
      <c r="E426" s="60"/>
      <c r="F426" s="60"/>
      <c r="G426" s="60"/>
      <c r="J426" s="99"/>
      <c r="K426" s="99"/>
      <c r="L426" s="99"/>
      <c r="M426" s="99"/>
      <c r="N426" s="43">
        <f t="shared" si="6"/>
        <v>0</v>
      </c>
    </row>
    <row r="427" spans="2:14">
      <c r="B427" s="57"/>
      <c r="C427" s="60"/>
      <c r="D427" s="60"/>
      <c r="E427" s="60"/>
      <c r="F427" s="60"/>
      <c r="G427" s="60"/>
      <c r="J427" s="99"/>
      <c r="K427" s="99"/>
      <c r="L427" s="99"/>
      <c r="M427" s="99"/>
      <c r="N427" s="43">
        <f t="shared" si="6"/>
        <v>0</v>
      </c>
    </row>
    <row r="428" spans="2:14">
      <c r="B428" s="57"/>
      <c r="C428" s="60"/>
      <c r="D428" s="60"/>
      <c r="E428" s="60"/>
      <c r="F428" s="60"/>
      <c r="G428" s="60"/>
      <c r="J428" s="99"/>
      <c r="K428" s="99"/>
      <c r="L428" s="99"/>
      <c r="M428" s="99"/>
      <c r="N428" s="43">
        <f t="shared" si="6"/>
        <v>0</v>
      </c>
    </row>
    <row r="429" spans="2:14" ht="1.5" customHeight="1">
      <c r="B429" s="57"/>
      <c r="C429" s="60"/>
      <c r="D429" s="60"/>
      <c r="E429" s="60"/>
      <c r="F429" s="60"/>
      <c r="G429" s="60"/>
      <c r="J429" s="99"/>
      <c r="K429" s="99"/>
      <c r="L429" s="99"/>
      <c r="M429" s="99"/>
      <c r="N429" s="43">
        <f t="shared" si="6"/>
        <v>0</v>
      </c>
    </row>
    <row r="430" spans="2:14" ht="1.5" customHeight="1">
      <c r="B430" s="57"/>
      <c r="C430" s="60"/>
      <c r="D430" s="60"/>
      <c r="E430" s="60"/>
      <c r="F430" s="60"/>
      <c r="G430" s="60"/>
      <c r="J430" s="99"/>
      <c r="K430" s="99"/>
      <c r="L430" s="99"/>
      <c r="M430" s="99"/>
      <c r="N430" s="43">
        <f t="shared" si="6"/>
        <v>0</v>
      </c>
    </row>
    <row r="431" spans="2:14" ht="1.5" customHeight="1">
      <c r="B431" s="57"/>
      <c r="C431" s="60"/>
      <c r="D431" s="60"/>
      <c r="E431" s="60"/>
      <c r="F431" s="60"/>
      <c r="G431" s="60"/>
      <c r="J431" s="99"/>
      <c r="K431" s="99"/>
      <c r="L431" s="99"/>
      <c r="M431" s="99"/>
      <c r="N431" s="43">
        <f t="shared" si="6"/>
        <v>0</v>
      </c>
    </row>
    <row r="432" spans="2:14" ht="1.5" customHeight="1">
      <c r="B432" s="57"/>
      <c r="C432" s="60"/>
      <c r="D432" s="60"/>
      <c r="E432" s="60"/>
      <c r="F432" s="60"/>
      <c r="G432" s="60"/>
      <c r="J432" s="99"/>
      <c r="K432" s="99"/>
      <c r="L432" s="99"/>
      <c r="M432" s="99"/>
      <c r="N432" s="43">
        <f t="shared" si="6"/>
        <v>0</v>
      </c>
    </row>
    <row r="433" spans="2:14" ht="1.5" customHeight="1">
      <c r="B433" s="57"/>
      <c r="C433" s="60"/>
      <c r="D433" s="60"/>
      <c r="E433" s="60"/>
      <c r="F433" s="60"/>
      <c r="G433" s="60"/>
      <c r="J433" s="99"/>
      <c r="K433" s="99"/>
      <c r="L433" s="99"/>
      <c r="M433" s="99"/>
      <c r="N433" s="43">
        <f t="shared" si="6"/>
        <v>0</v>
      </c>
    </row>
    <row r="434" spans="2:14" ht="1.5" customHeight="1">
      <c r="B434" s="57"/>
      <c r="C434" s="60"/>
      <c r="D434" s="60"/>
      <c r="E434" s="60"/>
      <c r="F434" s="60"/>
      <c r="G434" s="60"/>
      <c r="J434" s="99"/>
      <c r="K434" s="99"/>
      <c r="L434" s="99"/>
      <c r="M434" s="99"/>
      <c r="N434" s="43">
        <f t="shared" si="6"/>
        <v>0</v>
      </c>
    </row>
    <row r="435" spans="2:14" ht="1.5" customHeight="1">
      <c r="B435" s="57"/>
      <c r="C435" s="60"/>
      <c r="D435" s="60"/>
      <c r="E435" s="60"/>
      <c r="F435" s="60"/>
      <c r="G435" s="60"/>
      <c r="J435" s="99"/>
      <c r="K435" s="99"/>
      <c r="L435" s="99"/>
      <c r="M435" s="99"/>
      <c r="N435" s="43">
        <f t="shared" si="6"/>
        <v>0</v>
      </c>
    </row>
    <row r="436" spans="2:14" ht="1.5" customHeight="1">
      <c r="B436" s="57"/>
      <c r="C436" s="60"/>
      <c r="D436" s="60"/>
      <c r="E436" s="60"/>
      <c r="F436" s="60"/>
      <c r="G436" s="60"/>
      <c r="J436" s="99"/>
      <c r="K436" s="99"/>
      <c r="L436" s="99"/>
      <c r="M436" s="99"/>
      <c r="N436" s="43">
        <f t="shared" si="6"/>
        <v>0</v>
      </c>
    </row>
    <row r="437" spans="2:14" ht="1.5" customHeight="1">
      <c r="B437" s="57"/>
      <c r="C437" s="60"/>
      <c r="D437" s="60"/>
      <c r="E437" s="60"/>
      <c r="F437" s="60"/>
      <c r="G437" s="60"/>
      <c r="J437" s="99"/>
      <c r="K437" s="99"/>
      <c r="L437" s="99"/>
      <c r="M437" s="99"/>
      <c r="N437" s="43">
        <f t="shared" si="6"/>
        <v>0</v>
      </c>
    </row>
    <row r="438" spans="2:14" ht="1.5" customHeight="1">
      <c r="B438" s="57"/>
      <c r="C438" s="60"/>
      <c r="D438" s="60"/>
      <c r="E438" s="60"/>
      <c r="F438" s="60"/>
      <c r="G438" s="60"/>
      <c r="J438" s="99"/>
      <c r="K438" s="99"/>
      <c r="L438" s="99"/>
      <c r="M438" s="99"/>
      <c r="N438" s="43">
        <f t="shared" si="6"/>
        <v>0</v>
      </c>
    </row>
    <row r="439" spans="2:14" ht="1.5" customHeight="1">
      <c r="B439" s="57"/>
      <c r="C439" s="60"/>
      <c r="D439" s="60"/>
      <c r="E439" s="60"/>
      <c r="F439" s="60"/>
      <c r="G439" s="60"/>
      <c r="J439" s="99"/>
      <c r="K439" s="99"/>
      <c r="L439" s="99"/>
      <c r="M439" s="99"/>
      <c r="N439" s="43">
        <f t="shared" si="6"/>
        <v>0</v>
      </c>
    </row>
    <row r="440" spans="2:14" ht="1.5" customHeight="1">
      <c r="B440" s="57"/>
      <c r="C440" s="60"/>
      <c r="D440" s="60"/>
      <c r="E440" s="60"/>
      <c r="F440" s="60"/>
      <c r="G440" s="60"/>
      <c r="J440" s="99"/>
      <c r="K440" s="99"/>
      <c r="L440" s="99"/>
      <c r="M440" s="99"/>
      <c r="N440" s="43">
        <f t="shared" si="6"/>
        <v>0</v>
      </c>
    </row>
    <row r="441" spans="2:14" ht="1.5" customHeight="1">
      <c r="B441" s="57"/>
      <c r="C441" s="60"/>
      <c r="D441" s="60"/>
      <c r="E441" s="60"/>
      <c r="F441" s="60"/>
      <c r="G441" s="60"/>
      <c r="J441" s="99"/>
      <c r="K441" s="99"/>
      <c r="L441" s="99"/>
      <c r="M441" s="99"/>
      <c r="N441" s="43">
        <f t="shared" si="6"/>
        <v>0</v>
      </c>
    </row>
    <row r="442" spans="2:14" ht="1.5" customHeight="1">
      <c r="B442" s="57"/>
      <c r="C442" s="60"/>
      <c r="D442" s="60"/>
      <c r="E442" s="60"/>
      <c r="F442" s="60"/>
      <c r="G442" s="60"/>
      <c r="J442" s="99"/>
      <c r="K442" s="99"/>
      <c r="L442" s="99"/>
      <c r="M442" s="99"/>
      <c r="N442" s="43">
        <f t="shared" si="6"/>
        <v>0</v>
      </c>
    </row>
    <row r="443" spans="2:14" ht="1.5" customHeight="1">
      <c r="B443" s="57"/>
      <c r="C443" s="60"/>
      <c r="D443" s="60"/>
      <c r="E443" s="60"/>
      <c r="F443" s="60"/>
      <c r="G443" s="60"/>
      <c r="J443" s="99"/>
      <c r="K443" s="99"/>
      <c r="L443" s="99"/>
      <c r="M443" s="99"/>
      <c r="N443" s="43">
        <f t="shared" si="6"/>
        <v>0</v>
      </c>
    </row>
    <row r="444" spans="2:14" ht="1.5" customHeight="1">
      <c r="B444" s="57"/>
      <c r="C444" s="60"/>
      <c r="D444" s="60"/>
      <c r="E444" s="60"/>
      <c r="F444" s="60"/>
      <c r="G444" s="60"/>
      <c r="J444" s="99"/>
      <c r="K444" s="99"/>
      <c r="L444" s="99"/>
      <c r="M444" s="99"/>
      <c r="N444" s="43">
        <f t="shared" si="6"/>
        <v>0</v>
      </c>
    </row>
    <row r="445" spans="2:14" ht="1.5" customHeight="1">
      <c r="B445" s="57"/>
      <c r="C445" s="60"/>
      <c r="D445" s="60"/>
      <c r="E445" s="60"/>
      <c r="F445" s="60"/>
      <c r="G445" s="60"/>
      <c r="J445" s="99"/>
      <c r="K445" s="99"/>
      <c r="L445" s="99"/>
      <c r="M445" s="99"/>
      <c r="N445" s="43">
        <f t="shared" si="6"/>
        <v>0</v>
      </c>
    </row>
    <row r="446" spans="2:14" ht="1.5" customHeight="1">
      <c r="B446" s="57"/>
      <c r="C446" s="60"/>
      <c r="D446" s="60"/>
      <c r="E446" s="60"/>
      <c r="F446" s="60"/>
      <c r="G446" s="60"/>
      <c r="J446" s="99"/>
      <c r="K446" s="99"/>
      <c r="L446" s="99"/>
      <c r="M446" s="99"/>
      <c r="N446" s="43">
        <f t="shared" si="6"/>
        <v>0</v>
      </c>
    </row>
    <row r="447" spans="2:14" ht="1.5" customHeight="1">
      <c r="B447" s="57"/>
      <c r="C447" s="60"/>
      <c r="D447" s="60"/>
      <c r="E447" s="60"/>
      <c r="F447" s="60"/>
      <c r="G447" s="60"/>
      <c r="J447" s="99"/>
      <c r="K447" s="99"/>
      <c r="L447" s="99"/>
      <c r="M447" s="99"/>
      <c r="N447" s="43">
        <f t="shared" si="6"/>
        <v>0</v>
      </c>
    </row>
    <row r="448" spans="2:14" ht="1.5" customHeight="1">
      <c r="B448" s="57"/>
      <c r="C448" s="60"/>
      <c r="D448" s="60"/>
      <c r="E448" s="60"/>
      <c r="F448" s="60"/>
      <c r="G448" s="60"/>
      <c r="J448" s="99"/>
      <c r="K448" s="99"/>
      <c r="L448" s="99"/>
      <c r="M448" s="99"/>
      <c r="N448" s="43">
        <f t="shared" si="6"/>
        <v>0</v>
      </c>
    </row>
    <row r="449" spans="2:14" ht="1.5" customHeight="1">
      <c r="B449" s="57"/>
      <c r="C449" s="60"/>
      <c r="D449" s="60"/>
      <c r="E449" s="60"/>
      <c r="F449" s="60"/>
      <c r="G449" s="60"/>
      <c r="J449" s="99"/>
      <c r="K449" s="99"/>
      <c r="L449" s="99"/>
      <c r="M449" s="99"/>
      <c r="N449" s="43">
        <f t="shared" si="6"/>
        <v>0</v>
      </c>
    </row>
    <row r="450" spans="2:14" ht="1.5" customHeight="1">
      <c r="B450" s="57"/>
      <c r="C450" s="60"/>
      <c r="D450" s="60"/>
      <c r="E450" s="60"/>
      <c r="F450" s="60"/>
      <c r="G450" s="60"/>
      <c r="J450" s="99"/>
      <c r="K450" s="99"/>
      <c r="L450" s="99"/>
      <c r="M450" s="99"/>
      <c r="N450" s="43">
        <f t="shared" si="6"/>
        <v>0</v>
      </c>
    </row>
    <row r="451" spans="2:14" ht="1.5" customHeight="1">
      <c r="B451" s="57"/>
      <c r="C451" s="60"/>
      <c r="D451" s="60"/>
      <c r="E451" s="60"/>
      <c r="F451" s="60"/>
      <c r="G451" s="60"/>
      <c r="J451" s="99"/>
      <c r="K451" s="99"/>
      <c r="L451" s="99"/>
      <c r="M451" s="99"/>
      <c r="N451" s="43">
        <f t="shared" si="6"/>
        <v>0</v>
      </c>
    </row>
    <row r="452" spans="2:14" ht="1.5" customHeight="1">
      <c r="B452" s="57"/>
      <c r="C452" s="60"/>
      <c r="D452" s="60"/>
      <c r="E452" s="60"/>
      <c r="F452" s="60"/>
      <c r="G452" s="60"/>
      <c r="J452" s="99"/>
      <c r="K452" s="99"/>
      <c r="L452" s="99"/>
      <c r="M452" s="99"/>
      <c r="N452" s="43">
        <f t="shared" si="6"/>
        <v>0</v>
      </c>
    </row>
    <row r="453" spans="2:14" ht="1.5" customHeight="1">
      <c r="B453" s="57"/>
      <c r="C453" s="60"/>
      <c r="D453" s="60"/>
      <c r="E453" s="60"/>
      <c r="F453" s="60"/>
      <c r="G453" s="60"/>
      <c r="J453" s="99"/>
      <c r="K453" s="99"/>
      <c r="L453" s="99"/>
      <c r="M453" s="99"/>
      <c r="N453" s="43">
        <f t="shared" si="6"/>
        <v>0</v>
      </c>
    </row>
    <row r="454" spans="2:14" ht="1.5" customHeight="1">
      <c r="B454" s="57"/>
      <c r="C454" s="60"/>
      <c r="D454" s="60"/>
      <c r="E454" s="60"/>
      <c r="F454" s="60"/>
      <c r="G454" s="60"/>
      <c r="J454" s="99"/>
      <c r="K454" s="99"/>
      <c r="L454" s="99"/>
      <c r="M454" s="99"/>
      <c r="N454" s="43">
        <f t="shared" si="6"/>
        <v>0</v>
      </c>
    </row>
    <row r="455" spans="2:14" ht="1.5" customHeight="1">
      <c r="B455" s="57"/>
      <c r="C455" s="60"/>
      <c r="D455" s="60"/>
      <c r="E455" s="60"/>
      <c r="F455" s="60"/>
      <c r="G455" s="60"/>
      <c r="J455" s="99"/>
      <c r="K455" s="99"/>
      <c r="L455" s="99"/>
      <c r="M455" s="99"/>
      <c r="N455" s="43">
        <f t="shared" si="6"/>
        <v>0</v>
      </c>
    </row>
    <row r="456" spans="2:14" ht="1.5" customHeight="1">
      <c r="B456" s="57"/>
      <c r="C456" s="60"/>
      <c r="D456" s="60"/>
      <c r="E456" s="60"/>
      <c r="F456" s="60"/>
      <c r="G456" s="60"/>
      <c r="J456" s="99"/>
      <c r="K456" s="99"/>
      <c r="L456" s="99"/>
      <c r="M456" s="99"/>
      <c r="N456" s="43">
        <f t="shared" si="6"/>
        <v>0</v>
      </c>
    </row>
    <row r="457" spans="2:14" ht="1.5" customHeight="1">
      <c r="B457" s="57"/>
      <c r="C457" s="60"/>
      <c r="D457" s="60"/>
      <c r="E457" s="60"/>
      <c r="F457" s="60"/>
      <c r="G457" s="60"/>
      <c r="J457" s="99"/>
      <c r="K457" s="99"/>
      <c r="L457" s="99"/>
      <c r="M457" s="99"/>
      <c r="N457" s="43">
        <f t="shared" si="6"/>
        <v>0</v>
      </c>
    </row>
    <row r="458" spans="2:14" ht="1.5" customHeight="1">
      <c r="B458" s="57"/>
      <c r="C458" s="60"/>
      <c r="D458" s="60"/>
      <c r="E458" s="60"/>
      <c r="F458" s="60"/>
      <c r="G458" s="60"/>
      <c r="J458" s="99"/>
      <c r="K458" s="99"/>
      <c r="L458" s="99"/>
      <c r="M458" s="99"/>
      <c r="N458" s="43">
        <f t="shared" si="6"/>
        <v>0</v>
      </c>
    </row>
    <row r="459" spans="2:14" ht="1.5" customHeight="1">
      <c r="B459" s="57"/>
      <c r="C459" s="60"/>
      <c r="D459" s="60"/>
      <c r="E459" s="60"/>
      <c r="F459" s="60"/>
      <c r="G459" s="60"/>
      <c r="J459" s="99"/>
      <c r="K459" s="99"/>
      <c r="L459" s="99"/>
      <c r="M459" s="99"/>
      <c r="N459" s="43">
        <f t="shared" ref="N459:N522" si="7">IF($L$4=$C$10,C459,IF(D459="","",B459))</f>
        <v>0</v>
      </c>
    </row>
    <row r="460" spans="2:14" ht="1.5" customHeight="1">
      <c r="B460" s="57"/>
      <c r="C460" s="60"/>
      <c r="D460" s="60"/>
      <c r="E460" s="60"/>
      <c r="F460" s="60"/>
      <c r="G460" s="60"/>
      <c r="J460" s="99"/>
      <c r="K460" s="99"/>
      <c r="L460" s="99"/>
      <c r="M460" s="99"/>
      <c r="N460" s="43">
        <f t="shared" si="7"/>
        <v>0</v>
      </c>
    </row>
    <row r="461" spans="2:14" ht="1.5" customHeight="1">
      <c r="B461" s="57"/>
      <c r="C461" s="60"/>
      <c r="D461" s="60"/>
      <c r="E461" s="60"/>
      <c r="F461" s="60"/>
      <c r="G461" s="60"/>
      <c r="J461" s="99"/>
      <c r="K461" s="99"/>
      <c r="L461" s="99"/>
      <c r="M461" s="99"/>
      <c r="N461" s="43">
        <f t="shared" si="7"/>
        <v>0</v>
      </c>
    </row>
    <row r="462" spans="2:14" ht="1.5" customHeight="1">
      <c r="B462" s="57"/>
      <c r="C462" s="60"/>
      <c r="D462" s="60"/>
      <c r="E462" s="60"/>
      <c r="F462" s="60"/>
      <c r="G462" s="60"/>
      <c r="J462" s="99"/>
      <c r="K462" s="99"/>
      <c r="L462" s="99"/>
      <c r="M462" s="99"/>
      <c r="N462" s="43">
        <f t="shared" si="7"/>
        <v>0</v>
      </c>
    </row>
    <row r="463" spans="2:14" ht="1.5" customHeight="1">
      <c r="B463" s="57"/>
      <c r="C463" s="60"/>
      <c r="D463" s="60"/>
      <c r="E463" s="60"/>
      <c r="F463" s="60"/>
      <c r="G463" s="60"/>
      <c r="J463" s="99"/>
      <c r="K463" s="99"/>
      <c r="L463" s="99"/>
      <c r="M463" s="99"/>
      <c r="N463" s="43">
        <f t="shared" si="7"/>
        <v>0</v>
      </c>
    </row>
    <row r="464" spans="2:14" ht="1.5" customHeight="1">
      <c r="B464" s="57"/>
      <c r="C464" s="60"/>
      <c r="D464" s="60"/>
      <c r="E464" s="60"/>
      <c r="F464" s="60"/>
      <c r="G464" s="60"/>
      <c r="J464" s="99"/>
      <c r="K464" s="99"/>
      <c r="L464" s="99"/>
      <c r="M464" s="99"/>
      <c r="N464" s="43">
        <f t="shared" si="7"/>
        <v>0</v>
      </c>
    </row>
    <row r="465" spans="2:14" ht="1.5" customHeight="1">
      <c r="B465" s="57"/>
      <c r="C465" s="60"/>
      <c r="D465" s="60"/>
      <c r="E465" s="60"/>
      <c r="F465" s="60"/>
      <c r="G465" s="60"/>
      <c r="J465" s="99"/>
      <c r="K465" s="99"/>
      <c r="L465" s="99"/>
      <c r="M465" s="99"/>
      <c r="N465" s="43">
        <f t="shared" si="7"/>
        <v>0</v>
      </c>
    </row>
    <row r="466" spans="2:14" ht="1.5" customHeight="1">
      <c r="B466" s="57"/>
      <c r="C466" s="60"/>
      <c r="D466" s="60"/>
      <c r="E466" s="60"/>
      <c r="F466" s="60"/>
      <c r="G466" s="60"/>
      <c r="J466" s="99"/>
      <c r="K466" s="99"/>
      <c r="L466" s="99"/>
      <c r="M466" s="99"/>
      <c r="N466" s="43">
        <f t="shared" si="7"/>
        <v>0</v>
      </c>
    </row>
    <row r="467" spans="2:14" ht="1.5" customHeight="1">
      <c r="B467" s="57"/>
      <c r="C467" s="60"/>
      <c r="D467" s="60"/>
      <c r="E467" s="60"/>
      <c r="F467" s="60"/>
      <c r="G467" s="60"/>
      <c r="J467" s="99"/>
      <c r="K467" s="99"/>
      <c r="L467" s="99"/>
      <c r="M467" s="99"/>
      <c r="N467" s="43">
        <f t="shared" si="7"/>
        <v>0</v>
      </c>
    </row>
    <row r="468" spans="2:14" ht="1.5" customHeight="1">
      <c r="B468" s="57"/>
      <c r="C468" s="60"/>
      <c r="D468" s="60"/>
      <c r="E468" s="60"/>
      <c r="F468" s="60"/>
      <c r="G468" s="60"/>
      <c r="J468" s="99"/>
      <c r="K468" s="99"/>
      <c r="L468" s="99"/>
      <c r="M468" s="99"/>
      <c r="N468" s="43">
        <f t="shared" si="7"/>
        <v>0</v>
      </c>
    </row>
    <row r="469" spans="2:14" ht="1.5" customHeight="1">
      <c r="B469" s="57"/>
      <c r="C469" s="60"/>
      <c r="D469" s="60"/>
      <c r="E469" s="60"/>
      <c r="F469" s="60"/>
      <c r="G469" s="60"/>
      <c r="J469" s="99"/>
      <c r="K469" s="99"/>
      <c r="L469" s="99"/>
      <c r="M469" s="99"/>
      <c r="N469" s="43">
        <f t="shared" si="7"/>
        <v>0</v>
      </c>
    </row>
    <row r="470" spans="2:14" ht="1.5" customHeight="1">
      <c r="B470" s="57"/>
      <c r="C470" s="60"/>
      <c r="D470" s="60"/>
      <c r="E470" s="60"/>
      <c r="F470" s="60"/>
      <c r="G470" s="60"/>
      <c r="J470" s="99"/>
      <c r="K470" s="99"/>
      <c r="L470" s="99"/>
      <c r="M470" s="99"/>
      <c r="N470" s="43">
        <f t="shared" si="7"/>
        <v>0</v>
      </c>
    </row>
    <row r="471" spans="2:14" ht="1.5" customHeight="1">
      <c r="B471" s="57"/>
      <c r="C471" s="60"/>
      <c r="D471" s="60"/>
      <c r="E471" s="60"/>
      <c r="F471" s="60"/>
      <c r="G471" s="60"/>
      <c r="J471" s="99"/>
      <c r="K471" s="99"/>
      <c r="L471" s="99"/>
      <c r="M471" s="99"/>
      <c r="N471" s="43">
        <f t="shared" si="7"/>
        <v>0</v>
      </c>
    </row>
    <row r="472" spans="2:14" ht="1.5" customHeight="1">
      <c r="B472" s="57"/>
      <c r="C472" s="60"/>
      <c r="D472" s="60"/>
      <c r="E472" s="60"/>
      <c r="F472" s="60"/>
      <c r="G472" s="60"/>
      <c r="J472" s="99"/>
      <c r="K472" s="99"/>
      <c r="L472" s="99"/>
      <c r="M472" s="99"/>
      <c r="N472" s="43">
        <f t="shared" si="7"/>
        <v>0</v>
      </c>
    </row>
    <row r="473" spans="2:14" ht="1.5" customHeight="1">
      <c r="B473" s="57"/>
      <c r="C473" s="60"/>
      <c r="D473" s="60"/>
      <c r="E473" s="60"/>
      <c r="F473" s="60"/>
      <c r="G473" s="60"/>
      <c r="J473" s="99"/>
      <c r="K473" s="99"/>
      <c r="L473" s="99"/>
      <c r="M473" s="99"/>
      <c r="N473" s="43">
        <f t="shared" si="7"/>
        <v>0</v>
      </c>
    </row>
    <row r="474" spans="2:14" ht="1.5" customHeight="1">
      <c r="B474" s="57"/>
      <c r="C474" s="60"/>
      <c r="D474" s="60"/>
      <c r="E474" s="60"/>
      <c r="F474" s="60"/>
      <c r="G474" s="60"/>
      <c r="J474" s="99"/>
      <c r="K474" s="99"/>
      <c r="L474" s="99"/>
      <c r="M474" s="99"/>
      <c r="N474" s="43">
        <f t="shared" si="7"/>
        <v>0</v>
      </c>
    </row>
    <row r="475" spans="2:14" ht="1.5" customHeight="1">
      <c r="B475" s="57"/>
      <c r="C475" s="60"/>
      <c r="D475" s="60"/>
      <c r="E475" s="60"/>
      <c r="F475" s="60"/>
      <c r="G475" s="60"/>
      <c r="J475" s="99"/>
      <c r="K475" s="99"/>
      <c r="L475" s="99"/>
      <c r="M475" s="99"/>
      <c r="N475" s="43">
        <f t="shared" si="7"/>
        <v>0</v>
      </c>
    </row>
    <row r="476" spans="2:14" ht="1.5" customHeight="1">
      <c r="B476" s="57"/>
      <c r="C476" s="60"/>
      <c r="D476" s="60"/>
      <c r="E476" s="60"/>
      <c r="F476" s="60"/>
      <c r="G476" s="60"/>
      <c r="J476" s="99"/>
      <c r="K476" s="99"/>
      <c r="L476" s="99"/>
      <c r="M476" s="99"/>
      <c r="N476" s="43">
        <f t="shared" si="7"/>
        <v>0</v>
      </c>
    </row>
    <row r="477" spans="2:14" ht="1.5" customHeight="1">
      <c r="B477" s="57"/>
      <c r="C477" s="60"/>
      <c r="D477" s="60"/>
      <c r="E477" s="60"/>
      <c r="F477" s="60"/>
      <c r="G477" s="60"/>
      <c r="J477" s="99"/>
      <c r="K477" s="99"/>
      <c r="L477" s="99"/>
      <c r="M477" s="99"/>
      <c r="N477" s="43">
        <f t="shared" si="7"/>
        <v>0</v>
      </c>
    </row>
    <row r="478" spans="2:14" ht="1.5" customHeight="1">
      <c r="B478" s="57"/>
      <c r="C478" s="60"/>
      <c r="D478" s="60"/>
      <c r="E478" s="60"/>
      <c r="F478" s="60"/>
      <c r="G478" s="60"/>
      <c r="J478" s="99"/>
      <c r="K478" s="99"/>
      <c r="L478" s="99"/>
      <c r="M478" s="99"/>
      <c r="N478" s="43">
        <f t="shared" si="7"/>
        <v>0</v>
      </c>
    </row>
    <row r="479" spans="2:14" ht="1.5" customHeight="1">
      <c r="B479" s="57"/>
      <c r="C479" s="60"/>
      <c r="D479" s="60"/>
      <c r="E479" s="60"/>
      <c r="F479" s="60"/>
      <c r="G479" s="60"/>
      <c r="J479" s="99"/>
      <c r="K479" s="99"/>
      <c r="L479" s="99"/>
      <c r="M479" s="99"/>
      <c r="N479" s="43">
        <f t="shared" si="7"/>
        <v>0</v>
      </c>
    </row>
    <row r="480" spans="2:14" ht="1.5" customHeight="1">
      <c r="B480" s="57"/>
      <c r="C480" s="60"/>
      <c r="D480" s="60"/>
      <c r="E480" s="60"/>
      <c r="F480" s="60"/>
      <c r="G480" s="60"/>
      <c r="J480" s="99"/>
      <c r="K480" s="99"/>
      <c r="L480" s="99"/>
      <c r="M480" s="99"/>
      <c r="N480" s="43">
        <f t="shared" si="7"/>
        <v>0</v>
      </c>
    </row>
    <row r="481" spans="2:14" ht="1.5" customHeight="1">
      <c r="B481" s="57"/>
      <c r="C481" s="60"/>
      <c r="D481" s="60"/>
      <c r="E481" s="60"/>
      <c r="F481" s="60"/>
      <c r="G481" s="60"/>
      <c r="J481" s="99"/>
      <c r="K481" s="99"/>
      <c r="L481" s="99"/>
      <c r="M481" s="99"/>
      <c r="N481" s="43">
        <f t="shared" si="7"/>
        <v>0</v>
      </c>
    </row>
    <row r="482" spans="2:14" ht="1.5" customHeight="1">
      <c r="B482" s="57"/>
      <c r="C482" s="60"/>
      <c r="D482" s="60"/>
      <c r="E482" s="60"/>
      <c r="F482" s="60"/>
      <c r="G482" s="60"/>
      <c r="J482" s="99"/>
      <c r="K482" s="99"/>
      <c r="L482" s="99"/>
      <c r="M482" s="99"/>
      <c r="N482" s="43">
        <f t="shared" si="7"/>
        <v>0</v>
      </c>
    </row>
    <row r="483" spans="2:14" ht="1.5" customHeight="1">
      <c r="B483" s="57"/>
      <c r="C483" s="60"/>
      <c r="D483" s="60"/>
      <c r="E483" s="60"/>
      <c r="F483" s="60"/>
      <c r="G483" s="60"/>
      <c r="J483" s="99"/>
      <c r="K483" s="99"/>
      <c r="L483" s="99"/>
      <c r="M483" s="99"/>
      <c r="N483" s="43">
        <f t="shared" si="7"/>
        <v>0</v>
      </c>
    </row>
    <row r="484" spans="2:14" ht="1.5" customHeight="1">
      <c r="B484" s="57"/>
      <c r="C484" s="60"/>
      <c r="D484" s="60"/>
      <c r="E484" s="60"/>
      <c r="F484" s="60"/>
      <c r="G484" s="60"/>
      <c r="J484" s="99"/>
      <c r="K484" s="99"/>
      <c r="L484" s="99"/>
      <c r="M484" s="99"/>
      <c r="N484" s="43">
        <f t="shared" si="7"/>
        <v>0</v>
      </c>
    </row>
    <row r="485" spans="2:14" ht="1.5" customHeight="1">
      <c r="B485" s="57"/>
      <c r="C485" s="60"/>
      <c r="D485" s="60"/>
      <c r="E485" s="60"/>
      <c r="F485" s="60"/>
      <c r="G485" s="60"/>
      <c r="J485" s="99"/>
      <c r="K485" s="99"/>
      <c r="L485" s="99"/>
      <c r="M485" s="99"/>
      <c r="N485" s="43">
        <f t="shared" si="7"/>
        <v>0</v>
      </c>
    </row>
    <row r="486" spans="2:14" ht="1.5" customHeight="1">
      <c r="B486" s="57"/>
      <c r="C486" s="60"/>
      <c r="D486" s="60"/>
      <c r="E486" s="60"/>
      <c r="F486" s="60"/>
      <c r="G486" s="60"/>
      <c r="J486" s="99"/>
      <c r="K486" s="99"/>
      <c r="L486" s="99"/>
      <c r="M486" s="99"/>
      <c r="N486" s="43">
        <f t="shared" si="7"/>
        <v>0</v>
      </c>
    </row>
    <row r="487" spans="2:14" ht="1.5" customHeight="1">
      <c r="B487" s="57"/>
      <c r="C487" s="60"/>
      <c r="D487" s="60"/>
      <c r="E487" s="60"/>
      <c r="F487" s="60"/>
      <c r="G487" s="60"/>
      <c r="J487" s="99"/>
      <c r="K487" s="99"/>
      <c r="L487" s="99"/>
      <c r="M487" s="99"/>
      <c r="N487" s="43">
        <f t="shared" si="7"/>
        <v>0</v>
      </c>
    </row>
    <row r="488" spans="2:14" ht="1.5" customHeight="1">
      <c r="B488" s="57"/>
      <c r="C488" s="60"/>
      <c r="D488" s="60"/>
      <c r="E488" s="60"/>
      <c r="F488" s="60"/>
      <c r="G488" s="60"/>
      <c r="J488" s="99"/>
      <c r="K488" s="99"/>
      <c r="L488" s="99"/>
      <c r="M488" s="99"/>
      <c r="N488" s="43">
        <f t="shared" si="7"/>
        <v>0</v>
      </c>
    </row>
    <row r="489" spans="2:14" ht="1.5" customHeight="1">
      <c r="B489" s="57"/>
      <c r="C489" s="60"/>
      <c r="D489" s="60"/>
      <c r="E489" s="60"/>
      <c r="F489" s="60"/>
      <c r="G489" s="60"/>
      <c r="J489" s="99"/>
      <c r="K489" s="99"/>
      <c r="L489" s="99"/>
      <c r="M489" s="99"/>
      <c r="N489" s="43">
        <f t="shared" si="7"/>
        <v>0</v>
      </c>
    </row>
    <row r="490" spans="2:14" ht="1.5" customHeight="1">
      <c r="B490" s="57"/>
      <c r="C490" s="60"/>
      <c r="D490" s="60"/>
      <c r="E490" s="60"/>
      <c r="F490" s="60"/>
      <c r="G490" s="60"/>
      <c r="J490" s="99"/>
      <c r="K490" s="99"/>
      <c r="L490" s="99"/>
      <c r="M490" s="99"/>
      <c r="N490" s="43">
        <f t="shared" si="7"/>
        <v>0</v>
      </c>
    </row>
    <row r="491" spans="2:14" ht="1.5" customHeight="1">
      <c r="B491" s="57"/>
      <c r="C491" s="60"/>
      <c r="D491" s="60"/>
      <c r="E491" s="60"/>
      <c r="F491" s="60"/>
      <c r="G491" s="60"/>
      <c r="J491" s="99"/>
      <c r="K491" s="99"/>
      <c r="L491" s="99"/>
      <c r="M491" s="99"/>
      <c r="N491" s="43">
        <f t="shared" si="7"/>
        <v>0</v>
      </c>
    </row>
    <row r="492" spans="2:14" ht="1.5" customHeight="1">
      <c r="B492" s="57"/>
      <c r="C492" s="60"/>
      <c r="D492" s="60"/>
      <c r="E492" s="60"/>
      <c r="F492" s="60"/>
      <c r="G492" s="60"/>
      <c r="J492" s="99"/>
      <c r="K492" s="99"/>
      <c r="L492" s="99"/>
      <c r="M492" s="99"/>
      <c r="N492" s="43">
        <f t="shared" si="7"/>
        <v>0</v>
      </c>
    </row>
    <row r="493" spans="2:14" ht="1.5" customHeight="1">
      <c r="B493" s="57"/>
      <c r="C493" s="60"/>
      <c r="D493" s="60"/>
      <c r="E493" s="60"/>
      <c r="F493" s="60"/>
      <c r="G493" s="60"/>
      <c r="J493" s="99"/>
      <c r="K493" s="99"/>
      <c r="L493" s="99"/>
      <c r="M493" s="99"/>
      <c r="N493" s="43">
        <f t="shared" si="7"/>
        <v>0</v>
      </c>
    </row>
    <row r="494" spans="2:14" ht="1.5" customHeight="1">
      <c r="B494" s="57"/>
      <c r="C494" s="60"/>
      <c r="D494" s="60"/>
      <c r="E494" s="60"/>
      <c r="F494" s="60"/>
      <c r="G494" s="60"/>
      <c r="J494" s="99"/>
      <c r="K494" s="99"/>
      <c r="L494" s="99"/>
      <c r="M494" s="99"/>
      <c r="N494" s="43">
        <f t="shared" si="7"/>
        <v>0</v>
      </c>
    </row>
    <row r="495" spans="2:14" ht="1.5" customHeight="1">
      <c r="B495" s="57"/>
      <c r="C495" s="60"/>
      <c r="D495" s="60"/>
      <c r="E495" s="60"/>
      <c r="F495" s="60"/>
      <c r="G495" s="60"/>
      <c r="J495" s="99"/>
      <c r="K495" s="99"/>
      <c r="L495" s="99"/>
      <c r="M495" s="99"/>
      <c r="N495" s="43">
        <f t="shared" si="7"/>
        <v>0</v>
      </c>
    </row>
    <row r="496" spans="2:14" ht="1.5" customHeight="1">
      <c r="B496" s="57"/>
      <c r="C496" s="60"/>
      <c r="D496" s="60"/>
      <c r="E496" s="60"/>
      <c r="F496" s="60"/>
      <c r="G496" s="60"/>
      <c r="J496" s="99"/>
      <c r="K496" s="99"/>
      <c r="L496" s="99"/>
      <c r="M496" s="99"/>
      <c r="N496" s="43">
        <f t="shared" si="7"/>
        <v>0</v>
      </c>
    </row>
    <row r="497" spans="2:14" ht="1.5" customHeight="1">
      <c r="B497" s="57"/>
      <c r="C497" s="60"/>
      <c r="D497" s="60"/>
      <c r="E497" s="60"/>
      <c r="F497" s="60"/>
      <c r="G497" s="60"/>
      <c r="J497" s="99"/>
      <c r="K497" s="99"/>
      <c r="L497" s="99"/>
      <c r="M497" s="99"/>
      <c r="N497" s="43">
        <f t="shared" si="7"/>
        <v>0</v>
      </c>
    </row>
    <row r="498" spans="2:14" ht="1.5" customHeight="1">
      <c r="B498" s="57"/>
      <c r="C498" s="60"/>
      <c r="D498" s="60"/>
      <c r="E498" s="60"/>
      <c r="F498" s="60"/>
      <c r="G498" s="60"/>
      <c r="J498" s="99"/>
      <c r="K498" s="99"/>
      <c r="L498" s="99"/>
      <c r="M498" s="99"/>
      <c r="N498" s="43">
        <f t="shared" si="7"/>
        <v>0</v>
      </c>
    </row>
    <row r="499" spans="2:14" ht="1.5" customHeight="1">
      <c r="B499" s="57"/>
      <c r="C499" s="60"/>
      <c r="D499" s="60"/>
      <c r="E499" s="60"/>
      <c r="F499" s="60"/>
      <c r="G499" s="60"/>
      <c r="J499" s="99"/>
      <c r="K499" s="99"/>
      <c r="L499" s="99"/>
      <c r="M499" s="99"/>
      <c r="N499" s="43">
        <f t="shared" si="7"/>
        <v>0</v>
      </c>
    </row>
    <row r="500" spans="2:14" ht="1.5" customHeight="1">
      <c r="B500" s="57"/>
      <c r="C500" s="60"/>
      <c r="D500" s="60"/>
      <c r="E500" s="60"/>
      <c r="F500" s="60"/>
      <c r="G500" s="60"/>
      <c r="J500" s="99"/>
      <c r="K500" s="99"/>
      <c r="L500" s="99"/>
      <c r="M500" s="99"/>
      <c r="N500" s="43">
        <f t="shared" si="7"/>
        <v>0</v>
      </c>
    </row>
    <row r="501" spans="2:14" ht="1.5" customHeight="1">
      <c r="B501" s="57"/>
      <c r="C501" s="60"/>
      <c r="D501" s="60"/>
      <c r="E501" s="60"/>
      <c r="F501" s="60"/>
      <c r="G501" s="60"/>
      <c r="J501" s="99"/>
      <c r="K501" s="99"/>
      <c r="L501" s="99"/>
      <c r="M501" s="99"/>
      <c r="N501" s="43">
        <f t="shared" si="7"/>
        <v>0</v>
      </c>
    </row>
    <row r="502" spans="2:14" ht="1.5" customHeight="1">
      <c r="B502" s="57"/>
      <c r="C502" s="60"/>
      <c r="D502" s="60"/>
      <c r="E502" s="60"/>
      <c r="F502" s="60"/>
      <c r="G502" s="60"/>
      <c r="J502" s="99"/>
      <c r="K502" s="99"/>
      <c r="L502" s="99"/>
      <c r="M502" s="99"/>
      <c r="N502" s="43">
        <f t="shared" si="7"/>
        <v>0</v>
      </c>
    </row>
    <row r="503" spans="2:14" ht="1.5" customHeight="1">
      <c r="B503" s="57"/>
      <c r="C503" s="60"/>
      <c r="D503" s="60"/>
      <c r="E503" s="60"/>
      <c r="F503" s="60"/>
      <c r="G503" s="60"/>
      <c r="J503" s="99"/>
      <c r="K503" s="99"/>
      <c r="L503" s="99"/>
      <c r="M503" s="99"/>
      <c r="N503" s="43">
        <f t="shared" si="7"/>
        <v>0</v>
      </c>
    </row>
    <row r="504" spans="2:14" ht="1.5" customHeight="1">
      <c r="B504" s="57"/>
      <c r="C504" s="60"/>
      <c r="D504" s="60"/>
      <c r="E504" s="60"/>
      <c r="F504" s="60"/>
      <c r="G504" s="60"/>
      <c r="J504" s="99"/>
      <c r="K504" s="99"/>
      <c r="L504" s="99"/>
      <c r="M504" s="99"/>
      <c r="N504" s="43">
        <f t="shared" si="7"/>
        <v>0</v>
      </c>
    </row>
    <row r="505" spans="2:14" ht="1.5" customHeight="1">
      <c r="B505" s="57"/>
      <c r="C505" s="60"/>
      <c r="D505" s="60"/>
      <c r="E505" s="60"/>
      <c r="F505" s="60"/>
      <c r="G505" s="60"/>
      <c r="J505" s="99"/>
      <c r="K505" s="99"/>
      <c r="L505" s="99"/>
      <c r="M505" s="99"/>
      <c r="N505" s="43">
        <f t="shared" si="7"/>
        <v>0</v>
      </c>
    </row>
    <row r="506" spans="2:14" ht="1.5" customHeight="1">
      <c r="B506" s="57"/>
      <c r="C506" s="60"/>
      <c r="D506" s="60"/>
      <c r="E506" s="60"/>
      <c r="F506" s="60"/>
      <c r="G506" s="60"/>
      <c r="J506" s="99"/>
      <c r="K506" s="99"/>
      <c r="L506" s="99"/>
      <c r="M506" s="99"/>
      <c r="N506" s="43">
        <f t="shared" si="7"/>
        <v>0</v>
      </c>
    </row>
    <row r="507" spans="2:14" ht="1.5" customHeight="1">
      <c r="B507" s="57"/>
      <c r="C507" s="60"/>
      <c r="D507" s="60"/>
      <c r="E507" s="60"/>
      <c r="F507" s="60"/>
      <c r="G507" s="60"/>
      <c r="J507" s="99"/>
      <c r="K507" s="99"/>
      <c r="L507" s="99"/>
      <c r="M507" s="99"/>
      <c r="N507" s="43">
        <f t="shared" si="7"/>
        <v>0</v>
      </c>
    </row>
    <row r="508" spans="2:14" ht="1.5" customHeight="1">
      <c r="B508" s="57"/>
      <c r="C508" s="60"/>
      <c r="D508" s="60"/>
      <c r="E508" s="60"/>
      <c r="F508" s="60"/>
      <c r="G508" s="60"/>
      <c r="J508" s="99"/>
      <c r="K508" s="99"/>
      <c r="L508" s="99"/>
      <c r="M508" s="99"/>
      <c r="N508" s="43">
        <f t="shared" si="7"/>
        <v>0</v>
      </c>
    </row>
    <row r="509" spans="2:14" ht="1.5" customHeight="1">
      <c r="B509" s="57"/>
      <c r="C509" s="60"/>
      <c r="D509" s="60"/>
      <c r="E509" s="60"/>
      <c r="F509" s="60"/>
      <c r="G509" s="60"/>
      <c r="J509" s="99"/>
      <c r="K509" s="99"/>
      <c r="L509" s="99"/>
      <c r="M509" s="99"/>
      <c r="N509" s="43">
        <f t="shared" si="7"/>
        <v>0</v>
      </c>
    </row>
    <row r="510" spans="2:14" ht="1.5" customHeight="1">
      <c r="B510" s="57"/>
      <c r="C510" s="60"/>
      <c r="D510" s="60"/>
      <c r="E510" s="60"/>
      <c r="F510" s="60"/>
      <c r="G510" s="60"/>
      <c r="J510" s="99"/>
      <c r="K510" s="99"/>
      <c r="L510" s="99"/>
      <c r="M510" s="99"/>
      <c r="N510" s="43">
        <f t="shared" si="7"/>
        <v>0</v>
      </c>
    </row>
    <row r="511" spans="2:14" ht="1.5" customHeight="1">
      <c r="B511" s="57"/>
      <c r="C511" s="60"/>
      <c r="D511" s="60"/>
      <c r="E511" s="60"/>
      <c r="F511" s="60"/>
      <c r="G511" s="60"/>
      <c r="J511" s="99"/>
      <c r="K511" s="99"/>
      <c r="L511" s="99"/>
      <c r="M511" s="99"/>
      <c r="N511" s="43">
        <f t="shared" si="7"/>
        <v>0</v>
      </c>
    </row>
    <row r="512" spans="2:14" ht="1.5" customHeight="1">
      <c r="B512" s="57"/>
      <c r="C512" s="60"/>
      <c r="D512" s="60"/>
      <c r="E512" s="60"/>
      <c r="F512" s="60"/>
      <c r="G512" s="60"/>
      <c r="J512" s="99"/>
      <c r="K512" s="99"/>
      <c r="L512" s="99"/>
      <c r="M512" s="99"/>
      <c r="N512" s="43">
        <f t="shared" si="7"/>
        <v>0</v>
      </c>
    </row>
    <row r="513" spans="2:14" ht="1.5" customHeight="1">
      <c r="B513" s="57"/>
      <c r="C513" s="60"/>
      <c r="D513" s="60"/>
      <c r="E513" s="60"/>
      <c r="F513" s="60"/>
      <c r="G513" s="60"/>
      <c r="J513" s="99"/>
      <c r="K513" s="99"/>
      <c r="L513" s="99"/>
      <c r="M513" s="99"/>
      <c r="N513" s="43">
        <f t="shared" si="7"/>
        <v>0</v>
      </c>
    </row>
    <row r="514" spans="2:14" ht="1.5" customHeight="1">
      <c r="B514" s="57"/>
      <c r="C514" s="60"/>
      <c r="D514" s="60"/>
      <c r="E514" s="60"/>
      <c r="F514" s="60"/>
      <c r="G514" s="60"/>
      <c r="J514" s="99"/>
      <c r="K514" s="99"/>
      <c r="L514" s="99"/>
      <c r="M514" s="99"/>
      <c r="N514" s="43">
        <f t="shared" si="7"/>
        <v>0</v>
      </c>
    </row>
    <row r="515" spans="2:14" ht="1.5" customHeight="1">
      <c r="B515" s="57"/>
      <c r="C515" s="60"/>
      <c r="D515" s="60"/>
      <c r="E515" s="60"/>
      <c r="F515" s="60"/>
      <c r="G515" s="60"/>
      <c r="J515" s="99"/>
      <c r="K515" s="99"/>
      <c r="L515" s="99"/>
      <c r="M515" s="99"/>
      <c r="N515" s="43">
        <f t="shared" si="7"/>
        <v>0</v>
      </c>
    </row>
    <row r="516" spans="2:14" ht="1.5" customHeight="1">
      <c r="B516" s="57"/>
      <c r="C516" s="60"/>
      <c r="D516" s="60"/>
      <c r="E516" s="60"/>
      <c r="F516" s="60"/>
      <c r="G516" s="60"/>
      <c r="J516" s="99"/>
      <c r="K516" s="99"/>
      <c r="L516" s="99"/>
      <c r="M516" s="99"/>
      <c r="N516" s="43">
        <f t="shared" si="7"/>
        <v>0</v>
      </c>
    </row>
    <row r="517" spans="2:14" ht="1.5" customHeight="1">
      <c r="B517" s="57"/>
      <c r="C517" s="60"/>
      <c r="D517" s="60"/>
      <c r="E517" s="60"/>
      <c r="F517" s="60"/>
      <c r="G517" s="60"/>
      <c r="J517" s="99"/>
      <c r="K517" s="99"/>
      <c r="L517" s="99"/>
      <c r="M517" s="99"/>
      <c r="N517" s="43">
        <f t="shared" si="7"/>
        <v>0</v>
      </c>
    </row>
    <row r="518" spans="2:14" ht="1.5" customHeight="1">
      <c r="B518" s="57"/>
      <c r="C518" s="60"/>
      <c r="D518" s="60"/>
      <c r="E518" s="60"/>
      <c r="F518" s="60"/>
      <c r="G518" s="60"/>
      <c r="J518" s="99"/>
      <c r="K518" s="99"/>
      <c r="L518" s="99"/>
      <c r="M518" s="99"/>
      <c r="N518" s="43">
        <f t="shared" si="7"/>
        <v>0</v>
      </c>
    </row>
    <row r="519" spans="2:14" ht="1.5" customHeight="1">
      <c r="B519" s="57"/>
      <c r="C519" s="60"/>
      <c r="D519" s="60"/>
      <c r="E519" s="60"/>
      <c r="F519" s="60"/>
      <c r="G519" s="60"/>
      <c r="J519" s="99"/>
      <c r="K519" s="99"/>
      <c r="L519" s="99"/>
      <c r="M519" s="99"/>
      <c r="N519" s="43">
        <f t="shared" si="7"/>
        <v>0</v>
      </c>
    </row>
    <row r="520" spans="2:14" ht="1.5" customHeight="1">
      <c r="B520" s="57"/>
      <c r="C520" s="60"/>
      <c r="D520" s="60"/>
      <c r="E520" s="60"/>
      <c r="F520" s="60"/>
      <c r="G520" s="60"/>
      <c r="J520" s="99"/>
      <c r="K520" s="99"/>
      <c r="L520" s="99"/>
      <c r="M520" s="99"/>
      <c r="N520" s="43">
        <f t="shared" si="7"/>
        <v>0</v>
      </c>
    </row>
    <row r="521" spans="2:14" ht="1.5" customHeight="1">
      <c r="B521" s="57"/>
      <c r="C521" s="60"/>
      <c r="D521" s="60"/>
      <c r="E521" s="60"/>
      <c r="F521" s="60"/>
      <c r="G521" s="60"/>
      <c r="J521" s="99"/>
      <c r="K521" s="99"/>
      <c r="L521" s="99"/>
      <c r="M521" s="99"/>
      <c r="N521" s="43">
        <f t="shared" si="7"/>
        <v>0</v>
      </c>
    </row>
    <row r="522" spans="2:14" ht="1.5" customHeight="1">
      <c r="B522" s="57"/>
      <c r="C522" s="60"/>
      <c r="D522" s="60"/>
      <c r="E522" s="60"/>
      <c r="F522" s="60"/>
      <c r="G522" s="60"/>
      <c r="J522" s="99"/>
      <c r="K522" s="99"/>
      <c r="L522" s="99"/>
      <c r="M522" s="99"/>
      <c r="N522" s="43">
        <f t="shared" si="7"/>
        <v>0</v>
      </c>
    </row>
    <row r="523" spans="2:14" ht="1.5" customHeight="1">
      <c r="B523" s="57"/>
      <c r="C523" s="60"/>
      <c r="D523" s="60"/>
      <c r="E523" s="60"/>
      <c r="F523" s="60"/>
      <c r="G523" s="60"/>
      <c r="J523" s="99"/>
      <c r="K523" s="99"/>
      <c r="L523" s="99"/>
      <c r="M523" s="99"/>
      <c r="N523" s="43">
        <f t="shared" ref="N523:N586" si="8">IF($L$4=$C$10,C523,IF(D523="","",B523))</f>
        <v>0</v>
      </c>
    </row>
    <row r="524" spans="2:14" ht="1.5" customHeight="1">
      <c r="B524" s="57"/>
      <c r="C524" s="60"/>
      <c r="D524" s="60"/>
      <c r="E524" s="60"/>
      <c r="F524" s="60"/>
      <c r="G524" s="60"/>
      <c r="J524" s="99"/>
      <c r="K524" s="99"/>
      <c r="L524" s="99"/>
      <c r="M524" s="99"/>
      <c r="N524" s="43">
        <f t="shared" si="8"/>
        <v>0</v>
      </c>
    </row>
    <row r="525" spans="2:14" ht="1.5" customHeight="1">
      <c r="B525" s="57"/>
      <c r="C525" s="60"/>
      <c r="D525" s="60"/>
      <c r="E525" s="60"/>
      <c r="F525" s="60"/>
      <c r="G525" s="60"/>
      <c r="J525" s="99"/>
      <c r="K525" s="99"/>
      <c r="L525" s="99"/>
      <c r="M525" s="99"/>
      <c r="N525" s="43">
        <f t="shared" si="8"/>
        <v>0</v>
      </c>
    </row>
    <row r="526" spans="2:14" ht="1.5" customHeight="1">
      <c r="B526" s="57"/>
      <c r="C526" s="60"/>
      <c r="D526" s="60"/>
      <c r="E526" s="60"/>
      <c r="F526" s="60"/>
      <c r="G526" s="60"/>
      <c r="J526" s="99"/>
      <c r="K526" s="99"/>
      <c r="L526" s="99"/>
      <c r="M526" s="99"/>
      <c r="N526" s="43">
        <f t="shared" si="8"/>
        <v>0</v>
      </c>
    </row>
    <row r="527" spans="2:14" ht="1.5" customHeight="1">
      <c r="B527" s="57"/>
      <c r="C527" s="60"/>
      <c r="D527" s="60"/>
      <c r="E527" s="60"/>
      <c r="F527" s="60"/>
      <c r="G527" s="60"/>
      <c r="J527" s="99"/>
      <c r="K527" s="99"/>
      <c r="L527" s="99"/>
      <c r="M527" s="99"/>
      <c r="N527" s="43">
        <f t="shared" si="8"/>
        <v>0</v>
      </c>
    </row>
    <row r="528" spans="2:14" ht="1.5" customHeight="1">
      <c r="B528" s="57"/>
      <c r="C528" s="60"/>
      <c r="D528" s="60"/>
      <c r="E528" s="60"/>
      <c r="F528" s="60"/>
      <c r="G528" s="60"/>
      <c r="J528" s="99"/>
      <c r="K528" s="99"/>
      <c r="L528" s="99"/>
      <c r="M528" s="99"/>
      <c r="N528" s="43">
        <f t="shared" si="8"/>
        <v>0</v>
      </c>
    </row>
    <row r="529" spans="2:14" ht="1.5" customHeight="1">
      <c r="B529" s="57"/>
      <c r="C529" s="60"/>
      <c r="D529" s="60"/>
      <c r="E529" s="60"/>
      <c r="F529" s="60"/>
      <c r="G529" s="60"/>
      <c r="J529" s="99"/>
      <c r="K529" s="99"/>
      <c r="L529" s="99"/>
      <c r="M529" s="99"/>
      <c r="N529" s="43">
        <f t="shared" si="8"/>
        <v>0</v>
      </c>
    </row>
    <row r="530" spans="2:14" ht="1.5" customHeight="1">
      <c r="B530" s="57"/>
      <c r="C530" s="60"/>
      <c r="D530" s="60"/>
      <c r="E530" s="60"/>
      <c r="F530" s="60"/>
      <c r="G530" s="60"/>
      <c r="J530" s="99"/>
      <c r="K530" s="99"/>
      <c r="L530" s="99"/>
      <c r="M530" s="99"/>
      <c r="N530" s="43">
        <f t="shared" si="8"/>
        <v>0</v>
      </c>
    </row>
    <row r="531" spans="2:14" ht="1.5" customHeight="1">
      <c r="B531" s="57"/>
      <c r="C531" s="60"/>
      <c r="D531" s="60"/>
      <c r="E531" s="60"/>
      <c r="F531" s="60"/>
      <c r="G531" s="60"/>
      <c r="J531" s="99"/>
      <c r="K531" s="99"/>
      <c r="L531" s="99"/>
      <c r="M531" s="99"/>
      <c r="N531" s="43">
        <f t="shared" si="8"/>
        <v>0</v>
      </c>
    </row>
    <row r="532" spans="2:14" ht="1.5" customHeight="1">
      <c r="B532" s="57"/>
      <c r="C532" s="60"/>
      <c r="D532" s="60"/>
      <c r="E532" s="60"/>
      <c r="F532" s="60"/>
      <c r="G532" s="60"/>
      <c r="J532" s="99"/>
      <c r="K532" s="99"/>
      <c r="L532" s="99"/>
      <c r="M532" s="99"/>
      <c r="N532" s="43">
        <f t="shared" si="8"/>
        <v>0</v>
      </c>
    </row>
    <row r="533" spans="2:14" ht="1.5" customHeight="1">
      <c r="B533" s="57"/>
      <c r="C533" s="60"/>
      <c r="D533" s="60"/>
      <c r="E533" s="60"/>
      <c r="F533" s="60"/>
      <c r="G533" s="60"/>
      <c r="J533" s="99"/>
      <c r="K533" s="99"/>
      <c r="L533" s="99"/>
      <c r="M533" s="99"/>
      <c r="N533" s="43">
        <f t="shared" si="8"/>
        <v>0</v>
      </c>
    </row>
    <row r="534" spans="2:14" ht="1.5" customHeight="1">
      <c r="B534" s="57"/>
      <c r="C534" s="60"/>
      <c r="D534" s="60"/>
      <c r="E534" s="60"/>
      <c r="F534" s="60"/>
      <c r="G534" s="60"/>
      <c r="J534" s="99"/>
      <c r="K534" s="99"/>
      <c r="L534" s="99"/>
      <c r="M534" s="99"/>
      <c r="N534" s="43">
        <f t="shared" si="8"/>
        <v>0</v>
      </c>
    </row>
    <row r="535" spans="2:14" ht="1.5" customHeight="1">
      <c r="B535" s="57"/>
      <c r="C535" s="60"/>
      <c r="D535" s="60"/>
      <c r="E535" s="60"/>
      <c r="F535" s="60"/>
      <c r="G535" s="60"/>
      <c r="J535" s="99"/>
      <c r="K535" s="99"/>
      <c r="L535" s="99"/>
      <c r="M535" s="99"/>
      <c r="N535" s="43">
        <f t="shared" si="8"/>
        <v>0</v>
      </c>
    </row>
    <row r="536" spans="2:14" ht="1.5" customHeight="1">
      <c r="B536" s="57"/>
      <c r="C536" s="60"/>
      <c r="D536" s="60"/>
      <c r="E536" s="60"/>
      <c r="F536" s="60"/>
      <c r="G536" s="60"/>
      <c r="J536" s="99"/>
      <c r="K536" s="99"/>
      <c r="L536" s="99"/>
      <c r="M536" s="99"/>
      <c r="N536" s="43">
        <f t="shared" si="8"/>
        <v>0</v>
      </c>
    </row>
    <row r="537" spans="2:14" ht="1.5" customHeight="1">
      <c r="B537" s="57"/>
      <c r="C537" s="60"/>
      <c r="D537" s="60"/>
      <c r="E537" s="60"/>
      <c r="F537" s="60"/>
      <c r="G537" s="60"/>
      <c r="J537" s="99"/>
      <c r="K537" s="99"/>
      <c r="L537" s="99"/>
      <c r="M537" s="99"/>
      <c r="N537" s="43">
        <f t="shared" si="8"/>
        <v>0</v>
      </c>
    </row>
    <row r="538" spans="2:14" ht="1.5" customHeight="1">
      <c r="B538" s="57"/>
      <c r="C538" s="60"/>
      <c r="D538" s="60"/>
      <c r="E538" s="60"/>
      <c r="F538" s="60"/>
      <c r="G538" s="60"/>
      <c r="J538" s="99"/>
      <c r="K538" s="99"/>
      <c r="L538" s="99"/>
      <c r="M538" s="99"/>
      <c r="N538" s="43">
        <f t="shared" si="8"/>
        <v>0</v>
      </c>
    </row>
    <row r="539" spans="2:14" ht="1.5" customHeight="1">
      <c r="B539" s="57"/>
      <c r="C539" s="60"/>
      <c r="D539" s="60"/>
      <c r="E539" s="60"/>
      <c r="F539" s="60"/>
      <c r="G539" s="60"/>
      <c r="J539" s="99"/>
      <c r="K539" s="99"/>
      <c r="L539" s="99"/>
      <c r="M539" s="99"/>
      <c r="N539" s="43">
        <f t="shared" si="8"/>
        <v>0</v>
      </c>
    </row>
    <row r="540" spans="2:14" ht="1.5" customHeight="1">
      <c r="B540" s="57"/>
      <c r="C540" s="60"/>
      <c r="D540" s="60"/>
      <c r="E540" s="60"/>
      <c r="F540" s="60"/>
      <c r="G540" s="60"/>
      <c r="J540" s="99"/>
      <c r="K540" s="99"/>
      <c r="L540" s="99"/>
      <c r="M540" s="99"/>
      <c r="N540" s="43">
        <f t="shared" si="8"/>
        <v>0</v>
      </c>
    </row>
    <row r="541" spans="2:14" ht="1.5" customHeight="1">
      <c r="B541" s="57"/>
      <c r="C541" s="60"/>
      <c r="D541" s="60"/>
      <c r="E541" s="60"/>
      <c r="F541" s="60"/>
      <c r="G541" s="60"/>
      <c r="J541" s="99"/>
      <c r="K541" s="99"/>
      <c r="L541" s="99"/>
      <c r="M541" s="99"/>
      <c r="N541" s="43">
        <f t="shared" si="8"/>
        <v>0</v>
      </c>
    </row>
    <row r="542" spans="2:14" ht="1.5" customHeight="1">
      <c r="B542" s="57"/>
      <c r="C542" s="60"/>
      <c r="D542" s="60"/>
      <c r="E542" s="60"/>
      <c r="F542" s="60"/>
      <c r="G542" s="60"/>
      <c r="J542" s="99"/>
      <c r="K542" s="99"/>
      <c r="L542" s="99"/>
      <c r="M542" s="99"/>
      <c r="N542" s="43">
        <f t="shared" si="8"/>
        <v>0</v>
      </c>
    </row>
    <row r="543" spans="2:14" ht="1.5" customHeight="1">
      <c r="B543" s="57"/>
      <c r="C543" s="60"/>
      <c r="D543" s="60"/>
      <c r="E543" s="60"/>
      <c r="F543" s="60"/>
      <c r="G543" s="60"/>
      <c r="J543" s="99"/>
      <c r="K543" s="99"/>
      <c r="L543" s="99"/>
      <c r="M543" s="99"/>
      <c r="N543" s="43">
        <f t="shared" si="8"/>
        <v>0</v>
      </c>
    </row>
    <row r="544" spans="2:14" ht="1.5" customHeight="1">
      <c r="B544" s="57"/>
      <c r="C544" s="60"/>
      <c r="D544" s="60"/>
      <c r="E544" s="60"/>
      <c r="F544" s="60"/>
      <c r="G544" s="60"/>
      <c r="J544" s="99"/>
      <c r="K544" s="99"/>
      <c r="L544" s="99"/>
      <c r="M544" s="99"/>
      <c r="N544" s="43">
        <f t="shared" si="8"/>
        <v>0</v>
      </c>
    </row>
    <row r="545" spans="2:14" ht="1.5" customHeight="1">
      <c r="B545" s="57"/>
      <c r="C545" s="60"/>
      <c r="D545" s="60"/>
      <c r="E545" s="60"/>
      <c r="F545" s="60"/>
      <c r="G545" s="60"/>
      <c r="J545" s="99"/>
      <c r="K545" s="99"/>
      <c r="L545" s="99"/>
      <c r="M545" s="99"/>
      <c r="N545" s="43">
        <f t="shared" si="8"/>
        <v>0</v>
      </c>
    </row>
    <row r="546" spans="2:14" ht="1.5" customHeight="1">
      <c r="B546" s="57"/>
      <c r="C546" s="60"/>
      <c r="D546" s="60"/>
      <c r="E546" s="60"/>
      <c r="F546" s="60"/>
      <c r="G546" s="60"/>
      <c r="J546" s="99"/>
      <c r="K546" s="99"/>
      <c r="L546" s="99"/>
      <c r="M546" s="99"/>
      <c r="N546" s="43">
        <f t="shared" si="8"/>
        <v>0</v>
      </c>
    </row>
    <row r="547" spans="2:14" ht="1.5" customHeight="1">
      <c r="B547" s="57"/>
      <c r="C547" s="60"/>
      <c r="D547" s="60"/>
      <c r="E547" s="60"/>
      <c r="F547" s="60"/>
      <c r="G547" s="60"/>
      <c r="J547" s="99"/>
      <c r="K547" s="99"/>
      <c r="L547" s="99"/>
      <c r="M547" s="99"/>
      <c r="N547" s="43">
        <f t="shared" si="8"/>
        <v>0</v>
      </c>
    </row>
    <row r="548" spans="2:14" ht="1.5" customHeight="1">
      <c r="B548" s="57"/>
      <c r="C548" s="60"/>
      <c r="D548" s="60"/>
      <c r="E548" s="60"/>
      <c r="F548" s="60"/>
      <c r="G548" s="60"/>
      <c r="J548" s="99"/>
      <c r="K548" s="99"/>
      <c r="L548" s="99"/>
      <c r="M548" s="99"/>
      <c r="N548" s="43">
        <f t="shared" si="8"/>
        <v>0</v>
      </c>
    </row>
    <row r="549" spans="2:14" ht="1.5" customHeight="1">
      <c r="B549" s="57"/>
      <c r="C549" s="60"/>
      <c r="D549" s="60"/>
      <c r="E549" s="60"/>
      <c r="F549" s="60"/>
      <c r="G549" s="60"/>
      <c r="J549" s="99"/>
      <c r="K549" s="99"/>
      <c r="L549" s="99"/>
      <c r="M549" s="99"/>
      <c r="N549" s="43">
        <f t="shared" si="8"/>
        <v>0</v>
      </c>
    </row>
    <row r="550" spans="2:14" ht="1.5" customHeight="1">
      <c r="B550" s="57"/>
      <c r="C550" s="60"/>
      <c r="D550" s="60"/>
      <c r="E550" s="60"/>
      <c r="F550" s="60"/>
      <c r="G550" s="60"/>
      <c r="J550" s="99"/>
      <c r="K550" s="99"/>
      <c r="L550" s="99"/>
      <c r="M550" s="99"/>
      <c r="N550" s="43">
        <f t="shared" si="8"/>
        <v>0</v>
      </c>
    </row>
    <row r="551" spans="2:14" ht="1.5" customHeight="1">
      <c r="B551" s="57"/>
      <c r="C551" s="60"/>
      <c r="D551" s="60"/>
      <c r="E551" s="60"/>
      <c r="F551" s="60"/>
      <c r="G551" s="60"/>
      <c r="J551" s="99"/>
      <c r="K551" s="99"/>
      <c r="L551" s="99"/>
      <c r="M551" s="99"/>
      <c r="N551" s="43">
        <f t="shared" si="8"/>
        <v>0</v>
      </c>
    </row>
    <row r="552" spans="2:14" ht="1.5" customHeight="1">
      <c r="B552" s="57"/>
      <c r="C552" s="60"/>
      <c r="D552" s="60"/>
      <c r="E552" s="60"/>
      <c r="F552" s="60"/>
      <c r="G552" s="60"/>
      <c r="J552" s="99"/>
      <c r="K552" s="99"/>
      <c r="L552" s="99"/>
      <c r="M552" s="99"/>
      <c r="N552" s="43">
        <f t="shared" si="8"/>
        <v>0</v>
      </c>
    </row>
    <row r="553" spans="2:14" ht="1.5" customHeight="1">
      <c r="B553" s="57"/>
      <c r="C553" s="60"/>
      <c r="D553" s="60"/>
      <c r="E553" s="60"/>
      <c r="F553" s="60"/>
      <c r="G553" s="60"/>
      <c r="J553" s="99"/>
      <c r="K553" s="99"/>
      <c r="L553" s="99"/>
      <c r="M553" s="99"/>
      <c r="N553" s="43">
        <f t="shared" si="8"/>
        <v>0</v>
      </c>
    </row>
    <row r="554" spans="2:14" ht="1.5" customHeight="1">
      <c r="B554" s="57"/>
      <c r="C554" s="60"/>
      <c r="D554" s="60"/>
      <c r="E554" s="60"/>
      <c r="F554" s="60"/>
      <c r="G554" s="60"/>
      <c r="J554" s="99"/>
      <c r="K554" s="99"/>
      <c r="L554" s="99"/>
      <c r="M554" s="99"/>
      <c r="N554" s="43">
        <f t="shared" si="8"/>
        <v>0</v>
      </c>
    </row>
    <row r="555" spans="2:14" ht="1.5" customHeight="1">
      <c r="B555" s="57"/>
      <c r="C555" s="60"/>
      <c r="D555" s="60"/>
      <c r="E555" s="60"/>
      <c r="F555" s="60"/>
      <c r="G555" s="60"/>
      <c r="J555" s="99"/>
      <c r="K555" s="99"/>
      <c r="L555" s="99"/>
      <c r="M555" s="99"/>
      <c r="N555" s="43">
        <f t="shared" si="8"/>
        <v>0</v>
      </c>
    </row>
    <row r="556" spans="2:14" ht="1.5" customHeight="1">
      <c r="B556" s="57"/>
      <c r="C556" s="60"/>
      <c r="D556" s="60"/>
      <c r="E556" s="60"/>
      <c r="F556" s="60"/>
      <c r="G556" s="60"/>
      <c r="J556" s="99"/>
      <c r="K556" s="99"/>
      <c r="L556" s="99"/>
      <c r="M556" s="99"/>
      <c r="N556" s="43">
        <f t="shared" si="8"/>
        <v>0</v>
      </c>
    </row>
    <row r="557" spans="2:14" ht="1.5" customHeight="1">
      <c r="B557" s="57"/>
      <c r="C557" s="60"/>
      <c r="D557" s="60"/>
      <c r="E557" s="60"/>
      <c r="F557" s="60"/>
      <c r="G557" s="60"/>
      <c r="J557" s="99"/>
      <c r="K557" s="99"/>
      <c r="L557" s="99"/>
      <c r="M557" s="99"/>
      <c r="N557" s="43">
        <f t="shared" si="8"/>
        <v>0</v>
      </c>
    </row>
    <row r="558" spans="2:14" ht="1.5" customHeight="1">
      <c r="B558" s="57"/>
      <c r="C558" s="60"/>
      <c r="D558" s="60"/>
      <c r="E558" s="60"/>
      <c r="F558" s="60"/>
      <c r="G558" s="60"/>
      <c r="J558" s="99"/>
      <c r="K558" s="99"/>
      <c r="L558" s="99"/>
      <c r="M558" s="99"/>
      <c r="N558" s="43">
        <f t="shared" si="8"/>
        <v>0</v>
      </c>
    </row>
    <row r="559" spans="2:14" ht="1.5" customHeight="1">
      <c r="B559" s="57"/>
      <c r="C559" s="60"/>
      <c r="D559" s="60"/>
      <c r="E559" s="60"/>
      <c r="F559" s="60"/>
      <c r="G559" s="60"/>
      <c r="J559" s="99"/>
      <c r="K559" s="99"/>
      <c r="L559" s="99"/>
      <c r="M559" s="99"/>
      <c r="N559" s="43">
        <f t="shared" si="8"/>
        <v>0</v>
      </c>
    </row>
    <row r="560" spans="2:14" ht="1.5" customHeight="1">
      <c r="B560" s="57"/>
      <c r="C560" s="60"/>
      <c r="D560" s="60"/>
      <c r="E560" s="60"/>
      <c r="F560" s="60"/>
      <c r="G560" s="60"/>
      <c r="J560" s="99"/>
      <c r="K560" s="99"/>
      <c r="L560" s="99"/>
      <c r="M560" s="99"/>
      <c r="N560" s="43">
        <f t="shared" si="8"/>
        <v>0</v>
      </c>
    </row>
    <row r="561" spans="2:14" ht="1.5" customHeight="1">
      <c r="B561" s="57"/>
      <c r="C561" s="60"/>
      <c r="D561" s="60"/>
      <c r="E561" s="60"/>
      <c r="F561" s="60"/>
      <c r="G561" s="60"/>
      <c r="J561" s="99"/>
      <c r="K561" s="99"/>
      <c r="L561" s="99"/>
      <c r="M561" s="99"/>
      <c r="N561" s="43">
        <f t="shared" si="8"/>
        <v>0</v>
      </c>
    </row>
    <row r="562" spans="2:14" ht="1.5" customHeight="1">
      <c r="B562" s="57"/>
      <c r="C562" s="60"/>
      <c r="D562" s="60"/>
      <c r="E562" s="60"/>
      <c r="F562" s="60"/>
      <c r="G562" s="60"/>
      <c r="J562" s="99"/>
      <c r="K562" s="99"/>
      <c r="L562" s="99"/>
      <c r="M562" s="99"/>
      <c r="N562" s="43">
        <f t="shared" si="8"/>
        <v>0</v>
      </c>
    </row>
    <row r="563" spans="2:14" ht="1.5" customHeight="1">
      <c r="B563" s="57"/>
      <c r="C563" s="60"/>
      <c r="D563" s="60"/>
      <c r="E563" s="60"/>
      <c r="F563" s="60"/>
      <c r="G563" s="60"/>
      <c r="J563" s="99"/>
      <c r="K563" s="99"/>
      <c r="L563" s="99"/>
      <c r="M563" s="99"/>
      <c r="N563" s="43">
        <f t="shared" si="8"/>
        <v>0</v>
      </c>
    </row>
    <row r="564" spans="2:14" ht="1.5" customHeight="1">
      <c r="B564" s="57"/>
      <c r="C564" s="60"/>
      <c r="D564" s="60"/>
      <c r="E564" s="60"/>
      <c r="F564" s="60"/>
      <c r="G564" s="60"/>
      <c r="J564" s="99"/>
      <c r="K564" s="99"/>
      <c r="L564" s="99"/>
      <c r="M564" s="99"/>
      <c r="N564" s="43">
        <f t="shared" si="8"/>
        <v>0</v>
      </c>
    </row>
    <row r="565" spans="2:14" ht="1.5" customHeight="1">
      <c r="B565" s="57"/>
      <c r="C565" s="60"/>
      <c r="D565" s="60"/>
      <c r="E565" s="60"/>
      <c r="F565" s="60"/>
      <c r="G565" s="60"/>
      <c r="J565" s="99"/>
      <c r="K565" s="99"/>
      <c r="L565" s="99"/>
      <c r="M565" s="99"/>
      <c r="N565" s="43">
        <f t="shared" si="8"/>
        <v>0</v>
      </c>
    </row>
    <row r="566" spans="2:14" ht="1.5" customHeight="1">
      <c r="B566" s="57"/>
      <c r="C566" s="60"/>
      <c r="D566" s="60"/>
      <c r="E566" s="60"/>
      <c r="F566" s="60"/>
      <c r="G566" s="60"/>
      <c r="J566" s="99"/>
      <c r="K566" s="99"/>
      <c r="L566" s="99"/>
      <c r="M566" s="99"/>
      <c r="N566" s="43">
        <f t="shared" si="8"/>
        <v>0</v>
      </c>
    </row>
    <row r="567" spans="2:14" ht="1.5" customHeight="1">
      <c r="B567" s="57"/>
      <c r="C567" s="60"/>
      <c r="D567" s="60"/>
      <c r="E567" s="60"/>
      <c r="F567" s="60"/>
      <c r="G567" s="60"/>
      <c r="J567" s="99"/>
      <c r="K567" s="99"/>
      <c r="L567" s="99"/>
      <c r="M567" s="99"/>
      <c r="N567" s="43">
        <f t="shared" si="8"/>
        <v>0</v>
      </c>
    </row>
    <row r="568" spans="2:14" ht="1.5" customHeight="1">
      <c r="B568" s="57"/>
      <c r="C568" s="60"/>
      <c r="D568" s="60"/>
      <c r="E568" s="60"/>
      <c r="F568" s="60"/>
      <c r="G568" s="60"/>
      <c r="J568" s="99"/>
      <c r="K568" s="99"/>
      <c r="L568" s="99"/>
      <c r="M568" s="99"/>
      <c r="N568" s="43">
        <f t="shared" si="8"/>
        <v>0</v>
      </c>
    </row>
    <row r="569" spans="2:14" ht="1.5" customHeight="1">
      <c r="B569" s="57"/>
      <c r="C569" s="60"/>
      <c r="D569" s="60"/>
      <c r="E569" s="60"/>
      <c r="F569" s="60"/>
      <c r="G569" s="60"/>
      <c r="J569" s="99"/>
      <c r="K569" s="99"/>
      <c r="L569" s="99"/>
      <c r="M569" s="99"/>
      <c r="N569" s="43">
        <f t="shared" si="8"/>
        <v>0</v>
      </c>
    </row>
    <row r="570" spans="2:14" ht="1.5" customHeight="1">
      <c r="B570" s="57"/>
      <c r="C570" s="60"/>
      <c r="D570" s="60"/>
      <c r="E570" s="60"/>
      <c r="F570" s="60"/>
      <c r="G570" s="60"/>
      <c r="J570" s="99"/>
      <c r="K570" s="99"/>
      <c r="L570" s="99"/>
      <c r="M570" s="99"/>
      <c r="N570" s="43">
        <f t="shared" si="8"/>
        <v>0</v>
      </c>
    </row>
    <row r="571" spans="2:14" ht="1.5" customHeight="1">
      <c r="B571" s="57"/>
      <c r="C571" s="60"/>
      <c r="D571" s="60"/>
      <c r="E571" s="60"/>
      <c r="F571" s="60"/>
      <c r="G571" s="60"/>
      <c r="J571" s="99"/>
      <c r="K571" s="99"/>
      <c r="L571" s="99"/>
      <c r="M571" s="99"/>
      <c r="N571" s="43">
        <f t="shared" si="8"/>
        <v>0</v>
      </c>
    </row>
    <row r="572" spans="2:14" ht="1.5" customHeight="1">
      <c r="B572" s="57"/>
      <c r="C572" s="60"/>
      <c r="D572" s="60"/>
      <c r="E572" s="60"/>
      <c r="F572" s="60"/>
      <c r="G572" s="60"/>
      <c r="J572" s="99"/>
      <c r="K572" s="99"/>
      <c r="L572" s="99"/>
      <c r="M572" s="99"/>
      <c r="N572" s="43">
        <f t="shared" si="8"/>
        <v>0</v>
      </c>
    </row>
    <row r="573" spans="2:14" ht="1.5" customHeight="1">
      <c r="B573" s="57"/>
      <c r="C573" s="60"/>
      <c r="D573" s="60"/>
      <c r="E573" s="60"/>
      <c r="F573" s="60"/>
      <c r="G573" s="60"/>
      <c r="J573" s="99"/>
      <c r="K573" s="99"/>
      <c r="L573" s="99"/>
      <c r="M573" s="99"/>
      <c r="N573" s="43">
        <f t="shared" si="8"/>
        <v>0</v>
      </c>
    </row>
    <row r="574" spans="2:14" ht="1.5" customHeight="1">
      <c r="B574" s="57"/>
      <c r="C574" s="60"/>
      <c r="D574" s="60"/>
      <c r="E574" s="60"/>
      <c r="F574" s="60"/>
      <c r="G574" s="60"/>
      <c r="J574" s="99"/>
      <c r="K574" s="99"/>
      <c r="L574" s="99"/>
      <c r="M574" s="99"/>
      <c r="N574" s="43">
        <f t="shared" si="8"/>
        <v>0</v>
      </c>
    </row>
    <row r="575" spans="2:14" ht="1.5" customHeight="1">
      <c r="B575" s="57"/>
      <c r="C575" s="60"/>
      <c r="D575" s="60"/>
      <c r="E575" s="60"/>
      <c r="F575" s="60"/>
      <c r="G575" s="60"/>
      <c r="J575" s="99"/>
      <c r="K575" s="99"/>
      <c r="L575" s="99"/>
      <c r="M575" s="99"/>
      <c r="N575" s="43">
        <f t="shared" si="8"/>
        <v>0</v>
      </c>
    </row>
    <row r="576" spans="2:14" ht="1.5" customHeight="1">
      <c r="B576" s="57"/>
      <c r="C576" s="60"/>
      <c r="D576" s="60"/>
      <c r="E576" s="60"/>
      <c r="F576" s="60"/>
      <c r="G576" s="60"/>
      <c r="J576" s="99"/>
      <c r="K576" s="99"/>
      <c r="L576" s="99"/>
      <c r="M576" s="99"/>
      <c r="N576" s="43">
        <f t="shared" si="8"/>
        <v>0</v>
      </c>
    </row>
    <row r="577" spans="2:14" ht="1.5" customHeight="1">
      <c r="B577" s="57"/>
      <c r="C577" s="60"/>
      <c r="D577" s="60"/>
      <c r="E577" s="60"/>
      <c r="F577" s="60"/>
      <c r="G577" s="60"/>
      <c r="J577" s="99"/>
      <c r="K577" s="99"/>
      <c r="L577" s="99"/>
      <c r="M577" s="99"/>
      <c r="N577" s="43">
        <f t="shared" si="8"/>
        <v>0</v>
      </c>
    </row>
    <row r="578" spans="2:14" ht="1.5" customHeight="1">
      <c r="B578" s="57"/>
      <c r="C578" s="60"/>
      <c r="D578" s="60"/>
      <c r="E578" s="60"/>
      <c r="F578" s="60"/>
      <c r="G578" s="60"/>
      <c r="J578" s="99"/>
      <c r="K578" s="99"/>
      <c r="L578" s="99"/>
      <c r="M578" s="99"/>
      <c r="N578" s="43">
        <f t="shared" si="8"/>
        <v>0</v>
      </c>
    </row>
    <row r="579" spans="2:14" ht="1.5" customHeight="1">
      <c r="B579" s="57"/>
      <c r="C579" s="60"/>
      <c r="D579" s="60"/>
      <c r="E579" s="60"/>
      <c r="F579" s="60"/>
      <c r="G579" s="60"/>
      <c r="J579" s="99"/>
      <c r="K579" s="99"/>
      <c r="L579" s="99"/>
      <c r="M579" s="99"/>
      <c r="N579" s="43">
        <f t="shared" si="8"/>
        <v>0</v>
      </c>
    </row>
    <row r="580" spans="2:14" ht="1.5" customHeight="1">
      <c r="B580" s="57"/>
      <c r="C580" s="60"/>
      <c r="D580" s="60"/>
      <c r="E580" s="60"/>
      <c r="F580" s="60"/>
      <c r="G580" s="60"/>
      <c r="J580" s="99"/>
      <c r="K580" s="99"/>
      <c r="L580" s="99"/>
      <c r="M580" s="99"/>
      <c r="N580" s="43">
        <f t="shared" si="8"/>
        <v>0</v>
      </c>
    </row>
    <row r="581" spans="2:14" ht="1.5" customHeight="1">
      <c r="B581" s="57"/>
      <c r="C581" s="60"/>
      <c r="D581" s="60"/>
      <c r="E581" s="60"/>
      <c r="F581" s="60"/>
      <c r="G581" s="60"/>
      <c r="J581" s="99"/>
      <c r="K581" s="99"/>
      <c r="L581" s="99"/>
      <c r="M581" s="99"/>
      <c r="N581" s="43">
        <f t="shared" si="8"/>
        <v>0</v>
      </c>
    </row>
    <row r="582" spans="2:14" ht="1.5" customHeight="1">
      <c r="B582" s="57"/>
      <c r="C582" s="60"/>
      <c r="D582" s="60"/>
      <c r="E582" s="60"/>
      <c r="F582" s="60"/>
      <c r="G582" s="60"/>
      <c r="J582" s="99"/>
      <c r="K582" s="99"/>
      <c r="L582" s="99"/>
      <c r="M582" s="99"/>
      <c r="N582" s="43">
        <f t="shared" si="8"/>
        <v>0</v>
      </c>
    </row>
    <row r="583" spans="2:14" ht="1.5" customHeight="1">
      <c r="B583" s="57"/>
      <c r="C583" s="60"/>
      <c r="D583" s="60"/>
      <c r="E583" s="60"/>
      <c r="F583" s="60"/>
      <c r="G583" s="60"/>
      <c r="J583" s="99"/>
      <c r="K583" s="99"/>
      <c r="L583" s="99"/>
      <c r="M583" s="99"/>
      <c r="N583" s="43">
        <f t="shared" si="8"/>
        <v>0</v>
      </c>
    </row>
    <row r="584" spans="2:14" ht="1.5" customHeight="1">
      <c r="B584" s="57"/>
      <c r="C584" s="60"/>
      <c r="D584" s="60"/>
      <c r="E584" s="60"/>
      <c r="F584" s="60"/>
      <c r="G584" s="60"/>
      <c r="J584" s="99"/>
      <c r="K584" s="99"/>
      <c r="L584" s="99"/>
      <c r="M584" s="99"/>
      <c r="N584" s="43">
        <f t="shared" si="8"/>
        <v>0</v>
      </c>
    </row>
    <row r="585" spans="2:14" ht="1.5" customHeight="1">
      <c r="B585" s="57"/>
      <c r="C585" s="60"/>
      <c r="D585" s="60"/>
      <c r="E585" s="60"/>
      <c r="F585" s="60"/>
      <c r="G585" s="60"/>
      <c r="J585" s="99"/>
      <c r="K585" s="99"/>
      <c r="L585" s="99"/>
      <c r="M585" s="99"/>
      <c r="N585" s="43">
        <f t="shared" si="8"/>
        <v>0</v>
      </c>
    </row>
    <row r="586" spans="2:14" ht="1.5" customHeight="1">
      <c r="B586" s="57"/>
      <c r="C586" s="60"/>
      <c r="D586" s="60"/>
      <c r="E586" s="60"/>
      <c r="F586" s="60"/>
      <c r="G586" s="60"/>
      <c r="J586" s="99"/>
      <c r="K586" s="99"/>
      <c r="L586" s="99"/>
      <c r="M586" s="99"/>
      <c r="N586" s="43">
        <f t="shared" si="8"/>
        <v>0</v>
      </c>
    </row>
    <row r="587" spans="2:14" ht="1.5" customHeight="1">
      <c r="B587" s="57"/>
      <c r="C587" s="60"/>
      <c r="D587" s="60"/>
      <c r="E587" s="60"/>
      <c r="F587" s="60"/>
      <c r="G587" s="60"/>
      <c r="J587" s="99"/>
      <c r="K587" s="99"/>
      <c r="L587" s="99"/>
      <c r="M587" s="99"/>
      <c r="N587" s="43">
        <f t="shared" ref="N587:N650" si="9">IF($L$4=$C$10,C587,IF(D587="","",B587))</f>
        <v>0</v>
      </c>
    </row>
    <row r="588" spans="2:14" ht="1.5" customHeight="1">
      <c r="B588" s="57"/>
      <c r="C588" s="60"/>
      <c r="D588" s="60"/>
      <c r="E588" s="60"/>
      <c r="F588" s="60"/>
      <c r="G588" s="60"/>
      <c r="J588" s="99"/>
      <c r="K588" s="99"/>
      <c r="L588" s="99"/>
      <c r="M588" s="99"/>
      <c r="N588" s="43">
        <f t="shared" si="9"/>
        <v>0</v>
      </c>
    </row>
    <row r="589" spans="2:14" ht="1.5" customHeight="1">
      <c r="B589" s="57"/>
      <c r="C589" s="60"/>
      <c r="D589" s="60"/>
      <c r="E589" s="60"/>
      <c r="F589" s="60"/>
      <c r="G589" s="60"/>
      <c r="J589" s="99"/>
      <c r="K589" s="99"/>
      <c r="L589" s="99"/>
      <c r="M589" s="99"/>
      <c r="N589" s="43">
        <f t="shared" si="9"/>
        <v>0</v>
      </c>
    </row>
    <row r="590" spans="2:14" ht="1.5" customHeight="1">
      <c r="B590" s="57"/>
      <c r="C590" s="60"/>
      <c r="D590" s="60"/>
      <c r="E590" s="60"/>
      <c r="F590" s="60"/>
      <c r="G590" s="60"/>
      <c r="J590" s="99"/>
      <c r="K590" s="99"/>
      <c r="L590" s="99"/>
      <c r="M590" s="99"/>
      <c r="N590" s="43">
        <f t="shared" si="9"/>
        <v>0</v>
      </c>
    </row>
    <row r="591" spans="2:14" ht="1.5" customHeight="1">
      <c r="B591" s="57"/>
      <c r="C591" s="60"/>
      <c r="D591" s="60"/>
      <c r="E591" s="60"/>
      <c r="F591" s="60"/>
      <c r="G591" s="60"/>
      <c r="J591" s="99"/>
      <c r="K591" s="99"/>
      <c r="L591" s="99"/>
      <c r="M591" s="99"/>
      <c r="N591" s="43">
        <f t="shared" si="9"/>
        <v>0</v>
      </c>
    </row>
    <row r="592" spans="2:14" ht="1.5" customHeight="1">
      <c r="B592" s="57"/>
      <c r="C592" s="60"/>
      <c r="D592" s="60"/>
      <c r="E592" s="60"/>
      <c r="F592" s="60"/>
      <c r="G592" s="60"/>
      <c r="J592" s="99"/>
      <c r="K592" s="99"/>
      <c r="L592" s="99"/>
      <c r="M592" s="99"/>
      <c r="N592" s="43">
        <f t="shared" si="9"/>
        <v>0</v>
      </c>
    </row>
    <row r="593" spans="2:14" ht="1.5" customHeight="1">
      <c r="B593" s="57"/>
      <c r="C593" s="60"/>
      <c r="D593" s="60"/>
      <c r="E593" s="60"/>
      <c r="F593" s="60"/>
      <c r="G593" s="60"/>
      <c r="J593" s="99"/>
      <c r="K593" s="99"/>
      <c r="L593" s="99"/>
      <c r="M593" s="99"/>
      <c r="N593" s="43">
        <f t="shared" si="9"/>
        <v>0</v>
      </c>
    </row>
    <row r="594" spans="2:14" ht="1.5" customHeight="1">
      <c r="B594" s="57"/>
      <c r="C594" s="60"/>
      <c r="D594" s="60"/>
      <c r="E594" s="60"/>
      <c r="F594" s="60"/>
      <c r="G594" s="60"/>
      <c r="J594" s="99"/>
      <c r="K594" s="99"/>
      <c r="L594" s="99"/>
      <c r="M594" s="99"/>
      <c r="N594" s="43">
        <f t="shared" si="9"/>
        <v>0</v>
      </c>
    </row>
    <row r="595" spans="2:14" ht="1.5" customHeight="1">
      <c r="B595" s="57"/>
      <c r="C595" s="60"/>
      <c r="D595" s="60"/>
      <c r="E595" s="60"/>
      <c r="F595" s="60"/>
      <c r="G595" s="60"/>
      <c r="J595" s="99"/>
      <c r="K595" s="99"/>
      <c r="L595" s="99"/>
      <c r="M595" s="99"/>
      <c r="N595" s="43">
        <f t="shared" si="9"/>
        <v>0</v>
      </c>
    </row>
    <row r="596" spans="2:14" ht="1.5" customHeight="1">
      <c r="B596" s="57"/>
      <c r="C596" s="60"/>
      <c r="D596" s="60"/>
      <c r="E596" s="60"/>
      <c r="F596" s="60"/>
      <c r="G596" s="60"/>
      <c r="J596" s="99"/>
      <c r="K596" s="99"/>
      <c r="L596" s="99"/>
      <c r="M596" s="99"/>
      <c r="N596" s="43">
        <f t="shared" si="9"/>
        <v>0</v>
      </c>
    </row>
    <row r="597" spans="2:14" ht="1.5" customHeight="1">
      <c r="B597" s="57"/>
      <c r="C597" s="60"/>
      <c r="D597" s="60"/>
      <c r="E597" s="60"/>
      <c r="F597" s="60"/>
      <c r="G597" s="60"/>
      <c r="J597" s="99"/>
      <c r="K597" s="99"/>
      <c r="L597" s="99"/>
      <c r="M597" s="99"/>
      <c r="N597" s="43">
        <f t="shared" si="9"/>
        <v>0</v>
      </c>
    </row>
    <row r="598" spans="2:14" ht="1.5" customHeight="1">
      <c r="B598" s="57"/>
      <c r="C598" s="60"/>
      <c r="D598" s="60"/>
      <c r="E598" s="60"/>
      <c r="F598" s="60"/>
      <c r="G598" s="60"/>
      <c r="J598" s="99"/>
      <c r="K598" s="99"/>
      <c r="L598" s="99"/>
      <c r="M598" s="99"/>
      <c r="N598" s="43">
        <f t="shared" si="9"/>
        <v>0</v>
      </c>
    </row>
    <row r="599" spans="2:14" ht="1.5" customHeight="1">
      <c r="B599" s="57"/>
      <c r="C599" s="60"/>
      <c r="D599" s="60"/>
      <c r="E599" s="60"/>
      <c r="F599" s="60"/>
      <c r="G599" s="60"/>
      <c r="J599" s="99"/>
      <c r="K599" s="99"/>
      <c r="L599" s="99"/>
      <c r="M599" s="99"/>
      <c r="N599" s="43">
        <f t="shared" si="9"/>
        <v>0</v>
      </c>
    </row>
    <row r="600" spans="2:14" ht="1.5" customHeight="1">
      <c r="B600" s="57"/>
      <c r="C600" s="60"/>
      <c r="D600" s="60"/>
      <c r="E600" s="60"/>
      <c r="F600" s="60"/>
      <c r="G600" s="60"/>
      <c r="J600" s="99"/>
      <c r="K600" s="99"/>
      <c r="L600" s="99"/>
      <c r="M600" s="99"/>
      <c r="N600" s="43">
        <f t="shared" si="9"/>
        <v>0</v>
      </c>
    </row>
    <row r="601" spans="2:14" ht="1.5" customHeight="1">
      <c r="B601" s="57"/>
      <c r="C601" s="60"/>
      <c r="D601" s="60"/>
      <c r="E601" s="60"/>
      <c r="F601" s="60"/>
      <c r="G601" s="60"/>
      <c r="J601" s="99"/>
      <c r="K601" s="99"/>
      <c r="L601" s="99"/>
      <c r="M601" s="99"/>
      <c r="N601" s="43">
        <f t="shared" si="9"/>
        <v>0</v>
      </c>
    </row>
    <row r="602" spans="2:14" ht="1.5" customHeight="1">
      <c r="B602" s="57"/>
      <c r="C602" s="60"/>
      <c r="D602" s="60"/>
      <c r="E602" s="60"/>
      <c r="F602" s="60"/>
      <c r="G602" s="60"/>
      <c r="J602" s="99"/>
      <c r="K602" s="99"/>
      <c r="L602" s="99"/>
      <c r="M602" s="99"/>
      <c r="N602" s="43">
        <f t="shared" si="9"/>
        <v>0</v>
      </c>
    </row>
    <row r="603" spans="2:14" ht="1.5" customHeight="1">
      <c r="B603" s="57"/>
      <c r="C603" s="60"/>
      <c r="D603" s="60"/>
      <c r="E603" s="60"/>
      <c r="F603" s="60"/>
      <c r="G603" s="60"/>
      <c r="J603" s="99"/>
      <c r="K603" s="99"/>
      <c r="L603" s="99"/>
      <c r="M603" s="99"/>
      <c r="N603" s="43">
        <f t="shared" si="9"/>
        <v>0</v>
      </c>
    </row>
    <row r="604" spans="2:14" ht="1.5" customHeight="1">
      <c r="B604" s="57"/>
      <c r="C604" s="60"/>
      <c r="D604" s="60"/>
      <c r="E604" s="60"/>
      <c r="F604" s="60"/>
      <c r="G604" s="60"/>
      <c r="J604" s="99"/>
      <c r="K604" s="99"/>
      <c r="L604" s="99"/>
      <c r="M604" s="99"/>
      <c r="N604" s="43">
        <f t="shared" si="9"/>
        <v>0</v>
      </c>
    </row>
    <row r="605" spans="2:14" ht="1.5" customHeight="1">
      <c r="B605" s="57"/>
      <c r="C605" s="60"/>
      <c r="D605" s="60"/>
      <c r="E605" s="60"/>
      <c r="F605" s="60"/>
      <c r="G605" s="60"/>
      <c r="J605" s="99"/>
      <c r="K605" s="99"/>
      <c r="L605" s="99"/>
      <c r="M605" s="99"/>
      <c r="N605" s="43">
        <f t="shared" si="9"/>
        <v>0</v>
      </c>
    </row>
    <row r="606" spans="2:14" ht="1.5" customHeight="1">
      <c r="B606" s="57"/>
      <c r="C606" s="60"/>
      <c r="D606" s="60"/>
      <c r="E606" s="60"/>
      <c r="F606" s="60"/>
      <c r="G606" s="60"/>
      <c r="J606" s="99"/>
      <c r="K606" s="99"/>
      <c r="L606" s="99"/>
      <c r="M606" s="99"/>
      <c r="N606" s="43">
        <f t="shared" si="9"/>
        <v>0</v>
      </c>
    </row>
    <row r="607" spans="2:14" ht="1.5" customHeight="1">
      <c r="B607" s="57"/>
      <c r="C607" s="60"/>
      <c r="D607" s="60"/>
      <c r="E607" s="60"/>
      <c r="F607" s="60"/>
      <c r="G607" s="60"/>
      <c r="J607" s="99"/>
      <c r="K607" s="99"/>
      <c r="L607" s="99"/>
      <c r="M607" s="99"/>
      <c r="N607" s="43">
        <f t="shared" si="9"/>
        <v>0</v>
      </c>
    </row>
    <row r="608" spans="2:14" ht="1.5" customHeight="1">
      <c r="B608" s="57"/>
      <c r="C608" s="60"/>
      <c r="D608" s="60"/>
      <c r="E608" s="60"/>
      <c r="F608" s="60"/>
      <c r="G608" s="60"/>
      <c r="J608" s="99"/>
      <c r="K608" s="99"/>
      <c r="L608" s="99"/>
      <c r="M608" s="99"/>
      <c r="N608" s="43">
        <f t="shared" si="9"/>
        <v>0</v>
      </c>
    </row>
    <row r="609" spans="2:14" ht="1.5" customHeight="1">
      <c r="B609" s="57"/>
      <c r="C609" s="60"/>
      <c r="D609" s="60"/>
      <c r="E609" s="60"/>
      <c r="F609" s="60"/>
      <c r="G609" s="60"/>
      <c r="J609" s="99"/>
      <c r="K609" s="99"/>
      <c r="L609" s="99"/>
      <c r="M609" s="99"/>
      <c r="N609" s="43">
        <f t="shared" si="9"/>
        <v>0</v>
      </c>
    </row>
    <row r="610" spans="2:14" ht="1.5" customHeight="1">
      <c r="B610" s="57"/>
      <c r="C610" s="60"/>
      <c r="D610" s="60"/>
      <c r="E610" s="60"/>
      <c r="F610" s="60"/>
      <c r="G610" s="60"/>
      <c r="J610" s="99"/>
      <c r="K610" s="99"/>
      <c r="L610" s="99"/>
      <c r="M610" s="99"/>
      <c r="N610" s="43">
        <f t="shared" si="9"/>
        <v>0</v>
      </c>
    </row>
    <row r="611" spans="2:14" ht="1.5" customHeight="1">
      <c r="B611" s="57"/>
      <c r="C611" s="60"/>
      <c r="D611" s="60"/>
      <c r="E611" s="60"/>
      <c r="F611" s="60"/>
      <c r="G611" s="60"/>
      <c r="J611" s="99"/>
      <c r="K611" s="99"/>
      <c r="L611" s="99"/>
      <c r="M611" s="99"/>
      <c r="N611" s="43">
        <f t="shared" si="9"/>
        <v>0</v>
      </c>
    </row>
    <row r="612" spans="2:14" ht="1.5" customHeight="1">
      <c r="B612" s="57"/>
      <c r="C612" s="60"/>
      <c r="D612" s="60"/>
      <c r="E612" s="60"/>
      <c r="F612" s="60"/>
      <c r="G612" s="60"/>
      <c r="J612" s="99"/>
      <c r="K612" s="99"/>
      <c r="L612" s="99"/>
      <c r="M612" s="99"/>
      <c r="N612" s="43">
        <f t="shared" si="9"/>
        <v>0</v>
      </c>
    </row>
    <row r="613" spans="2:14" ht="1.5" customHeight="1">
      <c r="B613" s="57"/>
      <c r="C613" s="60"/>
      <c r="D613" s="60"/>
      <c r="E613" s="60"/>
      <c r="F613" s="60"/>
      <c r="G613" s="60"/>
      <c r="J613" s="99"/>
      <c r="K613" s="99"/>
      <c r="L613" s="99"/>
      <c r="M613" s="99"/>
      <c r="N613" s="43">
        <f t="shared" si="9"/>
        <v>0</v>
      </c>
    </row>
    <row r="614" spans="2:14" ht="1.5" customHeight="1">
      <c r="B614" s="57"/>
      <c r="C614" s="60"/>
      <c r="D614" s="60"/>
      <c r="E614" s="60"/>
      <c r="F614" s="60"/>
      <c r="G614" s="60"/>
      <c r="J614" s="99"/>
      <c r="K614" s="99"/>
      <c r="L614" s="99"/>
      <c r="M614" s="99"/>
      <c r="N614" s="43">
        <f t="shared" si="9"/>
        <v>0</v>
      </c>
    </row>
    <row r="615" spans="2:14" ht="1.5" customHeight="1">
      <c r="B615" s="57"/>
      <c r="C615" s="60"/>
      <c r="D615" s="60"/>
      <c r="E615" s="60"/>
      <c r="F615" s="60"/>
      <c r="G615" s="60"/>
      <c r="J615" s="99"/>
      <c r="K615" s="99"/>
      <c r="L615" s="99"/>
      <c r="M615" s="99"/>
      <c r="N615" s="43">
        <f t="shared" si="9"/>
        <v>0</v>
      </c>
    </row>
    <row r="616" spans="2:14" ht="1.5" customHeight="1">
      <c r="B616" s="57"/>
      <c r="C616" s="60"/>
      <c r="D616" s="60"/>
      <c r="E616" s="60"/>
      <c r="F616" s="60"/>
      <c r="G616" s="60"/>
      <c r="J616" s="99"/>
      <c r="K616" s="99"/>
      <c r="L616" s="99"/>
      <c r="M616" s="99"/>
      <c r="N616" s="43">
        <f t="shared" si="9"/>
        <v>0</v>
      </c>
    </row>
    <row r="617" spans="2:14" ht="1.5" customHeight="1">
      <c r="B617" s="57"/>
      <c r="C617" s="60"/>
      <c r="D617" s="60"/>
      <c r="E617" s="60"/>
      <c r="F617" s="60"/>
      <c r="G617" s="60"/>
      <c r="J617" s="99"/>
      <c r="K617" s="99"/>
      <c r="L617" s="99"/>
      <c r="M617" s="99"/>
      <c r="N617" s="43">
        <f t="shared" si="9"/>
        <v>0</v>
      </c>
    </row>
    <row r="618" spans="2:14" ht="1.5" customHeight="1">
      <c r="B618" s="57"/>
      <c r="C618" s="60"/>
      <c r="D618" s="60"/>
      <c r="E618" s="60"/>
      <c r="F618" s="60"/>
      <c r="G618" s="60"/>
      <c r="J618" s="99"/>
      <c r="K618" s="99"/>
      <c r="L618" s="99"/>
      <c r="M618" s="99"/>
      <c r="N618" s="43">
        <f t="shared" si="9"/>
        <v>0</v>
      </c>
    </row>
    <row r="619" spans="2:14" ht="1.5" customHeight="1">
      <c r="B619" s="57"/>
      <c r="C619" s="60"/>
      <c r="D619" s="60"/>
      <c r="E619" s="60"/>
      <c r="F619" s="60"/>
      <c r="G619" s="60"/>
      <c r="J619" s="99"/>
      <c r="K619" s="99"/>
      <c r="L619" s="99"/>
      <c r="M619" s="99"/>
      <c r="N619" s="43">
        <f t="shared" si="9"/>
        <v>0</v>
      </c>
    </row>
    <row r="620" spans="2:14" ht="1.5" customHeight="1">
      <c r="B620" s="57"/>
      <c r="C620" s="60"/>
      <c r="D620" s="60"/>
      <c r="E620" s="60"/>
      <c r="F620" s="60"/>
      <c r="G620" s="60"/>
      <c r="J620" s="99"/>
      <c r="K620" s="99"/>
      <c r="L620" s="99"/>
      <c r="M620" s="99"/>
      <c r="N620" s="43">
        <f t="shared" si="9"/>
        <v>0</v>
      </c>
    </row>
    <row r="621" spans="2:14" ht="1.5" customHeight="1">
      <c r="B621" s="57"/>
      <c r="C621" s="60"/>
      <c r="D621" s="60"/>
      <c r="E621" s="60"/>
      <c r="F621" s="60"/>
      <c r="G621" s="60"/>
      <c r="J621" s="99"/>
      <c r="K621" s="99"/>
      <c r="L621" s="99"/>
      <c r="M621" s="99"/>
      <c r="N621" s="43">
        <f t="shared" si="9"/>
        <v>0</v>
      </c>
    </row>
    <row r="622" spans="2:14" ht="1.5" customHeight="1">
      <c r="B622" s="57"/>
      <c r="C622" s="60"/>
      <c r="D622" s="60"/>
      <c r="E622" s="60"/>
      <c r="F622" s="60"/>
      <c r="G622" s="60"/>
      <c r="J622" s="99"/>
      <c r="K622" s="99"/>
      <c r="L622" s="99"/>
      <c r="M622" s="99"/>
      <c r="N622" s="43">
        <f t="shared" si="9"/>
        <v>0</v>
      </c>
    </row>
    <row r="623" spans="2:14" ht="1.5" customHeight="1">
      <c r="B623" s="57"/>
      <c r="C623" s="60"/>
      <c r="D623" s="60"/>
      <c r="E623" s="60"/>
      <c r="F623" s="60"/>
      <c r="G623" s="60"/>
      <c r="J623" s="99"/>
      <c r="K623" s="99"/>
      <c r="L623" s="99"/>
      <c r="M623" s="99"/>
      <c r="N623" s="43">
        <f t="shared" si="9"/>
        <v>0</v>
      </c>
    </row>
    <row r="624" spans="2:14" ht="1.5" customHeight="1">
      <c r="B624" s="57"/>
      <c r="C624" s="60"/>
      <c r="D624" s="60"/>
      <c r="E624" s="60"/>
      <c r="F624" s="60"/>
      <c r="G624" s="60"/>
      <c r="J624" s="99"/>
      <c r="K624" s="99"/>
      <c r="L624" s="99"/>
      <c r="M624" s="99"/>
      <c r="N624" s="43">
        <f t="shared" si="9"/>
        <v>0</v>
      </c>
    </row>
    <row r="625" spans="2:14" ht="1.5" customHeight="1">
      <c r="B625" s="57"/>
      <c r="C625" s="60"/>
      <c r="D625" s="60"/>
      <c r="E625" s="60"/>
      <c r="F625" s="60"/>
      <c r="G625" s="60"/>
      <c r="J625" s="99"/>
      <c r="K625" s="99"/>
      <c r="L625" s="99"/>
      <c r="M625" s="99"/>
      <c r="N625" s="43">
        <f t="shared" si="9"/>
        <v>0</v>
      </c>
    </row>
    <row r="626" spans="2:14" ht="1.5" customHeight="1">
      <c r="B626" s="57"/>
      <c r="C626" s="60"/>
      <c r="D626" s="60"/>
      <c r="E626" s="60"/>
      <c r="F626" s="60"/>
      <c r="G626" s="60"/>
      <c r="J626" s="99"/>
      <c r="K626" s="99"/>
      <c r="L626" s="99"/>
      <c r="M626" s="99"/>
      <c r="N626" s="43">
        <f t="shared" si="9"/>
        <v>0</v>
      </c>
    </row>
    <row r="627" spans="2:14" ht="1.5" customHeight="1">
      <c r="B627" s="57"/>
      <c r="C627" s="60"/>
      <c r="D627" s="60"/>
      <c r="E627" s="60"/>
      <c r="F627" s="60"/>
      <c r="G627" s="60"/>
      <c r="J627" s="99"/>
      <c r="K627" s="99"/>
      <c r="L627" s="99"/>
      <c r="M627" s="99"/>
      <c r="N627" s="43">
        <f t="shared" si="9"/>
        <v>0</v>
      </c>
    </row>
    <row r="628" spans="2:14" ht="1.5" customHeight="1">
      <c r="B628" s="57"/>
      <c r="C628" s="60"/>
      <c r="D628" s="60"/>
      <c r="E628" s="60"/>
      <c r="F628" s="60"/>
      <c r="G628" s="60"/>
      <c r="J628" s="99"/>
      <c r="K628" s="99"/>
      <c r="L628" s="99"/>
      <c r="M628" s="99"/>
      <c r="N628" s="43">
        <f t="shared" si="9"/>
        <v>0</v>
      </c>
    </row>
    <row r="629" spans="2:14" ht="1.5" customHeight="1">
      <c r="B629" s="57"/>
      <c r="C629" s="60"/>
      <c r="D629" s="60"/>
      <c r="E629" s="60"/>
      <c r="F629" s="60"/>
      <c r="G629" s="60"/>
      <c r="J629" s="99"/>
      <c r="K629" s="99"/>
      <c r="L629" s="99"/>
      <c r="M629" s="99"/>
      <c r="N629" s="43">
        <f t="shared" si="9"/>
        <v>0</v>
      </c>
    </row>
    <row r="630" spans="2:14" ht="1.5" customHeight="1">
      <c r="B630" s="57"/>
      <c r="C630" s="60"/>
      <c r="D630" s="60"/>
      <c r="E630" s="60"/>
      <c r="F630" s="60"/>
      <c r="G630" s="60"/>
      <c r="J630" s="99"/>
      <c r="K630" s="99"/>
      <c r="L630" s="99"/>
      <c r="M630" s="99"/>
      <c r="N630" s="43">
        <f t="shared" si="9"/>
        <v>0</v>
      </c>
    </row>
    <row r="631" spans="2:14" ht="1.5" customHeight="1">
      <c r="B631" s="57"/>
      <c r="C631" s="60"/>
      <c r="D631" s="60"/>
      <c r="E631" s="60"/>
      <c r="F631" s="60"/>
      <c r="G631" s="60"/>
      <c r="J631" s="99"/>
      <c r="K631" s="99"/>
      <c r="L631" s="99"/>
      <c r="M631" s="99"/>
      <c r="N631" s="43">
        <f t="shared" si="9"/>
        <v>0</v>
      </c>
    </row>
    <row r="632" spans="2:14" ht="1.5" customHeight="1">
      <c r="B632" s="57"/>
      <c r="C632" s="60"/>
      <c r="D632" s="60"/>
      <c r="E632" s="60"/>
      <c r="F632" s="60"/>
      <c r="G632" s="60"/>
      <c r="J632" s="99"/>
      <c r="K632" s="99"/>
      <c r="L632" s="99"/>
      <c r="M632" s="99"/>
      <c r="N632" s="43">
        <f t="shared" si="9"/>
        <v>0</v>
      </c>
    </row>
    <row r="633" spans="2:14" ht="1.5" customHeight="1">
      <c r="B633" s="57"/>
      <c r="C633" s="60"/>
      <c r="D633" s="60"/>
      <c r="E633" s="60"/>
      <c r="F633" s="60"/>
      <c r="G633" s="60"/>
      <c r="J633" s="99"/>
      <c r="K633" s="99"/>
      <c r="L633" s="99"/>
      <c r="M633" s="99"/>
      <c r="N633" s="43">
        <f t="shared" si="9"/>
        <v>0</v>
      </c>
    </row>
    <row r="634" spans="2:14" ht="1.5" customHeight="1">
      <c r="B634" s="57"/>
      <c r="C634" s="60"/>
      <c r="D634" s="60"/>
      <c r="E634" s="60"/>
      <c r="F634" s="60"/>
      <c r="G634" s="60"/>
      <c r="J634" s="99"/>
      <c r="K634" s="99"/>
      <c r="L634" s="99"/>
      <c r="M634" s="99"/>
      <c r="N634" s="43">
        <f t="shared" si="9"/>
        <v>0</v>
      </c>
    </row>
    <row r="635" spans="2:14" ht="1.5" customHeight="1">
      <c r="B635" s="57"/>
      <c r="C635" s="60"/>
      <c r="D635" s="60"/>
      <c r="E635" s="60"/>
      <c r="F635" s="60"/>
      <c r="G635" s="60"/>
      <c r="J635" s="99"/>
      <c r="K635" s="99"/>
      <c r="L635" s="99"/>
      <c r="M635" s="99"/>
      <c r="N635" s="43">
        <f t="shared" si="9"/>
        <v>0</v>
      </c>
    </row>
    <row r="636" spans="2:14" ht="1.5" customHeight="1">
      <c r="B636" s="57"/>
      <c r="C636" s="60"/>
      <c r="D636" s="60"/>
      <c r="E636" s="60"/>
      <c r="F636" s="60"/>
      <c r="G636" s="60"/>
      <c r="J636" s="99"/>
      <c r="K636" s="99"/>
      <c r="L636" s="99"/>
      <c r="M636" s="99"/>
      <c r="N636" s="43">
        <f t="shared" si="9"/>
        <v>0</v>
      </c>
    </row>
    <row r="637" spans="2:14" ht="1.5" customHeight="1">
      <c r="B637" s="57"/>
      <c r="C637" s="60"/>
      <c r="D637" s="60"/>
      <c r="E637" s="60"/>
      <c r="F637" s="60"/>
      <c r="G637" s="60"/>
      <c r="J637" s="99"/>
      <c r="K637" s="99"/>
      <c r="L637" s="99"/>
      <c r="M637" s="99"/>
      <c r="N637" s="43">
        <f t="shared" si="9"/>
        <v>0</v>
      </c>
    </row>
    <row r="638" spans="2:14" ht="1.5" customHeight="1">
      <c r="B638" s="57"/>
      <c r="C638" s="60"/>
      <c r="D638" s="60"/>
      <c r="E638" s="60"/>
      <c r="F638" s="60"/>
      <c r="G638" s="60"/>
      <c r="J638" s="99"/>
      <c r="K638" s="99"/>
      <c r="L638" s="99"/>
      <c r="M638" s="99"/>
      <c r="N638" s="43">
        <f t="shared" si="9"/>
        <v>0</v>
      </c>
    </row>
    <row r="639" spans="2:14" ht="1.5" customHeight="1">
      <c r="B639" s="57"/>
      <c r="C639" s="60"/>
      <c r="D639" s="60"/>
      <c r="E639" s="60"/>
      <c r="F639" s="60"/>
      <c r="G639" s="60"/>
      <c r="J639" s="99"/>
      <c r="K639" s="99"/>
      <c r="L639" s="99"/>
      <c r="M639" s="99"/>
      <c r="N639" s="43">
        <f t="shared" si="9"/>
        <v>0</v>
      </c>
    </row>
    <row r="640" spans="2:14" ht="1.5" customHeight="1">
      <c r="B640" s="57"/>
      <c r="C640" s="60"/>
      <c r="D640" s="60"/>
      <c r="E640" s="60"/>
      <c r="F640" s="60"/>
      <c r="G640" s="60"/>
      <c r="J640" s="99"/>
      <c r="K640" s="99"/>
      <c r="L640" s="99"/>
      <c r="M640" s="99"/>
      <c r="N640" s="43">
        <f t="shared" si="9"/>
        <v>0</v>
      </c>
    </row>
    <row r="641" spans="2:14" ht="1.5" customHeight="1">
      <c r="B641" s="57"/>
      <c r="C641" s="60"/>
      <c r="D641" s="60"/>
      <c r="E641" s="60"/>
      <c r="F641" s="60"/>
      <c r="G641" s="60"/>
      <c r="J641" s="99"/>
      <c r="K641" s="99"/>
      <c r="L641" s="99"/>
      <c r="M641" s="99"/>
      <c r="N641" s="43">
        <f t="shared" si="9"/>
        <v>0</v>
      </c>
    </row>
    <row r="642" spans="2:14" ht="1.5" customHeight="1">
      <c r="B642" s="57"/>
      <c r="C642" s="60"/>
      <c r="D642" s="60"/>
      <c r="E642" s="60"/>
      <c r="F642" s="60"/>
      <c r="G642" s="60"/>
      <c r="J642" s="99"/>
      <c r="K642" s="99"/>
      <c r="L642" s="99"/>
      <c r="M642" s="99"/>
      <c r="N642" s="43">
        <f t="shared" si="9"/>
        <v>0</v>
      </c>
    </row>
    <row r="643" spans="2:14" ht="1.5" customHeight="1">
      <c r="B643" s="57"/>
      <c r="C643" s="60"/>
      <c r="D643" s="60"/>
      <c r="E643" s="60"/>
      <c r="F643" s="60"/>
      <c r="G643" s="60"/>
      <c r="J643" s="99"/>
      <c r="K643" s="99"/>
      <c r="L643" s="99"/>
      <c r="M643" s="99"/>
      <c r="N643" s="43">
        <f t="shared" si="9"/>
        <v>0</v>
      </c>
    </row>
    <row r="644" spans="2:14" ht="1.5" customHeight="1">
      <c r="B644" s="57"/>
      <c r="C644" s="60"/>
      <c r="D644" s="60"/>
      <c r="E644" s="60"/>
      <c r="F644" s="60"/>
      <c r="G644" s="60"/>
      <c r="J644" s="99"/>
      <c r="K644" s="99"/>
      <c r="L644" s="99"/>
      <c r="M644" s="99"/>
      <c r="N644" s="43">
        <f t="shared" si="9"/>
        <v>0</v>
      </c>
    </row>
    <row r="645" spans="2:14" ht="1.5" customHeight="1">
      <c r="B645" s="57"/>
      <c r="C645" s="60"/>
      <c r="D645" s="60"/>
      <c r="E645" s="60"/>
      <c r="F645" s="60"/>
      <c r="G645" s="60"/>
      <c r="J645" s="99"/>
      <c r="K645" s="99"/>
      <c r="L645" s="99"/>
      <c r="M645" s="99"/>
      <c r="N645" s="43">
        <f t="shared" si="9"/>
        <v>0</v>
      </c>
    </row>
    <row r="646" spans="2:14" ht="1.5" customHeight="1">
      <c r="B646" s="57"/>
      <c r="C646" s="60"/>
      <c r="D646" s="60"/>
      <c r="E646" s="60"/>
      <c r="F646" s="60"/>
      <c r="G646" s="60"/>
      <c r="J646" s="99"/>
      <c r="K646" s="99"/>
      <c r="L646" s="99"/>
      <c r="M646" s="99"/>
      <c r="N646" s="43">
        <f t="shared" si="9"/>
        <v>0</v>
      </c>
    </row>
    <row r="647" spans="2:14" ht="1.5" customHeight="1">
      <c r="B647" s="57"/>
      <c r="C647" s="60"/>
      <c r="D647" s="60"/>
      <c r="E647" s="60"/>
      <c r="F647" s="60"/>
      <c r="G647" s="60"/>
      <c r="J647" s="99"/>
      <c r="K647" s="99"/>
      <c r="L647" s="99"/>
      <c r="M647" s="99"/>
      <c r="N647" s="43">
        <f t="shared" si="9"/>
        <v>0</v>
      </c>
    </row>
    <row r="648" spans="2:14" ht="1.5" customHeight="1">
      <c r="B648" s="57"/>
      <c r="C648" s="60"/>
      <c r="D648" s="60"/>
      <c r="E648" s="60"/>
      <c r="F648" s="60"/>
      <c r="G648" s="60"/>
      <c r="J648" s="99"/>
      <c r="K648" s="99"/>
      <c r="L648" s="99"/>
      <c r="M648" s="99"/>
      <c r="N648" s="43">
        <f t="shared" si="9"/>
        <v>0</v>
      </c>
    </row>
    <row r="649" spans="2:14" ht="1.5" customHeight="1">
      <c r="B649" s="57"/>
      <c r="C649" s="60"/>
      <c r="D649" s="60"/>
      <c r="E649" s="60"/>
      <c r="F649" s="60"/>
      <c r="G649" s="60"/>
      <c r="J649" s="99"/>
      <c r="K649" s="99"/>
      <c r="L649" s="99"/>
      <c r="M649" s="99"/>
      <c r="N649" s="43">
        <f t="shared" si="9"/>
        <v>0</v>
      </c>
    </row>
    <row r="650" spans="2:14" ht="1.5" customHeight="1">
      <c r="B650" s="57"/>
      <c r="C650" s="60"/>
      <c r="D650" s="60"/>
      <c r="E650" s="60"/>
      <c r="F650" s="60"/>
      <c r="G650" s="60"/>
      <c r="J650" s="99"/>
      <c r="K650" s="99"/>
      <c r="L650" s="99"/>
      <c r="M650" s="99"/>
      <c r="N650" s="43">
        <f t="shared" si="9"/>
        <v>0</v>
      </c>
    </row>
    <row r="651" spans="2:14" ht="1.5" customHeight="1">
      <c r="B651" s="57"/>
      <c r="C651" s="60"/>
      <c r="D651" s="60"/>
      <c r="E651" s="60"/>
      <c r="F651" s="60"/>
      <c r="G651" s="60"/>
      <c r="J651" s="99"/>
      <c r="K651" s="99"/>
      <c r="L651" s="99"/>
      <c r="M651" s="99"/>
      <c r="N651" s="43">
        <f t="shared" ref="N651:N714" si="10">IF($L$4=$C$10,C651,IF(D651="","",B651))</f>
        <v>0</v>
      </c>
    </row>
    <row r="652" spans="2:14" ht="1.5" customHeight="1">
      <c r="B652" s="57"/>
      <c r="C652" s="60"/>
      <c r="D652" s="60"/>
      <c r="E652" s="60"/>
      <c r="F652" s="60"/>
      <c r="G652" s="60"/>
      <c r="J652" s="99"/>
      <c r="K652" s="99"/>
      <c r="L652" s="99"/>
      <c r="M652" s="99"/>
      <c r="N652" s="43">
        <f t="shared" si="10"/>
        <v>0</v>
      </c>
    </row>
    <row r="653" spans="2:14" ht="1.5" customHeight="1">
      <c r="B653" s="57"/>
      <c r="C653" s="60"/>
      <c r="D653" s="60"/>
      <c r="E653" s="60"/>
      <c r="F653" s="60"/>
      <c r="G653" s="60"/>
      <c r="J653" s="99"/>
      <c r="K653" s="99"/>
      <c r="L653" s="99"/>
      <c r="M653" s="99"/>
      <c r="N653" s="43">
        <f t="shared" si="10"/>
        <v>0</v>
      </c>
    </row>
    <row r="654" spans="2:14" ht="1.5" customHeight="1">
      <c r="B654" s="57"/>
      <c r="C654" s="60"/>
      <c r="D654" s="60"/>
      <c r="E654" s="60"/>
      <c r="F654" s="60"/>
      <c r="G654" s="60"/>
      <c r="J654" s="99"/>
      <c r="K654" s="99"/>
      <c r="L654" s="99"/>
      <c r="M654" s="99"/>
      <c r="N654" s="43">
        <f t="shared" si="10"/>
        <v>0</v>
      </c>
    </row>
    <row r="655" spans="2:14" ht="1.5" customHeight="1">
      <c r="B655" s="57"/>
      <c r="C655" s="60"/>
      <c r="D655" s="60"/>
      <c r="E655" s="60"/>
      <c r="F655" s="60"/>
      <c r="G655" s="60"/>
      <c r="J655" s="99"/>
      <c r="K655" s="99"/>
      <c r="L655" s="99"/>
      <c r="M655" s="99"/>
      <c r="N655" s="43">
        <f t="shared" si="10"/>
        <v>0</v>
      </c>
    </row>
    <row r="656" spans="2:14" ht="1.5" customHeight="1">
      <c r="B656" s="57"/>
      <c r="C656" s="60"/>
      <c r="D656" s="60"/>
      <c r="E656" s="60"/>
      <c r="F656" s="60"/>
      <c r="G656" s="60"/>
      <c r="J656" s="99"/>
      <c r="K656" s="99"/>
      <c r="L656" s="99"/>
      <c r="M656" s="99"/>
      <c r="N656" s="43">
        <f t="shared" si="10"/>
        <v>0</v>
      </c>
    </row>
    <row r="657" spans="2:14" ht="1.5" customHeight="1">
      <c r="B657" s="57"/>
      <c r="C657" s="60"/>
      <c r="D657" s="60"/>
      <c r="E657" s="60"/>
      <c r="F657" s="60"/>
      <c r="G657" s="60"/>
      <c r="J657" s="99"/>
      <c r="K657" s="99"/>
      <c r="L657" s="99"/>
      <c r="M657" s="99"/>
      <c r="N657" s="43">
        <f t="shared" si="10"/>
        <v>0</v>
      </c>
    </row>
    <row r="658" spans="2:14" ht="1.5" customHeight="1">
      <c r="B658" s="57"/>
      <c r="C658" s="60"/>
      <c r="D658" s="60"/>
      <c r="E658" s="60"/>
      <c r="F658" s="60"/>
      <c r="G658" s="60"/>
      <c r="J658" s="99"/>
      <c r="K658" s="99"/>
      <c r="L658" s="99"/>
      <c r="M658" s="99"/>
      <c r="N658" s="43">
        <f t="shared" si="10"/>
        <v>0</v>
      </c>
    </row>
    <row r="659" spans="2:14" ht="1.5" customHeight="1">
      <c r="B659" s="57"/>
      <c r="C659" s="60"/>
      <c r="D659" s="60"/>
      <c r="E659" s="60"/>
      <c r="F659" s="60"/>
      <c r="G659" s="60"/>
      <c r="J659" s="99"/>
      <c r="K659" s="99"/>
      <c r="L659" s="99"/>
      <c r="M659" s="99"/>
      <c r="N659" s="43">
        <f t="shared" si="10"/>
        <v>0</v>
      </c>
    </row>
    <row r="660" spans="2:14" ht="1.5" customHeight="1">
      <c r="B660" s="57"/>
      <c r="C660" s="60"/>
      <c r="D660" s="60"/>
      <c r="E660" s="60"/>
      <c r="F660" s="60"/>
      <c r="G660" s="60"/>
      <c r="J660" s="99"/>
      <c r="K660" s="99"/>
      <c r="L660" s="99"/>
      <c r="M660" s="99"/>
      <c r="N660" s="43">
        <f t="shared" si="10"/>
        <v>0</v>
      </c>
    </row>
    <row r="661" spans="2:14" ht="1.5" customHeight="1">
      <c r="B661" s="57"/>
      <c r="C661" s="60"/>
      <c r="D661" s="60"/>
      <c r="E661" s="60"/>
      <c r="F661" s="60"/>
      <c r="G661" s="60"/>
      <c r="J661" s="99"/>
      <c r="K661" s="99"/>
      <c r="L661" s="99"/>
      <c r="M661" s="99"/>
      <c r="N661" s="43">
        <f t="shared" si="10"/>
        <v>0</v>
      </c>
    </row>
    <row r="662" spans="2:14" ht="1.5" customHeight="1">
      <c r="B662" s="57"/>
      <c r="C662" s="60"/>
      <c r="D662" s="60"/>
      <c r="E662" s="60"/>
      <c r="F662" s="60"/>
      <c r="G662" s="60"/>
      <c r="J662" s="99"/>
      <c r="K662" s="99"/>
      <c r="L662" s="99"/>
      <c r="M662" s="99"/>
      <c r="N662" s="43">
        <f t="shared" si="10"/>
        <v>0</v>
      </c>
    </row>
    <row r="663" spans="2:14" ht="1.5" customHeight="1">
      <c r="B663" s="57"/>
      <c r="C663" s="60"/>
      <c r="D663" s="60"/>
      <c r="E663" s="60"/>
      <c r="F663" s="60"/>
      <c r="G663" s="60"/>
      <c r="J663" s="99"/>
      <c r="K663" s="99"/>
      <c r="L663" s="99"/>
      <c r="M663" s="99"/>
      <c r="N663" s="43">
        <f t="shared" si="10"/>
        <v>0</v>
      </c>
    </row>
    <row r="664" spans="2:14" ht="1.5" customHeight="1">
      <c r="B664" s="57"/>
      <c r="C664" s="60"/>
      <c r="D664" s="60"/>
      <c r="E664" s="60"/>
      <c r="F664" s="60"/>
      <c r="G664" s="60"/>
      <c r="J664" s="99"/>
      <c r="K664" s="99"/>
      <c r="L664" s="99"/>
      <c r="M664" s="99"/>
      <c r="N664" s="43">
        <f t="shared" si="10"/>
        <v>0</v>
      </c>
    </row>
    <row r="665" spans="2:14" ht="1.5" customHeight="1">
      <c r="B665" s="57"/>
      <c r="C665" s="60"/>
      <c r="D665" s="60"/>
      <c r="E665" s="60"/>
      <c r="F665" s="60"/>
      <c r="G665" s="60"/>
      <c r="J665" s="99"/>
      <c r="K665" s="99"/>
      <c r="L665" s="99"/>
      <c r="M665" s="99"/>
      <c r="N665" s="43">
        <f t="shared" si="10"/>
        <v>0</v>
      </c>
    </row>
    <row r="666" spans="2:14" ht="1.5" customHeight="1">
      <c r="B666" s="57"/>
      <c r="C666" s="60"/>
      <c r="D666" s="60"/>
      <c r="E666" s="60"/>
      <c r="F666" s="60"/>
      <c r="G666" s="60"/>
      <c r="J666" s="99"/>
      <c r="K666" s="99"/>
      <c r="L666" s="99"/>
      <c r="M666" s="99"/>
      <c r="N666" s="43">
        <f t="shared" si="10"/>
        <v>0</v>
      </c>
    </row>
    <row r="667" spans="2:14" ht="1.5" customHeight="1">
      <c r="B667" s="57"/>
      <c r="C667" s="60"/>
      <c r="D667" s="60"/>
      <c r="E667" s="60"/>
      <c r="F667" s="60"/>
      <c r="G667" s="60"/>
      <c r="J667" s="99"/>
      <c r="K667" s="99"/>
      <c r="L667" s="99"/>
      <c r="M667" s="99"/>
      <c r="N667" s="43">
        <f t="shared" si="10"/>
        <v>0</v>
      </c>
    </row>
    <row r="668" spans="2:14" ht="1.5" customHeight="1">
      <c r="B668" s="57"/>
      <c r="C668" s="60"/>
      <c r="D668" s="60"/>
      <c r="E668" s="60"/>
      <c r="F668" s="60"/>
      <c r="G668" s="60"/>
      <c r="J668" s="99"/>
      <c r="K668" s="99"/>
      <c r="L668" s="99"/>
      <c r="M668" s="99"/>
      <c r="N668" s="43">
        <f t="shared" si="10"/>
        <v>0</v>
      </c>
    </row>
    <row r="669" spans="2:14" ht="1.5" customHeight="1">
      <c r="B669" s="57"/>
      <c r="C669" s="60"/>
      <c r="D669" s="60"/>
      <c r="E669" s="60"/>
      <c r="F669" s="60"/>
      <c r="G669" s="60"/>
      <c r="J669" s="99"/>
      <c r="K669" s="99"/>
      <c r="L669" s="99"/>
      <c r="M669" s="99"/>
      <c r="N669" s="43">
        <f t="shared" si="10"/>
        <v>0</v>
      </c>
    </row>
    <row r="670" spans="2:14" ht="1.5" customHeight="1">
      <c r="B670" s="57"/>
      <c r="C670" s="60"/>
      <c r="D670" s="60"/>
      <c r="E670" s="60"/>
      <c r="F670" s="60"/>
      <c r="G670" s="60"/>
      <c r="J670" s="99"/>
      <c r="K670" s="99"/>
      <c r="L670" s="99"/>
      <c r="M670" s="99"/>
      <c r="N670" s="43">
        <f t="shared" si="10"/>
        <v>0</v>
      </c>
    </row>
    <row r="671" spans="2:14" ht="1.5" customHeight="1">
      <c r="B671" s="57"/>
      <c r="C671" s="60"/>
      <c r="D671" s="60"/>
      <c r="E671" s="60"/>
      <c r="F671" s="60"/>
      <c r="G671" s="60"/>
      <c r="J671" s="99"/>
      <c r="K671" s="99"/>
      <c r="L671" s="99"/>
      <c r="M671" s="99"/>
      <c r="N671" s="43">
        <f t="shared" si="10"/>
        <v>0</v>
      </c>
    </row>
    <row r="672" spans="2:14" ht="1.5" customHeight="1">
      <c r="B672" s="57"/>
      <c r="C672" s="60"/>
      <c r="D672" s="60"/>
      <c r="E672" s="60"/>
      <c r="F672" s="60"/>
      <c r="G672" s="60"/>
      <c r="J672" s="99"/>
      <c r="K672" s="99"/>
      <c r="L672" s="99"/>
      <c r="M672" s="99"/>
      <c r="N672" s="43">
        <f t="shared" si="10"/>
        <v>0</v>
      </c>
    </row>
    <row r="673" spans="2:14" ht="1.5" customHeight="1">
      <c r="B673" s="57"/>
      <c r="C673" s="60"/>
      <c r="D673" s="60"/>
      <c r="E673" s="60"/>
      <c r="F673" s="60"/>
      <c r="G673" s="60"/>
      <c r="J673" s="99"/>
      <c r="K673" s="99"/>
      <c r="L673" s="99"/>
      <c r="M673" s="99"/>
      <c r="N673" s="43">
        <f t="shared" si="10"/>
        <v>0</v>
      </c>
    </row>
    <row r="674" spans="2:14" ht="1.5" customHeight="1">
      <c r="B674" s="57"/>
      <c r="C674" s="60"/>
      <c r="D674" s="60"/>
      <c r="E674" s="60"/>
      <c r="F674" s="60"/>
      <c r="G674" s="60"/>
      <c r="J674" s="99"/>
      <c r="K674" s="99"/>
      <c r="L674" s="99"/>
      <c r="M674" s="99"/>
      <c r="N674" s="43">
        <f t="shared" si="10"/>
        <v>0</v>
      </c>
    </row>
    <row r="675" spans="2:14" ht="1.5" customHeight="1">
      <c r="B675" s="57"/>
      <c r="C675" s="60"/>
      <c r="D675" s="60"/>
      <c r="E675" s="60"/>
      <c r="F675" s="60"/>
      <c r="G675" s="60"/>
      <c r="J675" s="99"/>
      <c r="K675" s="99"/>
      <c r="L675" s="99"/>
      <c r="M675" s="99"/>
      <c r="N675" s="43">
        <f t="shared" si="10"/>
        <v>0</v>
      </c>
    </row>
    <row r="676" spans="2:14" ht="1.5" customHeight="1">
      <c r="B676" s="57"/>
      <c r="C676" s="60"/>
      <c r="D676" s="60"/>
      <c r="E676" s="60"/>
      <c r="F676" s="60"/>
      <c r="G676" s="60"/>
      <c r="J676" s="99"/>
      <c r="K676" s="99"/>
      <c r="L676" s="99"/>
      <c r="M676" s="99"/>
      <c r="N676" s="43">
        <f t="shared" si="10"/>
        <v>0</v>
      </c>
    </row>
    <row r="677" spans="2:14" ht="1.5" customHeight="1">
      <c r="B677" s="57"/>
      <c r="C677" s="60"/>
      <c r="D677" s="60"/>
      <c r="E677" s="60"/>
      <c r="F677" s="60"/>
      <c r="G677" s="60"/>
      <c r="J677" s="99"/>
      <c r="K677" s="99"/>
      <c r="L677" s="99"/>
      <c r="M677" s="99"/>
      <c r="N677" s="43">
        <f t="shared" si="10"/>
        <v>0</v>
      </c>
    </row>
    <row r="678" spans="2:14" ht="1.5" customHeight="1">
      <c r="B678" s="57"/>
      <c r="C678" s="60"/>
      <c r="D678" s="60"/>
      <c r="E678" s="60"/>
      <c r="F678" s="60"/>
      <c r="G678" s="60"/>
      <c r="J678" s="99"/>
      <c r="K678" s="99"/>
      <c r="L678" s="99"/>
      <c r="M678" s="99"/>
      <c r="N678" s="43">
        <f t="shared" si="10"/>
        <v>0</v>
      </c>
    </row>
    <row r="679" spans="2:14" ht="1.5" customHeight="1">
      <c r="B679" s="57"/>
      <c r="C679" s="60"/>
      <c r="D679" s="60"/>
      <c r="E679" s="60"/>
      <c r="F679" s="60"/>
      <c r="G679" s="60"/>
      <c r="J679" s="99"/>
      <c r="K679" s="99"/>
      <c r="L679" s="99"/>
      <c r="M679" s="99"/>
      <c r="N679" s="43">
        <f t="shared" si="10"/>
        <v>0</v>
      </c>
    </row>
    <row r="680" spans="2:14" ht="1.5" customHeight="1">
      <c r="B680" s="57"/>
      <c r="C680" s="60"/>
      <c r="D680" s="60"/>
      <c r="E680" s="60"/>
      <c r="F680" s="60"/>
      <c r="G680" s="60"/>
      <c r="J680" s="99"/>
      <c r="K680" s="99"/>
      <c r="L680" s="99"/>
      <c r="M680" s="99"/>
      <c r="N680" s="43">
        <f t="shared" si="10"/>
        <v>0</v>
      </c>
    </row>
    <row r="681" spans="2:14" ht="1.5" customHeight="1">
      <c r="B681" s="57"/>
      <c r="C681" s="60"/>
      <c r="D681" s="60"/>
      <c r="E681" s="60"/>
      <c r="F681" s="60"/>
      <c r="G681" s="60"/>
      <c r="J681" s="99"/>
      <c r="K681" s="99"/>
      <c r="L681" s="99"/>
      <c r="M681" s="99"/>
      <c r="N681" s="43">
        <f t="shared" si="10"/>
        <v>0</v>
      </c>
    </row>
    <row r="682" spans="2:14" ht="1.5" customHeight="1">
      <c r="B682" s="57"/>
      <c r="C682" s="60"/>
      <c r="D682" s="60"/>
      <c r="E682" s="60"/>
      <c r="F682" s="60"/>
      <c r="G682" s="60"/>
      <c r="J682" s="99"/>
      <c r="K682" s="99"/>
      <c r="L682" s="99"/>
      <c r="M682" s="99"/>
      <c r="N682" s="43">
        <f t="shared" si="10"/>
        <v>0</v>
      </c>
    </row>
    <row r="683" spans="2:14" ht="1.5" customHeight="1">
      <c r="B683" s="57"/>
      <c r="C683" s="60"/>
      <c r="D683" s="60"/>
      <c r="E683" s="60"/>
      <c r="F683" s="60"/>
      <c r="G683" s="60"/>
      <c r="J683" s="99"/>
      <c r="K683" s="99"/>
      <c r="L683" s="99"/>
      <c r="M683" s="99"/>
      <c r="N683" s="43">
        <f t="shared" si="10"/>
        <v>0</v>
      </c>
    </row>
    <row r="684" spans="2:14" ht="1.5" customHeight="1">
      <c r="B684" s="57"/>
      <c r="C684" s="60"/>
      <c r="D684" s="60"/>
      <c r="E684" s="60"/>
      <c r="F684" s="60"/>
      <c r="G684" s="60"/>
      <c r="J684" s="99"/>
      <c r="K684" s="99"/>
      <c r="L684" s="99"/>
      <c r="M684" s="99"/>
      <c r="N684" s="43">
        <f t="shared" si="10"/>
        <v>0</v>
      </c>
    </row>
    <row r="685" spans="2:14" ht="1.5" customHeight="1">
      <c r="B685" s="57"/>
      <c r="C685" s="60"/>
      <c r="D685" s="60"/>
      <c r="E685" s="60"/>
      <c r="F685" s="60"/>
      <c r="G685" s="60"/>
      <c r="J685" s="99"/>
      <c r="K685" s="99"/>
      <c r="L685" s="99"/>
      <c r="M685" s="99"/>
      <c r="N685" s="43">
        <f t="shared" si="10"/>
        <v>0</v>
      </c>
    </row>
    <row r="686" spans="2:14" ht="1.5" customHeight="1">
      <c r="B686" s="57"/>
      <c r="C686" s="60"/>
      <c r="D686" s="60"/>
      <c r="E686" s="60"/>
      <c r="F686" s="60"/>
      <c r="G686" s="60"/>
      <c r="J686" s="99"/>
      <c r="K686" s="99"/>
      <c r="L686" s="99"/>
      <c r="M686" s="99"/>
      <c r="N686" s="43">
        <f t="shared" si="10"/>
        <v>0</v>
      </c>
    </row>
    <row r="687" spans="2:14" ht="1.5" customHeight="1">
      <c r="B687" s="57"/>
      <c r="C687" s="60"/>
      <c r="D687" s="60"/>
      <c r="E687" s="60"/>
      <c r="F687" s="60"/>
      <c r="G687" s="60"/>
      <c r="J687" s="99"/>
      <c r="K687" s="99"/>
      <c r="L687" s="99"/>
      <c r="M687" s="99"/>
      <c r="N687" s="43">
        <f t="shared" si="10"/>
        <v>0</v>
      </c>
    </row>
    <row r="688" spans="2:14" ht="1.5" customHeight="1">
      <c r="B688" s="57"/>
      <c r="C688" s="60"/>
      <c r="D688" s="60"/>
      <c r="E688" s="60"/>
      <c r="F688" s="60"/>
      <c r="G688" s="60"/>
      <c r="J688" s="99"/>
      <c r="K688" s="99"/>
      <c r="L688" s="99"/>
      <c r="M688" s="99"/>
      <c r="N688" s="43">
        <f t="shared" si="10"/>
        <v>0</v>
      </c>
    </row>
    <row r="689" spans="2:14" ht="1.5" customHeight="1">
      <c r="B689" s="57"/>
      <c r="C689" s="60"/>
      <c r="D689" s="60"/>
      <c r="E689" s="60"/>
      <c r="F689" s="60"/>
      <c r="G689" s="60"/>
      <c r="J689" s="99"/>
      <c r="K689" s="99"/>
      <c r="L689" s="99"/>
      <c r="M689" s="99"/>
      <c r="N689" s="43">
        <f t="shared" si="10"/>
        <v>0</v>
      </c>
    </row>
    <row r="690" spans="2:14" ht="1.5" customHeight="1">
      <c r="B690" s="57"/>
      <c r="C690" s="60"/>
      <c r="D690" s="60"/>
      <c r="E690" s="60"/>
      <c r="F690" s="60"/>
      <c r="G690" s="60"/>
      <c r="J690" s="99"/>
      <c r="K690" s="99"/>
      <c r="L690" s="99"/>
      <c r="M690" s="99"/>
      <c r="N690" s="43">
        <f t="shared" si="10"/>
        <v>0</v>
      </c>
    </row>
    <row r="691" spans="2:14" ht="1.5" customHeight="1">
      <c r="B691" s="57"/>
      <c r="C691" s="60"/>
      <c r="D691" s="60"/>
      <c r="E691" s="60"/>
      <c r="F691" s="60"/>
      <c r="G691" s="60"/>
      <c r="J691" s="99"/>
      <c r="K691" s="99"/>
      <c r="L691" s="99"/>
      <c r="M691" s="99"/>
      <c r="N691" s="43">
        <f t="shared" si="10"/>
        <v>0</v>
      </c>
    </row>
    <row r="692" spans="2:14" ht="1.5" customHeight="1">
      <c r="B692" s="57"/>
      <c r="C692" s="60"/>
      <c r="D692" s="60"/>
      <c r="E692" s="60"/>
      <c r="F692" s="60"/>
      <c r="G692" s="60"/>
      <c r="J692" s="99"/>
      <c r="K692" s="99"/>
      <c r="L692" s="99"/>
      <c r="M692" s="99"/>
      <c r="N692" s="43">
        <f t="shared" si="10"/>
        <v>0</v>
      </c>
    </row>
    <row r="693" spans="2:14" ht="1.5" customHeight="1">
      <c r="B693" s="57"/>
      <c r="C693" s="60"/>
      <c r="D693" s="60"/>
      <c r="E693" s="60"/>
      <c r="F693" s="60"/>
      <c r="G693" s="60"/>
      <c r="J693" s="99"/>
      <c r="K693" s="99"/>
      <c r="L693" s="99"/>
      <c r="M693" s="99"/>
      <c r="N693" s="43">
        <f t="shared" si="10"/>
        <v>0</v>
      </c>
    </row>
    <row r="694" spans="2:14" ht="1.5" customHeight="1">
      <c r="B694" s="57"/>
      <c r="C694" s="60"/>
      <c r="D694" s="60"/>
      <c r="E694" s="60"/>
      <c r="F694" s="60"/>
      <c r="G694" s="60"/>
      <c r="J694" s="99"/>
      <c r="K694" s="99"/>
      <c r="L694" s="99"/>
      <c r="M694" s="99"/>
      <c r="N694" s="43">
        <f t="shared" si="10"/>
        <v>0</v>
      </c>
    </row>
    <row r="695" spans="2:14" ht="1.5" customHeight="1">
      <c r="B695" s="57"/>
      <c r="C695" s="60"/>
      <c r="D695" s="60"/>
      <c r="E695" s="60"/>
      <c r="F695" s="60"/>
      <c r="G695" s="60"/>
      <c r="J695" s="99"/>
      <c r="K695" s="99"/>
      <c r="L695" s="99"/>
      <c r="M695" s="99"/>
      <c r="N695" s="43">
        <f t="shared" si="10"/>
        <v>0</v>
      </c>
    </row>
    <row r="696" spans="2:14" ht="1.5" customHeight="1">
      <c r="B696" s="57"/>
      <c r="C696" s="60"/>
      <c r="D696" s="60"/>
      <c r="E696" s="60"/>
      <c r="F696" s="60"/>
      <c r="G696" s="60"/>
      <c r="J696" s="99"/>
      <c r="K696" s="99"/>
      <c r="L696" s="99"/>
      <c r="M696" s="99"/>
      <c r="N696" s="43">
        <f t="shared" si="10"/>
        <v>0</v>
      </c>
    </row>
    <row r="697" spans="2:14" ht="1.5" customHeight="1">
      <c r="B697" s="57"/>
      <c r="C697" s="60"/>
      <c r="D697" s="60"/>
      <c r="E697" s="60"/>
      <c r="F697" s="60"/>
      <c r="G697" s="60"/>
      <c r="J697" s="99"/>
      <c r="K697" s="99"/>
      <c r="L697" s="99"/>
      <c r="M697" s="99"/>
      <c r="N697" s="43">
        <f t="shared" si="10"/>
        <v>0</v>
      </c>
    </row>
    <row r="698" spans="2:14" ht="1.5" customHeight="1">
      <c r="B698" s="57"/>
      <c r="C698" s="60"/>
      <c r="D698" s="60"/>
      <c r="E698" s="60"/>
      <c r="F698" s="60"/>
      <c r="G698" s="60"/>
      <c r="J698" s="99"/>
      <c r="K698" s="99"/>
      <c r="L698" s="99"/>
      <c r="M698" s="99"/>
      <c r="N698" s="43">
        <f t="shared" si="10"/>
        <v>0</v>
      </c>
    </row>
    <row r="699" spans="2:14" ht="1.5" customHeight="1">
      <c r="B699" s="57"/>
      <c r="C699" s="60"/>
      <c r="D699" s="60"/>
      <c r="E699" s="60"/>
      <c r="F699" s="60"/>
      <c r="G699" s="60"/>
      <c r="J699" s="99"/>
      <c r="K699" s="99"/>
      <c r="L699" s="99"/>
      <c r="M699" s="99"/>
      <c r="N699" s="43">
        <f t="shared" si="10"/>
        <v>0</v>
      </c>
    </row>
    <row r="700" spans="2:14" ht="1.5" customHeight="1">
      <c r="B700" s="57"/>
      <c r="C700" s="60"/>
      <c r="D700" s="60"/>
      <c r="E700" s="60"/>
      <c r="F700" s="60"/>
      <c r="G700" s="60"/>
      <c r="J700" s="99"/>
      <c r="K700" s="99"/>
      <c r="L700" s="99"/>
      <c r="M700" s="99"/>
      <c r="N700" s="43">
        <f t="shared" si="10"/>
        <v>0</v>
      </c>
    </row>
    <row r="701" spans="2:14" ht="1.5" customHeight="1">
      <c r="B701" s="57"/>
      <c r="C701" s="60"/>
      <c r="D701" s="60"/>
      <c r="E701" s="60"/>
      <c r="F701" s="60"/>
      <c r="G701" s="60"/>
      <c r="J701" s="99"/>
      <c r="K701" s="99"/>
      <c r="L701" s="99"/>
      <c r="M701" s="99"/>
      <c r="N701" s="43">
        <f t="shared" si="10"/>
        <v>0</v>
      </c>
    </row>
    <row r="702" spans="2:14" ht="1.5" customHeight="1">
      <c r="B702" s="57"/>
      <c r="C702" s="60"/>
      <c r="D702" s="60"/>
      <c r="E702" s="60"/>
      <c r="F702" s="60"/>
      <c r="G702" s="60"/>
      <c r="J702" s="99"/>
      <c r="K702" s="99"/>
      <c r="L702" s="99"/>
      <c r="M702" s="99"/>
      <c r="N702" s="43">
        <f t="shared" si="10"/>
        <v>0</v>
      </c>
    </row>
    <row r="703" spans="2:14" ht="1.5" customHeight="1">
      <c r="B703" s="57"/>
      <c r="C703" s="60"/>
      <c r="D703" s="60"/>
      <c r="E703" s="60"/>
      <c r="F703" s="60"/>
      <c r="G703" s="60"/>
      <c r="J703" s="99"/>
      <c r="K703" s="99"/>
      <c r="L703" s="99"/>
      <c r="M703" s="99"/>
      <c r="N703" s="43">
        <f t="shared" si="10"/>
        <v>0</v>
      </c>
    </row>
    <row r="704" spans="2:14" ht="1.5" customHeight="1">
      <c r="B704" s="57"/>
      <c r="C704" s="60"/>
      <c r="D704" s="60"/>
      <c r="E704" s="60"/>
      <c r="F704" s="60"/>
      <c r="G704" s="60"/>
      <c r="J704" s="99"/>
      <c r="K704" s="99"/>
      <c r="L704" s="99"/>
      <c r="M704" s="99"/>
      <c r="N704" s="43">
        <f t="shared" si="10"/>
        <v>0</v>
      </c>
    </row>
    <row r="705" spans="2:14" ht="1.5" customHeight="1">
      <c r="B705" s="57"/>
      <c r="C705" s="60"/>
      <c r="D705" s="60"/>
      <c r="E705" s="60"/>
      <c r="F705" s="60"/>
      <c r="G705" s="60"/>
      <c r="J705" s="99"/>
      <c r="K705" s="99"/>
      <c r="L705" s="99"/>
      <c r="M705" s="99"/>
      <c r="N705" s="43">
        <f t="shared" si="10"/>
        <v>0</v>
      </c>
    </row>
    <row r="706" spans="2:14" ht="1.5" customHeight="1">
      <c r="B706" s="57"/>
      <c r="C706" s="60"/>
      <c r="D706" s="60"/>
      <c r="E706" s="60"/>
      <c r="F706" s="60"/>
      <c r="G706" s="60"/>
      <c r="J706" s="99"/>
      <c r="K706" s="99"/>
      <c r="L706" s="99"/>
      <c r="M706" s="99"/>
      <c r="N706" s="43">
        <f t="shared" si="10"/>
        <v>0</v>
      </c>
    </row>
    <row r="707" spans="2:14" ht="1.5" customHeight="1">
      <c r="B707" s="57"/>
      <c r="C707" s="60"/>
      <c r="D707" s="60"/>
      <c r="E707" s="60"/>
      <c r="F707" s="60"/>
      <c r="G707" s="60"/>
      <c r="J707" s="99"/>
      <c r="K707" s="99"/>
      <c r="L707" s="99"/>
      <c r="M707" s="99"/>
      <c r="N707" s="43">
        <f t="shared" si="10"/>
        <v>0</v>
      </c>
    </row>
    <row r="708" spans="2:14" ht="1.5" customHeight="1">
      <c r="B708" s="57"/>
      <c r="C708" s="60"/>
      <c r="D708" s="60"/>
      <c r="E708" s="60"/>
      <c r="F708" s="60"/>
      <c r="G708" s="60"/>
      <c r="J708" s="99"/>
      <c r="K708" s="99"/>
      <c r="L708" s="99"/>
      <c r="M708" s="99"/>
      <c r="N708" s="43">
        <f t="shared" si="10"/>
        <v>0</v>
      </c>
    </row>
    <row r="709" spans="2:14" ht="1.5" customHeight="1">
      <c r="B709" s="57"/>
      <c r="C709" s="60"/>
      <c r="D709" s="60"/>
      <c r="E709" s="60"/>
      <c r="F709" s="60"/>
      <c r="G709" s="60"/>
      <c r="J709" s="99"/>
      <c r="K709" s="99"/>
      <c r="L709" s="99"/>
      <c r="M709" s="99"/>
      <c r="N709" s="43">
        <f t="shared" si="10"/>
        <v>0</v>
      </c>
    </row>
    <row r="710" spans="2:14" ht="1.5" customHeight="1">
      <c r="B710" s="57"/>
      <c r="C710" s="60"/>
      <c r="D710" s="60"/>
      <c r="E710" s="60"/>
      <c r="F710" s="60"/>
      <c r="G710" s="60"/>
      <c r="J710" s="99"/>
      <c r="K710" s="99"/>
      <c r="L710" s="99"/>
      <c r="M710" s="99"/>
      <c r="N710" s="43">
        <f t="shared" si="10"/>
        <v>0</v>
      </c>
    </row>
    <row r="711" spans="2:14" ht="1.5" customHeight="1">
      <c r="B711" s="57"/>
      <c r="C711" s="60"/>
      <c r="D711" s="60"/>
      <c r="E711" s="60"/>
      <c r="F711" s="60"/>
      <c r="G711" s="60"/>
      <c r="J711" s="99"/>
      <c r="K711" s="99"/>
      <c r="L711" s="99"/>
      <c r="M711" s="99"/>
      <c r="N711" s="43">
        <f t="shared" si="10"/>
        <v>0</v>
      </c>
    </row>
    <row r="712" spans="2:14" ht="1.5" customHeight="1">
      <c r="B712" s="57"/>
      <c r="C712" s="60"/>
      <c r="D712" s="60"/>
      <c r="E712" s="60"/>
      <c r="F712" s="60"/>
      <c r="G712" s="60"/>
      <c r="J712" s="99"/>
      <c r="K712" s="99"/>
      <c r="L712" s="99"/>
      <c r="M712" s="99"/>
      <c r="N712" s="43">
        <f t="shared" si="10"/>
        <v>0</v>
      </c>
    </row>
    <row r="713" spans="2:14" ht="1.5" customHeight="1">
      <c r="B713" s="57"/>
      <c r="C713" s="60"/>
      <c r="D713" s="60"/>
      <c r="E713" s="60"/>
      <c r="F713" s="60"/>
      <c r="G713" s="60"/>
      <c r="J713" s="99"/>
      <c r="K713" s="99"/>
      <c r="L713" s="99"/>
      <c r="M713" s="99"/>
      <c r="N713" s="43">
        <f t="shared" si="10"/>
        <v>0</v>
      </c>
    </row>
    <row r="714" spans="2:14" ht="1.5" customHeight="1">
      <c r="B714" s="57"/>
      <c r="C714" s="60"/>
      <c r="D714" s="60"/>
      <c r="E714" s="60"/>
      <c r="F714" s="60"/>
      <c r="G714" s="60"/>
      <c r="J714" s="99"/>
      <c r="K714" s="99"/>
      <c r="L714" s="99"/>
      <c r="M714" s="99"/>
      <c r="N714" s="43">
        <f t="shared" si="10"/>
        <v>0</v>
      </c>
    </row>
    <row r="715" spans="2:14" ht="1.5" customHeight="1">
      <c r="B715" s="57"/>
      <c r="C715" s="60"/>
      <c r="D715" s="60"/>
      <c r="E715" s="60"/>
      <c r="F715" s="60"/>
      <c r="G715" s="60"/>
      <c r="J715" s="99"/>
      <c r="K715" s="99"/>
      <c r="L715" s="99"/>
      <c r="M715" s="99"/>
      <c r="N715" s="43">
        <f t="shared" ref="N715:N778" si="11">IF($L$4=$C$10,C715,IF(D715="","",B715))</f>
        <v>0</v>
      </c>
    </row>
    <row r="716" spans="2:14" ht="1.5" customHeight="1">
      <c r="B716" s="57"/>
      <c r="C716" s="60"/>
      <c r="D716" s="60"/>
      <c r="E716" s="60"/>
      <c r="F716" s="60"/>
      <c r="G716" s="60"/>
      <c r="J716" s="99"/>
      <c r="K716" s="99"/>
      <c r="L716" s="99"/>
      <c r="M716" s="99"/>
      <c r="N716" s="43">
        <f t="shared" si="11"/>
        <v>0</v>
      </c>
    </row>
    <row r="717" spans="2:14" ht="1.5" customHeight="1">
      <c r="B717" s="57"/>
      <c r="C717" s="60"/>
      <c r="D717" s="60"/>
      <c r="E717" s="60"/>
      <c r="F717" s="60"/>
      <c r="G717" s="60"/>
      <c r="J717" s="99"/>
      <c r="K717" s="99"/>
      <c r="L717" s="99"/>
      <c r="M717" s="99"/>
      <c r="N717" s="43">
        <f t="shared" si="11"/>
        <v>0</v>
      </c>
    </row>
    <row r="718" spans="2:14" ht="1.5" customHeight="1">
      <c r="B718" s="57"/>
      <c r="C718" s="60"/>
      <c r="D718" s="60"/>
      <c r="E718" s="60"/>
      <c r="F718" s="60"/>
      <c r="G718" s="60"/>
      <c r="J718" s="99"/>
      <c r="K718" s="99"/>
      <c r="L718" s="99"/>
      <c r="M718" s="99"/>
      <c r="N718" s="43">
        <f t="shared" si="11"/>
        <v>0</v>
      </c>
    </row>
    <row r="719" spans="2:14" ht="1.5" customHeight="1">
      <c r="B719" s="57"/>
      <c r="C719" s="60"/>
      <c r="D719" s="60"/>
      <c r="E719" s="60"/>
      <c r="F719" s="60"/>
      <c r="G719" s="60"/>
      <c r="J719" s="99"/>
      <c r="K719" s="99"/>
      <c r="L719" s="99"/>
      <c r="M719" s="99"/>
      <c r="N719" s="43">
        <f t="shared" si="11"/>
        <v>0</v>
      </c>
    </row>
    <row r="720" spans="2:14" ht="1.5" customHeight="1">
      <c r="B720" s="57"/>
      <c r="C720" s="60"/>
      <c r="D720" s="60"/>
      <c r="E720" s="60"/>
      <c r="F720" s="60"/>
      <c r="G720" s="60"/>
      <c r="J720" s="99"/>
      <c r="K720" s="99"/>
      <c r="L720" s="99"/>
      <c r="M720" s="99"/>
      <c r="N720" s="43">
        <f t="shared" si="11"/>
        <v>0</v>
      </c>
    </row>
    <row r="721" spans="2:14" ht="1.5" customHeight="1">
      <c r="B721" s="57"/>
      <c r="C721" s="60"/>
      <c r="D721" s="60"/>
      <c r="E721" s="60"/>
      <c r="F721" s="60"/>
      <c r="G721" s="60"/>
      <c r="J721" s="99"/>
      <c r="K721" s="99"/>
      <c r="L721" s="99"/>
      <c r="M721" s="99"/>
      <c r="N721" s="43">
        <f t="shared" si="11"/>
        <v>0</v>
      </c>
    </row>
    <row r="722" spans="2:14" ht="1.5" customHeight="1">
      <c r="B722" s="57"/>
      <c r="C722" s="60"/>
      <c r="D722" s="60"/>
      <c r="E722" s="60"/>
      <c r="F722" s="60"/>
      <c r="G722" s="60"/>
      <c r="J722" s="99"/>
      <c r="K722" s="99"/>
      <c r="L722" s="99"/>
      <c r="M722" s="99"/>
      <c r="N722" s="43">
        <f t="shared" si="11"/>
        <v>0</v>
      </c>
    </row>
    <row r="723" spans="2:14" ht="1.5" customHeight="1">
      <c r="B723" s="57"/>
      <c r="C723" s="60"/>
      <c r="D723" s="60"/>
      <c r="E723" s="60"/>
      <c r="F723" s="60"/>
      <c r="G723" s="60"/>
      <c r="J723" s="99"/>
      <c r="K723" s="99"/>
      <c r="L723" s="99"/>
      <c r="M723" s="99"/>
      <c r="N723" s="43">
        <f t="shared" si="11"/>
        <v>0</v>
      </c>
    </row>
    <row r="724" spans="2:14" ht="1.5" customHeight="1">
      <c r="B724" s="57"/>
      <c r="C724" s="60"/>
      <c r="D724" s="60"/>
      <c r="E724" s="60"/>
      <c r="F724" s="60"/>
      <c r="G724" s="60"/>
      <c r="J724" s="99"/>
      <c r="K724" s="99"/>
      <c r="L724" s="99"/>
      <c r="M724" s="99"/>
      <c r="N724" s="43">
        <f t="shared" si="11"/>
        <v>0</v>
      </c>
    </row>
    <row r="725" spans="2:14" ht="1.5" customHeight="1">
      <c r="B725" s="57"/>
      <c r="C725" s="60"/>
      <c r="D725" s="60"/>
      <c r="E725" s="60"/>
      <c r="F725" s="60"/>
      <c r="G725" s="60"/>
      <c r="J725" s="99"/>
      <c r="K725" s="99"/>
      <c r="L725" s="99"/>
      <c r="M725" s="99"/>
      <c r="N725" s="43">
        <f t="shared" si="11"/>
        <v>0</v>
      </c>
    </row>
    <row r="726" spans="2:14" ht="1.5" customHeight="1">
      <c r="B726" s="57"/>
      <c r="C726" s="60"/>
      <c r="D726" s="60"/>
      <c r="E726" s="60"/>
      <c r="F726" s="60"/>
      <c r="G726" s="60"/>
      <c r="J726" s="99"/>
      <c r="K726" s="99"/>
      <c r="L726" s="99"/>
      <c r="M726" s="99"/>
      <c r="N726" s="43">
        <f t="shared" si="11"/>
        <v>0</v>
      </c>
    </row>
    <row r="727" spans="2:14" ht="1.5" customHeight="1">
      <c r="B727" s="57"/>
      <c r="C727" s="60"/>
      <c r="D727" s="60"/>
      <c r="E727" s="60"/>
      <c r="F727" s="60"/>
      <c r="G727" s="60"/>
      <c r="J727" s="99"/>
      <c r="K727" s="99"/>
      <c r="L727" s="99"/>
      <c r="M727" s="99"/>
      <c r="N727" s="43">
        <f t="shared" si="11"/>
        <v>0</v>
      </c>
    </row>
    <row r="728" spans="2:14" ht="1.5" customHeight="1">
      <c r="B728" s="57"/>
      <c r="C728" s="60"/>
      <c r="D728" s="60"/>
      <c r="E728" s="60"/>
      <c r="F728" s="60"/>
      <c r="G728" s="60"/>
      <c r="J728" s="99"/>
      <c r="K728" s="99"/>
      <c r="L728" s="99"/>
      <c r="M728" s="99"/>
      <c r="N728" s="43">
        <f t="shared" si="11"/>
        <v>0</v>
      </c>
    </row>
    <row r="729" spans="2:14" ht="1.5" customHeight="1">
      <c r="B729" s="57"/>
      <c r="C729" s="60"/>
      <c r="D729" s="60"/>
      <c r="E729" s="60"/>
      <c r="F729" s="60"/>
      <c r="G729" s="60"/>
      <c r="J729" s="99"/>
      <c r="K729" s="99"/>
      <c r="L729" s="99"/>
      <c r="M729" s="99"/>
      <c r="N729" s="43">
        <f t="shared" si="11"/>
        <v>0</v>
      </c>
    </row>
    <row r="730" spans="2:14" ht="1.5" customHeight="1">
      <c r="B730" s="57"/>
      <c r="C730" s="60"/>
      <c r="D730" s="60"/>
      <c r="E730" s="60"/>
      <c r="F730" s="60"/>
      <c r="G730" s="60"/>
      <c r="J730" s="99"/>
      <c r="K730" s="99"/>
      <c r="L730" s="99"/>
      <c r="M730" s="99"/>
      <c r="N730" s="43">
        <f t="shared" si="11"/>
        <v>0</v>
      </c>
    </row>
    <row r="731" spans="2:14" ht="1.5" customHeight="1">
      <c r="B731" s="57"/>
      <c r="C731" s="60"/>
      <c r="D731" s="60"/>
      <c r="E731" s="60"/>
      <c r="F731" s="60"/>
      <c r="G731" s="60"/>
      <c r="J731" s="99"/>
      <c r="K731" s="99"/>
      <c r="L731" s="99"/>
      <c r="M731" s="99"/>
      <c r="N731" s="43">
        <f t="shared" si="11"/>
        <v>0</v>
      </c>
    </row>
    <row r="732" spans="2:14" ht="1.5" customHeight="1">
      <c r="B732" s="57"/>
      <c r="C732" s="60"/>
      <c r="D732" s="60"/>
      <c r="E732" s="60"/>
      <c r="F732" s="60"/>
      <c r="G732" s="60"/>
      <c r="J732" s="99"/>
      <c r="K732" s="99"/>
      <c r="L732" s="99"/>
      <c r="M732" s="99"/>
      <c r="N732" s="43">
        <f t="shared" si="11"/>
        <v>0</v>
      </c>
    </row>
    <row r="733" spans="2:14" ht="1.5" customHeight="1">
      <c r="B733" s="57"/>
      <c r="C733" s="60"/>
      <c r="D733" s="60"/>
      <c r="E733" s="60"/>
      <c r="F733" s="60"/>
      <c r="G733" s="60"/>
      <c r="J733" s="99"/>
      <c r="K733" s="99"/>
      <c r="L733" s="99"/>
      <c r="M733" s="99"/>
      <c r="N733" s="43">
        <f t="shared" si="11"/>
        <v>0</v>
      </c>
    </row>
    <row r="734" spans="2:14" ht="1.5" customHeight="1">
      <c r="B734" s="57"/>
      <c r="C734" s="60"/>
      <c r="D734" s="60"/>
      <c r="E734" s="60"/>
      <c r="F734" s="60"/>
      <c r="G734" s="60"/>
      <c r="J734" s="99"/>
      <c r="K734" s="99"/>
      <c r="L734" s="99"/>
      <c r="M734" s="99"/>
      <c r="N734" s="43">
        <f t="shared" si="11"/>
        <v>0</v>
      </c>
    </row>
    <row r="735" spans="2:14" ht="1.5" customHeight="1">
      <c r="B735" s="57"/>
      <c r="C735" s="60"/>
      <c r="D735" s="60"/>
      <c r="E735" s="60"/>
      <c r="F735" s="60"/>
      <c r="G735" s="60"/>
      <c r="J735" s="99"/>
      <c r="K735" s="99"/>
      <c r="L735" s="99"/>
      <c r="M735" s="99"/>
      <c r="N735" s="43">
        <f t="shared" si="11"/>
        <v>0</v>
      </c>
    </row>
    <row r="736" spans="2:14" ht="1.5" customHeight="1">
      <c r="B736" s="57"/>
      <c r="C736" s="60"/>
      <c r="D736" s="60"/>
      <c r="E736" s="60"/>
      <c r="F736" s="60"/>
      <c r="G736" s="60"/>
      <c r="J736" s="99"/>
      <c r="K736" s="99"/>
      <c r="L736" s="99"/>
      <c r="M736" s="99"/>
      <c r="N736" s="43">
        <f t="shared" si="11"/>
        <v>0</v>
      </c>
    </row>
    <row r="737" spans="2:14" ht="1.5" customHeight="1">
      <c r="B737" s="57"/>
      <c r="C737" s="60"/>
      <c r="D737" s="60"/>
      <c r="E737" s="60"/>
      <c r="F737" s="60"/>
      <c r="G737" s="60"/>
      <c r="J737" s="99"/>
      <c r="K737" s="99"/>
      <c r="L737" s="99"/>
      <c r="M737" s="99"/>
      <c r="N737" s="43">
        <f t="shared" si="11"/>
        <v>0</v>
      </c>
    </row>
    <row r="738" spans="2:14" ht="1.5" customHeight="1">
      <c r="B738" s="57"/>
      <c r="C738" s="60"/>
      <c r="D738" s="60"/>
      <c r="E738" s="60"/>
      <c r="F738" s="60"/>
      <c r="G738" s="60"/>
      <c r="J738" s="99"/>
      <c r="K738" s="99"/>
      <c r="L738" s="99"/>
      <c r="M738" s="99"/>
      <c r="N738" s="43">
        <f t="shared" si="11"/>
        <v>0</v>
      </c>
    </row>
    <row r="739" spans="2:14" ht="1.5" customHeight="1">
      <c r="B739" s="57"/>
      <c r="C739" s="60"/>
      <c r="D739" s="60"/>
      <c r="E739" s="60"/>
      <c r="F739" s="60"/>
      <c r="G739" s="60"/>
      <c r="J739" s="99"/>
      <c r="K739" s="99"/>
      <c r="L739" s="99"/>
      <c r="M739" s="99"/>
      <c r="N739" s="43">
        <f t="shared" si="11"/>
        <v>0</v>
      </c>
    </row>
    <row r="740" spans="2:14" ht="1.5" customHeight="1">
      <c r="B740" s="57"/>
      <c r="C740" s="60"/>
      <c r="D740" s="60"/>
      <c r="E740" s="60"/>
      <c r="F740" s="60"/>
      <c r="G740" s="60"/>
      <c r="J740" s="99"/>
      <c r="K740" s="99"/>
      <c r="L740" s="99"/>
      <c r="M740" s="99"/>
      <c r="N740" s="43">
        <f t="shared" si="11"/>
        <v>0</v>
      </c>
    </row>
    <row r="741" spans="2:14" ht="1.5" customHeight="1">
      <c r="B741" s="57"/>
      <c r="C741" s="60"/>
      <c r="D741" s="60"/>
      <c r="E741" s="60"/>
      <c r="F741" s="60"/>
      <c r="G741" s="60"/>
      <c r="J741" s="99"/>
      <c r="K741" s="99"/>
      <c r="L741" s="99"/>
      <c r="M741" s="99"/>
      <c r="N741" s="43">
        <f t="shared" si="11"/>
        <v>0</v>
      </c>
    </row>
    <row r="742" spans="2:14" ht="1.5" customHeight="1">
      <c r="B742" s="57"/>
      <c r="C742" s="60"/>
      <c r="D742" s="60"/>
      <c r="E742" s="60"/>
      <c r="F742" s="60"/>
      <c r="G742" s="60"/>
      <c r="J742" s="99"/>
      <c r="K742" s="99"/>
      <c r="L742" s="99"/>
      <c r="M742" s="99"/>
      <c r="N742" s="43">
        <f t="shared" si="11"/>
        <v>0</v>
      </c>
    </row>
    <row r="743" spans="2:14" ht="1.5" customHeight="1">
      <c r="B743" s="57"/>
      <c r="C743" s="60"/>
      <c r="D743" s="60"/>
      <c r="E743" s="60"/>
      <c r="F743" s="60"/>
      <c r="G743" s="60"/>
      <c r="J743" s="99"/>
      <c r="K743" s="99"/>
      <c r="L743" s="99"/>
      <c r="M743" s="99"/>
      <c r="N743" s="43">
        <f t="shared" si="11"/>
        <v>0</v>
      </c>
    </row>
    <row r="744" spans="2:14" ht="1.5" customHeight="1">
      <c r="B744" s="57"/>
      <c r="C744" s="60"/>
      <c r="D744" s="60"/>
      <c r="E744" s="60"/>
      <c r="F744" s="60"/>
      <c r="G744" s="60"/>
      <c r="J744" s="99"/>
      <c r="K744" s="99"/>
      <c r="L744" s="99"/>
      <c r="M744" s="99"/>
      <c r="N744" s="43">
        <f t="shared" si="11"/>
        <v>0</v>
      </c>
    </row>
    <row r="745" spans="2:14" ht="1.5" customHeight="1">
      <c r="B745" s="57"/>
      <c r="C745" s="60"/>
      <c r="D745" s="60"/>
      <c r="E745" s="60"/>
      <c r="F745" s="60"/>
      <c r="G745" s="60"/>
      <c r="J745" s="99"/>
      <c r="K745" s="99"/>
      <c r="L745" s="99"/>
      <c r="M745" s="99"/>
      <c r="N745" s="43">
        <f t="shared" si="11"/>
        <v>0</v>
      </c>
    </row>
    <row r="746" spans="2:14" ht="1.5" customHeight="1">
      <c r="B746" s="57"/>
      <c r="C746" s="60"/>
      <c r="D746" s="60"/>
      <c r="E746" s="60"/>
      <c r="F746" s="60"/>
      <c r="G746" s="60"/>
      <c r="J746" s="99"/>
      <c r="K746" s="99"/>
      <c r="L746" s="99"/>
      <c r="M746" s="99"/>
      <c r="N746" s="43">
        <f t="shared" si="11"/>
        <v>0</v>
      </c>
    </row>
    <row r="747" spans="2:14" ht="1.5" customHeight="1">
      <c r="B747" s="57"/>
      <c r="C747" s="60"/>
      <c r="D747" s="60"/>
      <c r="E747" s="60"/>
      <c r="F747" s="60"/>
      <c r="G747" s="60"/>
      <c r="J747" s="99"/>
      <c r="K747" s="99"/>
      <c r="L747" s="99"/>
      <c r="M747" s="99"/>
      <c r="N747" s="43">
        <f t="shared" si="11"/>
        <v>0</v>
      </c>
    </row>
    <row r="748" spans="2:14" ht="1.5" customHeight="1">
      <c r="B748" s="57"/>
      <c r="C748" s="60"/>
      <c r="D748" s="60"/>
      <c r="E748" s="60"/>
      <c r="F748" s="60"/>
      <c r="G748" s="60"/>
      <c r="J748" s="99"/>
      <c r="K748" s="99"/>
      <c r="L748" s="99"/>
      <c r="M748" s="99"/>
      <c r="N748" s="43">
        <f t="shared" si="11"/>
        <v>0</v>
      </c>
    </row>
    <row r="749" spans="2:14" ht="1.5" customHeight="1">
      <c r="B749" s="57"/>
      <c r="C749" s="60"/>
      <c r="D749" s="60"/>
      <c r="E749" s="60"/>
      <c r="F749" s="60"/>
      <c r="G749" s="60"/>
      <c r="J749" s="99"/>
      <c r="K749" s="99"/>
      <c r="L749" s="99"/>
      <c r="M749" s="99"/>
      <c r="N749" s="43">
        <f t="shared" si="11"/>
        <v>0</v>
      </c>
    </row>
    <row r="750" spans="2:14" ht="1.5" customHeight="1">
      <c r="B750" s="57"/>
      <c r="C750" s="60"/>
      <c r="D750" s="60"/>
      <c r="E750" s="60"/>
      <c r="F750" s="60"/>
      <c r="G750" s="60"/>
      <c r="J750" s="99"/>
      <c r="K750" s="99"/>
      <c r="L750" s="99"/>
      <c r="M750" s="99"/>
      <c r="N750" s="43">
        <f t="shared" si="11"/>
        <v>0</v>
      </c>
    </row>
    <row r="751" spans="2:14" ht="1.5" customHeight="1">
      <c r="B751" s="57"/>
      <c r="C751" s="60"/>
      <c r="D751" s="60"/>
      <c r="E751" s="60"/>
      <c r="F751" s="60"/>
      <c r="G751" s="60"/>
      <c r="J751" s="99"/>
      <c r="K751" s="99"/>
      <c r="L751" s="99"/>
      <c r="M751" s="99"/>
      <c r="N751" s="43">
        <f t="shared" si="11"/>
        <v>0</v>
      </c>
    </row>
    <row r="752" spans="2:14" ht="1.5" customHeight="1">
      <c r="B752" s="57"/>
      <c r="C752" s="60"/>
      <c r="D752" s="60"/>
      <c r="E752" s="60"/>
      <c r="F752" s="60"/>
      <c r="G752" s="60"/>
      <c r="J752" s="99"/>
      <c r="K752" s="99"/>
      <c r="L752" s="99"/>
      <c r="M752" s="99"/>
      <c r="N752" s="43">
        <f t="shared" si="11"/>
        <v>0</v>
      </c>
    </row>
    <row r="753" spans="2:14" ht="1.5" customHeight="1">
      <c r="B753" s="57"/>
      <c r="C753" s="60"/>
      <c r="D753" s="60"/>
      <c r="E753" s="60"/>
      <c r="F753" s="60"/>
      <c r="G753" s="60"/>
      <c r="J753" s="99"/>
      <c r="K753" s="99"/>
      <c r="L753" s="99"/>
      <c r="M753" s="99"/>
      <c r="N753" s="43">
        <f t="shared" si="11"/>
        <v>0</v>
      </c>
    </row>
    <row r="754" spans="2:14" ht="1.5" customHeight="1">
      <c r="B754" s="57"/>
      <c r="C754" s="60"/>
      <c r="D754" s="60"/>
      <c r="E754" s="60"/>
      <c r="F754" s="60"/>
      <c r="G754" s="60"/>
      <c r="J754" s="99"/>
      <c r="K754" s="99"/>
      <c r="L754" s="99"/>
      <c r="M754" s="99"/>
      <c r="N754" s="43">
        <f t="shared" si="11"/>
        <v>0</v>
      </c>
    </row>
    <row r="755" spans="2:14" ht="1.5" customHeight="1">
      <c r="B755" s="57"/>
      <c r="C755" s="60"/>
      <c r="D755" s="60"/>
      <c r="E755" s="60"/>
      <c r="F755" s="60"/>
      <c r="G755" s="60"/>
      <c r="J755" s="99"/>
      <c r="K755" s="99"/>
      <c r="L755" s="99"/>
      <c r="M755" s="99"/>
      <c r="N755" s="43">
        <f t="shared" si="11"/>
        <v>0</v>
      </c>
    </row>
    <row r="756" spans="2:14" ht="1.5" customHeight="1">
      <c r="B756" s="57"/>
      <c r="C756" s="60"/>
      <c r="D756" s="60"/>
      <c r="E756" s="60"/>
      <c r="F756" s="60"/>
      <c r="G756" s="60"/>
      <c r="J756" s="99"/>
      <c r="K756" s="99"/>
      <c r="L756" s="99"/>
      <c r="M756" s="99"/>
      <c r="N756" s="43">
        <f t="shared" si="11"/>
        <v>0</v>
      </c>
    </row>
    <row r="757" spans="2:14" ht="1.5" customHeight="1">
      <c r="B757" s="57"/>
      <c r="C757" s="60"/>
      <c r="D757" s="60"/>
      <c r="E757" s="60"/>
      <c r="F757" s="60"/>
      <c r="G757" s="60"/>
      <c r="J757" s="99"/>
      <c r="K757" s="99"/>
      <c r="L757" s="99"/>
      <c r="M757" s="99"/>
      <c r="N757" s="43">
        <f t="shared" si="11"/>
        <v>0</v>
      </c>
    </row>
    <row r="758" spans="2:14" ht="1.5" customHeight="1">
      <c r="B758" s="57"/>
      <c r="C758" s="60"/>
      <c r="D758" s="60"/>
      <c r="E758" s="60"/>
      <c r="F758" s="60"/>
      <c r="G758" s="60"/>
      <c r="J758" s="99"/>
      <c r="K758" s="99"/>
      <c r="L758" s="99"/>
      <c r="M758" s="99"/>
      <c r="N758" s="43">
        <f t="shared" si="11"/>
        <v>0</v>
      </c>
    </row>
    <row r="759" spans="2:14" ht="1.5" customHeight="1">
      <c r="B759" s="57"/>
      <c r="C759" s="60"/>
      <c r="D759" s="60"/>
      <c r="E759" s="60"/>
      <c r="F759" s="60"/>
      <c r="G759" s="60"/>
      <c r="J759" s="99"/>
      <c r="K759" s="99"/>
      <c r="L759" s="99"/>
      <c r="M759" s="99"/>
      <c r="N759" s="43">
        <f t="shared" si="11"/>
        <v>0</v>
      </c>
    </row>
    <row r="760" spans="2:14" ht="1.5" customHeight="1">
      <c r="B760" s="57"/>
      <c r="C760" s="60"/>
      <c r="D760" s="60"/>
      <c r="E760" s="60"/>
      <c r="F760" s="60"/>
      <c r="G760" s="60"/>
      <c r="J760" s="99"/>
      <c r="K760" s="99"/>
      <c r="L760" s="99"/>
      <c r="M760" s="99"/>
      <c r="N760" s="43">
        <f t="shared" si="11"/>
        <v>0</v>
      </c>
    </row>
    <row r="761" spans="2:14" ht="1.5" customHeight="1">
      <c r="B761" s="57"/>
      <c r="C761" s="60"/>
      <c r="D761" s="60"/>
      <c r="E761" s="60"/>
      <c r="F761" s="60"/>
      <c r="G761" s="60"/>
      <c r="J761" s="99"/>
      <c r="K761" s="99"/>
      <c r="L761" s="99"/>
      <c r="M761" s="99"/>
      <c r="N761" s="43">
        <f t="shared" si="11"/>
        <v>0</v>
      </c>
    </row>
    <row r="762" spans="2:14" ht="1.5" customHeight="1">
      <c r="B762" s="57"/>
      <c r="C762" s="60"/>
      <c r="D762" s="60"/>
      <c r="E762" s="60"/>
      <c r="F762" s="60"/>
      <c r="G762" s="60"/>
      <c r="J762" s="99"/>
      <c r="K762" s="99"/>
      <c r="L762" s="99"/>
      <c r="M762" s="99"/>
      <c r="N762" s="43">
        <f t="shared" si="11"/>
        <v>0</v>
      </c>
    </row>
    <row r="763" spans="2:14" ht="1.5" customHeight="1">
      <c r="B763" s="57"/>
      <c r="C763" s="60"/>
      <c r="D763" s="60"/>
      <c r="E763" s="60"/>
      <c r="F763" s="60"/>
      <c r="G763" s="60"/>
      <c r="J763" s="99"/>
      <c r="K763" s="99"/>
      <c r="L763" s="99"/>
      <c r="M763" s="99"/>
      <c r="N763" s="43">
        <f t="shared" si="11"/>
        <v>0</v>
      </c>
    </row>
    <row r="764" spans="2:14" ht="1.5" customHeight="1">
      <c r="B764" s="57"/>
      <c r="C764" s="60"/>
      <c r="D764" s="60"/>
      <c r="E764" s="60"/>
      <c r="F764" s="60"/>
      <c r="G764" s="60"/>
      <c r="J764" s="99"/>
      <c r="K764" s="99"/>
      <c r="L764" s="99"/>
      <c r="M764" s="99"/>
      <c r="N764" s="43">
        <f t="shared" si="11"/>
        <v>0</v>
      </c>
    </row>
    <row r="765" spans="2:14" ht="1.5" customHeight="1">
      <c r="B765" s="57"/>
      <c r="C765" s="60"/>
      <c r="D765" s="60"/>
      <c r="E765" s="60"/>
      <c r="F765" s="60"/>
      <c r="G765" s="60"/>
      <c r="J765" s="99"/>
      <c r="K765" s="99"/>
      <c r="L765" s="99"/>
      <c r="M765" s="99"/>
      <c r="N765" s="43">
        <f t="shared" si="11"/>
        <v>0</v>
      </c>
    </row>
    <row r="766" spans="2:14" ht="1.5" customHeight="1">
      <c r="B766" s="57"/>
      <c r="C766" s="60"/>
      <c r="D766" s="60"/>
      <c r="E766" s="60"/>
      <c r="F766" s="60"/>
      <c r="G766" s="60"/>
      <c r="J766" s="99"/>
      <c r="K766" s="99"/>
      <c r="L766" s="99"/>
      <c r="M766" s="99"/>
      <c r="N766" s="43">
        <f t="shared" si="11"/>
        <v>0</v>
      </c>
    </row>
    <row r="767" spans="2:14" ht="1.5" customHeight="1">
      <c r="B767" s="57"/>
      <c r="C767" s="60"/>
      <c r="D767" s="60"/>
      <c r="E767" s="60"/>
      <c r="F767" s="60"/>
      <c r="G767" s="60"/>
      <c r="J767" s="99"/>
      <c r="K767" s="99"/>
      <c r="L767" s="99"/>
      <c r="M767" s="99"/>
      <c r="N767" s="43">
        <f t="shared" si="11"/>
        <v>0</v>
      </c>
    </row>
    <row r="768" spans="2:14" ht="1.5" customHeight="1">
      <c r="B768" s="57"/>
      <c r="C768" s="60"/>
      <c r="D768" s="60"/>
      <c r="E768" s="60"/>
      <c r="F768" s="60"/>
      <c r="G768" s="60"/>
      <c r="J768" s="99"/>
      <c r="K768" s="99"/>
      <c r="L768" s="99"/>
      <c r="M768" s="99"/>
      <c r="N768" s="43">
        <f t="shared" si="11"/>
        <v>0</v>
      </c>
    </row>
    <row r="769" spans="2:14" ht="1.5" customHeight="1">
      <c r="B769" s="57"/>
      <c r="C769" s="60"/>
      <c r="D769" s="60"/>
      <c r="E769" s="60"/>
      <c r="F769" s="60"/>
      <c r="G769" s="60"/>
      <c r="J769" s="99"/>
      <c r="K769" s="99"/>
      <c r="L769" s="99"/>
      <c r="M769" s="99"/>
      <c r="N769" s="43">
        <f t="shared" si="11"/>
        <v>0</v>
      </c>
    </row>
    <row r="770" spans="2:14" ht="1.5" customHeight="1">
      <c r="B770" s="57"/>
      <c r="C770" s="60"/>
      <c r="D770" s="60"/>
      <c r="E770" s="60"/>
      <c r="F770" s="60"/>
      <c r="G770" s="60"/>
      <c r="J770" s="99"/>
      <c r="K770" s="99"/>
      <c r="L770" s="99"/>
      <c r="M770" s="99"/>
      <c r="N770" s="43">
        <f t="shared" si="11"/>
        <v>0</v>
      </c>
    </row>
    <row r="771" spans="2:14" ht="1.5" customHeight="1">
      <c r="B771" s="57"/>
      <c r="C771" s="60"/>
      <c r="D771" s="60"/>
      <c r="E771" s="60"/>
      <c r="F771" s="60"/>
      <c r="G771" s="60"/>
      <c r="J771" s="99"/>
      <c r="K771" s="99"/>
      <c r="L771" s="99"/>
      <c r="M771" s="99"/>
      <c r="N771" s="43">
        <f t="shared" si="11"/>
        <v>0</v>
      </c>
    </row>
    <row r="772" spans="2:14" ht="1.5" customHeight="1">
      <c r="B772" s="57"/>
      <c r="C772" s="60"/>
      <c r="D772" s="60"/>
      <c r="E772" s="60"/>
      <c r="F772" s="60"/>
      <c r="G772" s="60"/>
      <c r="J772" s="99"/>
      <c r="K772" s="99"/>
      <c r="L772" s="99"/>
      <c r="M772" s="99"/>
      <c r="N772" s="43">
        <f t="shared" si="11"/>
        <v>0</v>
      </c>
    </row>
    <row r="773" spans="2:14" ht="1.5" customHeight="1">
      <c r="B773" s="57"/>
      <c r="C773" s="60"/>
      <c r="D773" s="60"/>
      <c r="E773" s="60"/>
      <c r="F773" s="60"/>
      <c r="G773" s="60"/>
      <c r="J773" s="99"/>
      <c r="K773" s="99"/>
      <c r="L773" s="99"/>
      <c r="M773" s="99"/>
      <c r="N773" s="43">
        <f t="shared" si="11"/>
        <v>0</v>
      </c>
    </row>
    <row r="774" spans="2:14" ht="1.5" customHeight="1">
      <c r="B774" s="57"/>
      <c r="C774" s="60"/>
      <c r="D774" s="60"/>
      <c r="E774" s="60"/>
      <c r="F774" s="60"/>
      <c r="G774" s="60"/>
      <c r="J774" s="99"/>
      <c r="K774" s="99"/>
      <c r="L774" s="99"/>
      <c r="M774" s="99"/>
      <c r="N774" s="43">
        <f t="shared" si="11"/>
        <v>0</v>
      </c>
    </row>
    <row r="775" spans="2:14" ht="1.5" customHeight="1">
      <c r="B775" s="57"/>
      <c r="C775" s="60"/>
      <c r="D775" s="60"/>
      <c r="E775" s="60"/>
      <c r="F775" s="60"/>
      <c r="G775" s="60"/>
      <c r="J775" s="99"/>
      <c r="K775" s="99"/>
      <c r="L775" s="99"/>
      <c r="M775" s="99"/>
      <c r="N775" s="43">
        <f t="shared" si="11"/>
        <v>0</v>
      </c>
    </row>
    <row r="776" spans="2:14" ht="1.5" customHeight="1">
      <c r="B776" s="57"/>
      <c r="C776" s="60"/>
      <c r="D776" s="60"/>
      <c r="E776" s="60"/>
      <c r="F776" s="60"/>
      <c r="G776" s="60"/>
      <c r="J776" s="99"/>
      <c r="K776" s="99"/>
      <c r="L776" s="99"/>
      <c r="M776" s="99"/>
      <c r="N776" s="43">
        <f t="shared" si="11"/>
        <v>0</v>
      </c>
    </row>
    <row r="777" spans="2:14" ht="1.5" customHeight="1">
      <c r="B777" s="57"/>
      <c r="C777" s="60"/>
      <c r="D777" s="60"/>
      <c r="E777" s="60"/>
      <c r="F777" s="60"/>
      <c r="G777" s="60"/>
      <c r="J777" s="99"/>
      <c r="K777" s="99"/>
      <c r="L777" s="99"/>
      <c r="M777" s="99"/>
      <c r="N777" s="43">
        <f t="shared" si="11"/>
        <v>0</v>
      </c>
    </row>
    <row r="778" spans="2:14" ht="1.5" customHeight="1">
      <c r="B778" s="57"/>
      <c r="C778" s="60"/>
      <c r="D778" s="60"/>
      <c r="E778" s="60"/>
      <c r="F778" s="60"/>
      <c r="G778" s="60"/>
      <c r="J778" s="99"/>
      <c r="K778" s="99"/>
      <c r="L778" s="99"/>
      <c r="M778" s="99"/>
      <c r="N778" s="43">
        <f t="shared" si="11"/>
        <v>0</v>
      </c>
    </row>
    <row r="779" spans="2:14" ht="1.5" customHeight="1">
      <c r="B779" s="57"/>
      <c r="C779" s="60"/>
      <c r="D779" s="60"/>
      <c r="E779" s="60"/>
      <c r="F779" s="60"/>
      <c r="G779" s="60"/>
      <c r="J779" s="99"/>
      <c r="K779" s="99"/>
      <c r="L779" s="99"/>
      <c r="M779" s="99"/>
      <c r="N779" s="43">
        <f t="shared" ref="N779:N811" si="12">IF($L$4=$C$10,C779,IF(D779="","",B779))</f>
        <v>0</v>
      </c>
    </row>
    <row r="780" spans="2:14" ht="1.5" customHeight="1">
      <c r="B780" s="57"/>
      <c r="C780" s="60"/>
      <c r="D780" s="60"/>
      <c r="E780" s="60"/>
      <c r="F780" s="60"/>
      <c r="G780" s="60"/>
      <c r="J780" s="99"/>
      <c r="K780" s="99"/>
      <c r="L780" s="99"/>
      <c r="M780" s="99"/>
      <c r="N780" s="43">
        <f t="shared" si="12"/>
        <v>0</v>
      </c>
    </row>
    <row r="781" spans="2:14" ht="1.5" customHeight="1">
      <c r="B781" s="57"/>
      <c r="C781" s="60"/>
      <c r="D781" s="60"/>
      <c r="E781" s="60"/>
      <c r="F781" s="60"/>
      <c r="G781" s="60"/>
      <c r="J781" s="99"/>
      <c r="K781" s="99"/>
      <c r="L781" s="99"/>
      <c r="M781" s="99"/>
      <c r="N781" s="43">
        <f t="shared" si="12"/>
        <v>0</v>
      </c>
    </row>
    <row r="782" spans="2:14" ht="1.5" customHeight="1">
      <c r="B782" s="57"/>
      <c r="C782" s="60"/>
      <c r="D782" s="60"/>
      <c r="E782" s="60"/>
      <c r="F782" s="60"/>
      <c r="G782" s="60"/>
      <c r="J782" s="99"/>
      <c r="K782" s="99"/>
      <c r="L782" s="99"/>
      <c r="M782" s="99"/>
      <c r="N782" s="43">
        <f t="shared" si="12"/>
        <v>0</v>
      </c>
    </row>
    <row r="783" spans="2:14" ht="1.5" customHeight="1">
      <c r="B783" s="57"/>
      <c r="C783" s="60"/>
      <c r="D783" s="60"/>
      <c r="E783" s="60"/>
      <c r="F783" s="60"/>
      <c r="G783" s="60"/>
      <c r="J783" s="99"/>
      <c r="K783" s="99"/>
      <c r="L783" s="99"/>
      <c r="M783" s="99"/>
      <c r="N783" s="43">
        <f t="shared" si="12"/>
        <v>0</v>
      </c>
    </row>
    <row r="784" spans="2:14" ht="1.5" customHeight="1">
      <c r="B784" s="57"/>
      <c r="C784" s="60"/>
      <c r="D784" s="60"/>
      <c r="E784" s="60"/>
      <c r="F784" s="60"/>
      <c r="G784" s="60"/>
      <c r="J784" s="99"/>
      <c r="K784" s="99"/>
      <c r="L784" s="99"/>
      <c r="M784" s="99"/>
      <c r="N784" s="43">
        <f t="shared" si="12"/>
        <v>0</v>
      </c>
    </row>
    <row r="785" spans="2:14" ht="1.5" customHeight="1">
      <c r="B785" s="57"/>
      <c r="C785" s="60"/>
      <c r="D785" s="60"/>
      <c r="E785" s="60"/>
      <c r="F785" s="60"/>
      <c r="G785" s="60"/>
      <c r="J785" s="99"/>
      <c r="K785" s="99"/>
      <c r="L785" s="99"/>
      <c r="M785" s="99"/>
      <c r="N785" s="43">
        <f t="shared" si="12"/>
        <v>0</v>
      </c>
    </row>
    <row r="786" spans="2:14" ht="1.5" customHeight="1">
      <c r="B786" s="57"/>
      <c r="C786" s="60"/>
      <c r="D786" s="60"/>
      <c r="E786" s="60"/>
      <c r="F786" s="60"/>
      <c r="G786" s="60"/>
      <c r="J786" s="99"/>
      <c r="K786" s="99"/>
      <c r="L786" s="99"/>
      <c r="M786" s="99"/>
      <c r="N786" s="43">
        <f t="shared" si="12"/>
        <v>0</v>
      </c>
    </row>
    <row r="787" spans="2:14" ht="1.5" customHeight="1">
      <c r="B787" s="57"/>
      <c r="C787" s="60"/>
      <c r="D787" s="60"/>
      <c r="E787" s="60"/>
      <c r="F787" s="60"/>
      <c r="G787" s="60"/>
      <c r="J787" s="99"/>
      <c r="K787" s="99"/>
      <c r="L787" s="99"/>
      <c r="M787" s="99"/>
      <c r="N787" s="43">
        <f t="shared" si="12"/>
        <v>0</v>
      </c>
    </row>
    <row r="788" spans="2:14" ht="1.5" customHeight="1">
      <c r="B788" s="57"/>
      <c r="C788" s="60"/>
      <c r="D788" s="60"/>
      <c r="E788" s="60"/>
      <c r="F788" s="60"/>
      <c r="G788" s="60"/>
      <c r="J788" s="99"/>
      <c r="K788" s="99"/>
      <c r="L788" s="99"/>
      <c r="M788" s="99"/>
      <c r="N788" s="43">
        <f t="shared" si="12"/>
        <v>0</v>
      </c>
    </row>
    <row r="789" spans="2:14" ht="1.5" customHeight="1">
      <c r="B789" s="57"/>
      <c r="C789" s="60"/>
      <c r="D789" s="60"/>
      <c r="E789" s="60"/>
      <c r="F789" s="60"/>
      <c r="G789" s="60"/>
      <c r="J789" s="99"/>
      <c r="K789" s="99"/>
      <c r="L789" s="99"/>
      <c r="M789" s="99"/>
      <c r="N789" s="43">
        <f t="shared" si="12"/>
        <v>0</v>
      </c>
    </row>
    <row r="790" spans="2:14" ht="1.5" customHeight="1">
      <c r="B790" s="57"/>
      <c r="C790" s="60"/>
      <c r="D790" s="60"/>
      <c r="E790" s="60"/>
      <c r="F790" s="60"/>
      <c r="G790" s="60"/>
      <c r="J790" s="99"/>
      <c r="K790" s="99"/>
      <c r="L790" s="99"/>
      <c r="M790" s="99"/>
      <c r="N790" s="43">
        <f t="shared" si="12"/>
        <v>0</v>
      </c>
    </row>
    <row r="791" spans="2:14" ht="1.5" customHeight="1">
      <c r="B791" s="57"/>
      <c r="C791" s="60"/>
      <c r="D791" s="60"/>
      <c r="E791" s="60"/>
      <c r="F791" s="60"/>
      <c r="G791" s="60"/>
      <c r="J791" s="99"/>
      <c r="K791" s="99"/>
      <c r="L791" s="99"/>
      <c r="M791" s="99"/>
      <c r="N791" s="43">
        <f t="shared" si="12"/>
        <v>0</v>
      </c>
    </row>
    <row r="792" spans="2:14" ht="1.5" customHeight="1">
      <c r="B792" s="57"/>
      <c r="C792" s="60"/>
      <c r="D792" s="60"/>
      <c r="E792" s="60"/>
      <c r="F792" s="60"/>
      <c r="G792" s="60"/>
      <c r="J792" s="99"/>
      <c r="K792" s="99"/>
      <c r="L792" s="99"/>
      <c r="M792" s="99"/>
      <c r="N792" s="43">
        <f t="shared" si="12"/>
        <v>0</v>
      </c>
    </row>
    <row r="793" spans="2:14" ht="1.5" customHeight="1">
      <c r="B793" s="57"/>
      <c r="C793" s="60"/>
      <c r="D793" s="60"/>
      <c r="E793" s="60"/>
      <c r="F793" s="60"/>
      <c r="G793" s="60"/>
      <c r="J793" s="99"/>
      <c r="K793" s="99"/>
      <c r="L793" s="99"/>
      <c r="M793" s="99"/>
      <c r="N793" s="43">
        <f t="shared" si="12"/>
        <v>0</v>
      </c>
    </row>
    <row r="794" spans="2:14" ht="1.5" customHeight="1">
      <c r="B794" s="57"/>
      <c r="C794" s="60"/>
      <c r="D794" s="60"/>
      <c r="E794" s="60"/>
      <c r="F794" s="60"/>
      <c r="G794" s="60"/>
      <c r="J794" s="99"/>
      <c r="K794" s="99"/>
      <c r="L794" s="99"/>
      <c r="M794" s="99"/>
      <c r="N794" s="43">
        <f t="shared" si="12"/>
        <v>0</v>
      </c>
    </row>
    <row r="795" spans="2:14" ht="1.5" customHeight="1">
      <c r="B795" s="57"/>
      <c r="C795" s="60"/>
      <c r="D795" s="60"/>
      <c r="E795" s="60"/>
      <c r="F795" s="60"/>
      <c r="G795" s="60"/>
      <c r="J795" s="99"/>
      <c r="K795" s="99"/>
      <c r="L795" s="99"/>
      <c r="M795" s="99"/>
      <c r="N795" s="43">
        <f t="shared" si="12"/>
        <v>0</v>
      </c>
    </row>
    <row r="796" spans="2:14" ht="1.5" customHeight="1">
      <c r="B796" s="57"/>
      <c r="C796" s="60"/>
      <c r="D796" s="60"/>
      <c r="E796" s="60"/>
      <c r="F796" s="60"/>
      <c r="G796" s="60"/>
      <c r="J796" s="99"/>
      <c r="K796" s="99"/>
      <c r="L796" s="99"/>
      <c r="M796" s="99"/>
      <c r="N796" s="43">
        <f t="shared" si="12"/>
        <v>0</v>
      </c>
    </row>
    <row r="797" spans="2:14" ht="1.5" customHeight="1">
      <c r="B797" s="57"/>
      <c r="C797" s="60"/>
      <c r="D797" s="60"/>
      <c r="E797" s="60"/>
      <c r="F797" s="60"/>
      <c r="G797" s="60"/>
      <c r="J797" s="99"/>
      <c r="K797" s="99"/>
      <c r="L797" s="99"/>
      <c r="M797" s="99"/>
      <c r="N797" s="43">
        <f t="shared" si="12"/>
        <v>0</v>
      </c>
    </row>
    <row r="798" spans="2:14" ht="1.5" customHeight="1">
      <c r="B798" s="57"/>
      <c r="C798" s="60"/>
      <c r="D798" s="60"/>
      <c r="E798" s="60"/>
      <c r="F798" s="60"/>
      <c r="G798" s="60"/>
      <c r="J798" s="99"/>
      <c r="K798" s="99"/>
      <c r="L798" s="99"/>
      <c r="M798" s="99"/>
      <c r="N798" s="43">
        <f t="shared" si="12"/>
        <v>0</v>
      </c>
    </row>
    <row r="799" spans="2:14" ht="1.5" customHeight="1">
      <c r="B799" s="57"/>
      <c r="C799" s="60"/>
      <c r="D799" s="60"/>
      <c r="E799" s="60"/>
      <c r="F799" s="60"/>
      <c r="G799" s="60"/>
      <c r="J799" s="99"/>
      <c r="K799" s="99"/>
      <c r="L799" s="99"/>
      <c r="M799" s="99"/>
      <c r="N799" s="43">
        <f t="shared" si="12"/>
        <v>0</v>
      </c>
    </row>
    <row r="800" spans="2:14" ht="1.5" customHeight="1">
      <c r="B800" s="57"/>
      <c r="C800" s="60"/>
      <c r="D800" s="60"/>
      <c r="E800" s="60"/>
      <c r="F800" s="60"/>
      <c r="G800" s="60"/>
      <c r="J800" s="99"/>
      <c r="K800" s="99"/>
      <c r="L800" s="99"/>
      <c r="M800" s="99"/>
      <c r="N800" s="43">
        <f t="shared" si="12"/>
        <v>0</v>
      </c>
    </row>
    <row r="801" spans="2:14" ht="1.5" customHeight="1">
      <c r="B801" s="57"/>
      <c r="C801" s="60"/>
      <c r="D801" s="60"/>
      <c r="E801" s="60"/>
      <c r="F801" s="60"/>
      <c r="G801" s="60"/>
      <c r="J801" s="99"/>
      <c r="K801" s="99"/>
      <c r="L801" s="99"/>
      <c r="M801" s="99"/>
      <c r="N801" s="43">
        <f t="shared" si="12"/>
        <v>0</v>
      </c>
    </row>
    <row r="802" spans="2:14" ht="1.5" customHeight="1">
      <c r="B802" s="57"/>
      <c r="C802" s="60"/>
      <c r="D802" s="60"/>
      <c r="E802" s="60"/>
      <c r="F802" s="60"/>
      <c r="G802" s="60"/>
      <c r="J802" s="99"/>
      <c r="K802" s="99"/>
      <c r="L802" s="99"/>
      <c r="M802" s="99"/>
      <c r="N802" s="43">
        <f t="shared" si="12"/>
        <v>0</v>
      </c>
    </row>
    <row r="803" spans="2:14" ht="1.5" customHeight="1">
      <c r="B803" s="57"/>
      <c r="C803" s="60"/>
      <c r="D803" s="60"/>
      <c r="E803" s="60"/>
      <c r="F803" s="60"/>
      <c r="G803" s="60"/>
      <c r="J803" s="99"/>
      <c r="K803" s="99"/>
      <c r="L803" s="99"/>
      <c r="M803" s="99"/>
      <c r="N803" s="43">
        <f t="shared" si="12"/>
        <v>0</v>
      </c>
    </row>
    <row r="804" spans="2:14" ht="1.5" customHeight="1">
      <c r="B804" s="57"/>
      <c r="C804" s="60"/>
      <c r="D804" s="60"/>
      <c r="E804" s="60"/>
      <c r="F804" s="60"/>
      <c r="G804" s="60"/>
      <c r="J804" s="99"/>
      <c r="K804" s="99"/>
      <c r="L804" s="99"/>
      <c r="M804" s="99"/>
      <c r="N804" s="43">
        <f t="shared" si="12"/>
        <v>0</v>
      </c>
    </row>
    <row r="805" spans="2:14" ht="1.5" customHeight="1">
      <c r="B805" s="57"/>
      <c r="C805" s="60"/>
      <c r="D805" s="60"/>
      <c r="E805" s="60"/>
      <c r="F805" s="60"/>
      <c r="G805" s="60"/>
      <c r="J805" s="99"/>
      <c r="K805" s="99"/>
      <c r="L805" s="99"/>
      <c r="M805" s="99"/>
      <c r="N805" s="43">
        <f t="shared" si="12"/>
        <v>0</v>
      </c>
    </row>
    <row r="806" spans="2:14" ht="1.5" customHeight="1">
      <c r="B806" s="57"/>
      <c r="C806" s="60"/>
      <c r="D806" s="60"/>
      <c r="E806" s="60"/>
      <c r="F806" s="60"/>
      <c r="G806" s="60"/>
      <c r="J806" s="99"/>
      <c r="K806" s="99"/>
      <c r="L806" s="99"/>
      <c r="M806" s="99"/>
      <c r="N806" s="43">
        <f t="shared" si="12"/>
        <v>0</v>
      </c>
    </row>
    <row r="807" spans="2:14" ht="1.5" customHeight="1">
      <c r="B807" s="57"/>
      <c r="C807" s="60"/>
      <c r="D807" s="60"/>
      <c r="E807" s="60"/>
      <c r="F807" s="60"/>
      <c r="G807" s="60"/>
      <c r="J807" s="99"/>
      <c r="K807" s="99"/>
      <c r="L807" s="99"/>
      <c r="M807" s="99"/>
      <c r="N807" s="43">
        <f t="shared" si="12"/>
        <v>0</v>
      </c>
    </row>
    <row r="808" spans="2:14" ht="1.5" customHeight="1">
      <c r="B808" s="57"/>
      <c r="C808" s="60"/>
      <c r="D808" s="60"/>
      <c r="E808" s="60"/>
      <c r="F808" s="60"/>
      <c r="G808" s="60"/>
      <c r="J808" s="99"/>
      <c r="K808" s="99"/>
      <c r="L808" s="99"/>
      <c r="M808" s="99"/>
      <c r="N808" s="43">
        <f t="shared" si="12"/>
        <v>0</v>
      </c>
    </row>
    <row r="809" spans="2:14" ht="1.5" customHeight="1">
      <c r="B809" s="57"/>
      <c r="C809" s="60"/>
      <c r="D809" s="60"/>
      <c r="E809" s="60"/>
      <c r="F809" s="60"/>
      <c r="G809" s="60"/>
      <c r="J809" s="99"/>
      <c r="K809" s="99"/>
      <c r="L809" s="99"/>
      <c r="M809" s="99"/>
      <c r="N809" s="43">
        <f t="shared" si="12"/>
        <v>0</v>
      </c>
    </row>
    <row r="810" spans="2:14" ht="1.5" customHeight="1">
      <c r="B810" s="57"/>
      <c r="C810" s="60"/>
      <c r="D810" s="60"/>
      <c r="E810" s="60"/>
      <c r="F810" s="60"/>
      <c r="G810" s="60"/>
      <c r="J810" s="99"/>
      <c r="K810" s="99"/>
      <c r="L810" s="99"/>
      <c r="M810" s="99"/>
      <c r="N810" s="43">
        <f t="shared" si="12"/>
        <v>0</v>
      </c>
    </row>
    <row r="811" spans="2:14" ht="1.5" customHeight="1">
      <c r="B811" s="57"/>
      <c r="C811" s="60"/>
      <c r="D811" s="60"/>
      <c r="E811" s="60"/>
      <c r="F811" s="60"/>
      <c r="G811" s="60"/>
      <c r="J811" s="99"/>
      <c r="K811" s="99"/>
      <c r="L811" s="99"/>
      <c r="M811" s="99"/>
      <c r="N811" s="43">
        <f t="shared" si="12"/>
        <v>0</v>
      </c>
    </row>
    <row r="812" spans="2:14" ht="12.6" customHeight="1">
      <c r="B812" s="57"/>
      <c r="C812" s="60"/>
      <c r="D812" s="60"/>
      <c r="E812" s="60"/>
      <c r="F812" s="60"/>
      <c r="G812" s="60"/>
      <c r="J812" s="99"/>
      <c r="K812" s="99"/>
      <c r="L812" s="99"/>
      <c r="M812" s="99"/>
      <c r="N812" s="43"/>
    </row>
    <row r="813" spans="2:14" ht="12.6" customHeight="1"/>
  </sheetData>
  <mergeCells count="1641">
    <mergeCell ref="J811:K811"/>
    <mergeCell ref="L811:M811"/>
    <mergeCell ref="J812:K812"/>
    <mergeCell ref="L812:M812"/>
    <mergeCell ref="J808:K808"/>
    <mergeCell ref="L808:M808"/>
    <mergeCell ref="J809:K809"/>
    <mergeCell ref="L809:M809"/>
    <mergeCell ref="J810:K810"/>
    <mergeCell ref="L810:M810"/>
    <mergeCell ref="J805:K805"/>
    <mergeCell ref="L805:M805"/>
    <mergeCell ref="J806:K806"/>
    <mergeCell ref="L806:M806"/>
    <mergeCell ref="J807:K807"/>
    <mergeCell ref="L807:M807"/>
    <mergeCell ref="J802:K802"/>
    <mergeCell ref="L802:M802"/>
    <mergeCell ref="J803:K803"/>
    <mergeCell ref="L803:M803"/>
    <mergeCell ref="J804:K804"/>
    <mergeCell ref="L804:M804"/>
    <mergeCell ref="J799:K799"/>
    <mergeCell ref="L799:M799"/>
    <mergeCell ref="J800:K800"/>
    <mergeCell ref="L800:M800"/>
    <mergeCell ref="J801:K801"/>
    <mergeCell ref="L801:M801"/>
    <mergeCell ref="J796:K796"/>
    <mergeCell ref="L796:M796"/>
    <mergeCell ref="J797:K797"/>
    <mergeCell ref="L797:M797"/>
    <mergeCell ref="J798:K798"/>
    <mergeCell ref="L798:M798"/>
    <mergeCell ref="J793:K793"/>
    <mergeCell ref="L793:M793"/>
    <mergeCell ref="J794:K794"/>
    <mergeCell ref="L794:M794"/>
    <mergeCell ref="J795:K795"/>
    <mergeCell ref="L795:M795"/>
    <mergeCell ref="J790:K790"/>
    <mergeCell ref="L790:M790"/>
    <mergeCell ref="J791:K791"/>
    <mergeCell ref="L791:M791"/>
    <mergeCell ref="J792:K792"/>
    <mergeCell ref="L792:M792"/>
    <mergeCell ref="J787:K787"/>
    <mergeCell ref="L787:M787"/>
    <mergeCell ref="J788:K788"/>
    <mergeCell ref="L788:M788"/>
    <mergeCell ref="J789:K789"/>
    <mergeCell ref="L789:M789"/>
    <mergeCell ref="J784:K784"/>
    <mergeCell ref="L784:M784"/>
    <mergeCell ref="J785:K785"/>
    <mergeCell ref="L785:M785"/>
    <mergeCell ref="J786:K786"/>
    <mergeCell ref="L786:M786"/>
    <mergeCell ref="J781:K781"/>
    <mergeCell ref="L781:M781"/>
    <mergeCell ref="J782:K782"/>
    <mergeCell ref="L782:M782"/>
    <mergeCell ref="J783:K783"/>
    <mergeCell ref="L783:M783"/>
    <mergeCell ref="J778:K778"/>
    <mergeCell ref="L778:M778"/>
    <mergeCell ref="J779:K779"/>
    <mergeCell ref="L779:M779"/>
    <mergeCell ref="J780:K780"/>
    <mergeCell ref="L780:M780"/>
    <mergeCell ref="J775:K775"/>
    <mergeCell ref="L775:M775"/>
    <mergeCell ref="J776:K776"/>
    <mergeCell ref="L776:M776"/>
    <mergeCell ref="J777:K777"/>
    <mergeCell ref="L777:M777"/>
    <mergeCell ref="J772:K772"/>
    <mergeCell ref="L772:M772"/>
    <mergeCell ref="J773:K773"/>
    <mergeCell ref="L773:M773"/>
    <mergeCell ref="J774:K774"/>
    <mergeCell ref="L774:M774"/>
    <mergeCell ref="J769:K769"/>
    <mergeCell ref="L769:M769"/>
    <mergeCell ref="J770:K770"/>
    <mergeCell ref="L770:M770"/>
    <mergeCell ref="J771:K771"/>
    <mergeCell ref="L771:M771"/>
    <mergeCell ref="J766:K766"/>
    <mergeCell ref="L766:M766"/>
    <mergeCell ref="J767:K767"/>
    <mergeCell ref="L767:M767"/>
    <mergeCell ref="J768:K768"/>
    <mergeCell ref="L768:M768"/>
    <mergeCell ref="J763:K763"/>
    <mergeCell ref="L763:M763"/>
    <mergeCell ref="J764:K764"/>
    <mergeCell ref="L764:M764"/>
    <mergeCell ref="J765:K765"/>
    <mergeCell ref="L765:M765"/>
    <mergeCell ref="J760:K760"/>
    <mergeCell ref="L760:M760"/>
    <mergeCell ref="J761:K761"/>
    <mergeCell ref="L761:M761"/>
    <mergeCell ref="J762:K762"/>
    <mergeCell ref="L762:M762"/>
    <mergeCell ref="J757:K757"/>
    <mergeCell ref="L757:M757"/>
    <mergeCell ref="J758:K758"/>
    <mergeCell ref="L758:M758"/>
    <mergeCell ref="J759:K759"/>
    <mergeCell ref="L759:M759"/>
    <mergeCell ref="J754:K754"/>
    <mergeCell ref="L754:M754"/>
    <mergeCell ref="J755:K755"/>
    <mergeCell ref="L755:M755"/>
    <mergeCell ref="J756:K756"/>
    <mergeCell ref="L756:M756"/>
    <mergeCell ref="J751:K751"/>
    <mergeCell ref="L751:M751"/>
    <mergeCell ref="J752:K752"/>
    <mergeCell ref="L752:M752"/>
    <mergeCell ref="J753:K753"/>
    <mergeCell ref="L753:M753"/>
    <mergeCell ref="J748:K748"/>
    <mergeCell ref="L748:M748"/>
    <mergeCell ref="J749:K749"/>
    <mergeCell ref="L749:M749"/>
    <mergeCell ref="J750:K750"/>
    <mergeCell ref="L750:M750"/>
    <mergeCell ref="J745:K745"/>
    <mergeCell ref="L745:M745"/>
    <mergeCell ref="J746:K746"/>
    <mergeCell ref="L746:M746"/>
    <mergeCell ref="J747:K747"/>
    <mergeCell ref="L747:M747"/>
    <mergeCell ref="J742:K742"/>
    <mergeCell ref="L742:M742"/>
    <mergeCell ref="J743:K743"/>
    <mergeCell ref="L743:M743"/>
    <mergeCell ref="J744:K744"/>
    <mergeCell ref="L744:M744"/>
    <mergeCell ref="J739:K739"/>
    <mergeCell ref="L739:M739"/>
    <mergeCell ref="J740:K740"/>
    <mergeCell ref="L740:M740"/>
    <mergeCell ref="J741:K741"/>
    <mergeCell ref="L741:M741"/>
    <mergeCell ref="J736:K736"/>
    <mergeCell ref="L736:M736"/>
    <mergeCell ref="J737:K737"/>
    <mergeCell ref="L737:M737"/>
    <mergeCell ref="J738:K738"/>
    <mergeCell ref="L738:M738"/>
    <mergeCell ref="J733:K733"/>
    <mergeCell ref="L733:M733"/>
    <mergeCell ref="J734:K734"/>
    <mergeCell ref="L734:M734"/>
    <mergeCell ref="J735:K735"/>
    <mergeCell ref="L735:M735"/>
    <mergeCell ref="J730:K730"/>
    <mergeCell ref="L730:M730"/>
    <mergeCell ref="J731:K731"/>
    <mergeCell ref="L731:M731"/>
    <mergeCell ref="J732:K732"/>
    <mergeCell ref="L732:M732"/>
    <mergeCell ref="J727:K727"/>
    <mergeCell ref="L727:M727"/>
    <mergeCell ref="J728:K728"/>
    <mergeCell ref="L728:M728"/>
    <mergeCell ref="J729:K729"/>
    <mergeCell ref="L729:M729"/>
    <mergeCell ref="J724:K724"/>
    <mergeCell ref="L724:M724"/>
    <mergeCell ref="J725:K725"/>
    <mergeCell ref="L725:M725"/>
    <mergeCell ref="J726:K726"/>
    <mergeCell ref="L726:M726"/>
    <mergeCell ref="J721:K721"/>
    <mergeCell ref="L721:M721"/>
    <mergeCell ref="J722:K722"/>
    <mergeCell ref="L722:M722"/>
    <mergeCell ref="J723:K723"/>
    <mergeCell ref="L723:M723"/>
    <mergeCell ref="J718:K718"/>
    <mergeCell ref="L718:M718"/>
    <mergeCell ref="J719:K719"/>
    <mergeCell ref="L719:M719"/>
    <mergeCell ref="J720:K720"/>
    <mergeCell ref="L720:M720"/>
    <mergeCell ref="J715:K715"/>
    <mergeCell ref="L715:M715"/>
    <mergeCell ref="J716:K716"/>
    <mergeCell ref="L716:M716"/>
    <mergeCell ref="J717:K717"/>
    <mergeCell ref="L717:M717"/>
    <mergeCell ref="J712:K712"/>
    <mergeCell ref="L712:M712"/>
    <mergeCell ref="J713:K713"/>
    <mergeCell ref="L713:M713"/>
    <mergeCell ref="J714:K714"/>
    <mergeCell ref="L714:M714"/>
    <mergeCell ref="J709:K709"/>
    <mergeCell ref="L709:M709"/>
    <mergeCell ref="J710:K710"/>
    <mergeCell ref="L710:M710"/>
    <mergeCell ref="J711:K711"/>
    <mergeCell ref="L711:M711"/>
    <mergeCell ref="J706:K706"/>
    <mergeCell ref="L706:M706"/>
    <mergeCell ref="J707:K707"/>
    <mergeCell ref="L707:M707"/>
    <mergeCell ref="J708:K708"/>
    <mergeCell ref="L708:M708"/>
    <mergeCell ref="J703:K703"/>
    <mergeCell ref="L703:M703"/>
    <mergeCell ref="J704:K704"/>
    <mergeCell ref="L704:M704"/>
    <mergeCell ref="J705:K705"/>
    <mergeCell ref="L705:M705"/>
    <mergeCell ref="J700:K700"/>
    <mergeCell ref="L700:M700"/>
    <mergeCell ref="J701:K701"/>
    <mergeCell ref="L701:M701"/>
    <mergeCell ref="J702:K702"/>
    <mergeCell ref="L702:M702"/>
    <mergeCell ref="J697:K697"/>
    <mergeCell ref="L697:M697"/>
    <mergeCell ref="J698:K698"/>
    <mergeCell ref="L698:M698"/>
    <mergeCell ref="J699:K699"/>
    <mergeCell ref="L699:M699"/>
    <mergeCell ref="J694:K694"/>
    <mergeCell ref="L694:M694"/>
    <mergeCell ref="J695:K695"/>
    <mergeCell ref="L695:M695"/>
    <mergeCell ref="J696:K696"/>
    <mergeCell ref="L696:M696"/>
    <mergeCell ref="J691:K691"/>
    <mergeCell ref="L691:M691"/>
    <mergeCell ref="J692:K692"/>
    <mergeCell ref="L692:M692"/>
    <mergeCell ref="J693:K693"/>
    <mergeCell ref="L693:M693"/>
    <mergeCell ref="J688:K688"/>
    <mergeCell ref="L688:M688"/>
    <mergeCell ref="J689:K689"/>
    <mergeCell ref="L689:M689"/>
    <mergeCell ref="J690:K690"/>
    <mergeCell ref="L690:M690"/>
    <mergeCell ref="J685:K685"/>
    <mergeCell ref="L685:M685"/>
    <mergeCell ref="J686:K686"/>
    <mergeCell ref="L686:M686"/>
    <mergeCell ref="J687:K687"/>
    <mergeCell ref="L687:M687"/>
    <mergeCell ref="J682:K682"/>
    <mergeCell ref="L682:M682"/>
    <mergeCell ref="J683:K683"/>
    <mergeCell ref="L683:M683"/>
    <mergeCell ref="J684:K684"/>
    <mergeCell ref="L684:M684"/>
    <mergeCell ref="J679:K679"/>
    <mergeCell ref="L679:M679"/>
    <mergeCell ref="J680:K680"/>
    <mergeCell ref="L680:M680"/>
    <mergeCell ref="J681:K681"/>
    <mergeCell ref="L681:M681"/>
    <mergeCell ref="J676:K676"/>
    <mergeCell ref="L676:M676"/>
    <mergeCell ref="J677:K677"/>
    <mergeCell ref="L677:M677"/>
    <mergeCell ref="J678:K678"/>
    <mergeCell ref="L678:M678"/>
    <mergeCell ref="J673:K673"/>
    <mergeCell ref="L673:M673"/>
    <mergeCell ref="J674:K674"/>
    <mergeCell ref="L674:M674"/>
    <mergeCell ref="J675:K675"/>
    <mergeCell ref="L675:M675"/>
    <mergeCell ref="J670:K670"/>
    <mergeCell ref="L670:M670"/>
    <mergeCell ref="J671:K671"/>
    <mergeCell ref="L671:M671"/>
    <mergeCell ref="J672:K672"/>
    <mergeCell ref="L672:M672"/>
    <mergeCell ref="J667:K667"/>
    <mergeCell ref="L667:M667"/>
    <mergeCell ref="J668:K668"/>
    <mergeCell ref="L668:M668"/>
    <mergeCell ref="J669:K669"/>
    <mergeCell ref="L669:M669"/>
    <mergeCell ref="J664:K664"/>
    <mergeCell ref="L664:M664"/>
    <mergeCell ref="J665:K665"/>
    <mergeCell ref="L665:M665"/>
    <mergeCell ref="J666:K666"/>
    <mergeCell ref="L666:M666"/>
    <mergeCell ref="J661:K661"/>
    <mergeCell ref="L661:M661"/>
    <mergeCell ref="J662:K662"/>
    <mergeCell ref="L662:M662"/>
    <mergeCell ref="J663:K663"/>
    <mergeCell ref="L663:M663"/>
    <mergeCell ref="J658:K658"/>
    <mergeCell ref="L658:M658"/>
    <mergeCell ref="J659:K659"/>
    <mergeCell ref="L659:M659"/>
    <mergeCell ref="J660:K660"/>
    <mergeCell ref="L660:M660"/>
    <mergeCell ref="J655:K655"/>
    <mergeCell ref="L655:M655"/>
    <mergeCell ref="J656:K656"/>
    <mergeCell ref="L656:M656"/>
    <mergeCell ref="J657:K657"/>
    <mergeCell ref="L657:M657"/>
    <mergeCell ref="J652:K652"/>
    <mergeCell ref="L652:M652"/>
    <mergeCell ref="J653:K653"/>
    <mergeCell ref="L653:M653"/>
    <mergeCell ref="J654:K654"/>
    <mergeCell ref="L654:M654"/>
    <mergeCell ref="J649:K649"/>
    <mergeCell ref="L649:M649"/>
    <mergeCell ref="J650:K650"/>
    <mergeCell ref="L650:M650"/>
    <mergeCell ref="J651:K651"/>
    <mergeCell ref="L651:M651"/>
    <mergeCell ref="J646:K646"/>
    <mergeCell ref="L646:M646"/>
    <mergeCell ref="J647:K647"/>
    <mergeCell ref="L647:M647"/>
    <mergeCell ref="J648:K648"/>
    <mergeCell ref="L648:M648"/>
    <mergeCell ref="J643:K643"/>
    <mergeCell ref="L643:M643"/>
    <mergeCell ref="J644:K644"/>
    <mergeCell ref="L644:M644"/>
    <mergeCell ref="J645:K645"/>
    <mergeCell ref="L645:M645"/>
    <mergeCell ref="J640:K640"/>
    <mergeCell ref="L640:M640"/>
    <mergeCell ref="J641:K641"/>
    <mergeCell ref="L641:M641"/>
    <mergeCell ref="J642:K642"/>
    <mergeCell ref="L642:M642"/>
    <mergeCell ref="J637:K637"/>
    <mergeCell ref="L637:M637"/>
    <mergeCell ref="J638:K638"/>
    <mergeCell ref="L638:M638"/>
    <mergeCell ref="J639:K639"/>
    <mergeCell ref="L639:M639"/>
    <mergeCell ref="J634:K634"/>
    <mergeCell ref="L634:M634"/>
    <mergeCell ref="J635:K635"/>
    <mergeCell ref="L635:M635"/>
    <mergeCell ref="J636:K636"/>
    <mergeCell ref="L636:M636"/>
    <mergeCell ref="J631:K631"/>
    <mergeCell ref="L631:M631"/>
    <mergeCell ref="J632:K632"/>
    <mergeCell ref="L632:M632"/>
    <mergeCell ref="J633:K633"/>
    <mergeCell ref="L633:M633"/>
    <mergeCell ref="J628:K628"/>
    <mergeCell ref="L628:M628"/>
    <mergeCell ref="J629:K629"/>
    <mergeCell ref="L629:M629"/>
    <mergeCell ref="J630:K630"/>
    <mergeCell ref="L630:M630"/>
    <mergeCell ref="J625:K625"/>
    <mergeCell ref="L625:M625"/>
    <mergeCell ref="J626:K626"/>
    <mergeCell ref="L626:M626"/>
    <mergeCell ref="J627:K627"/>
    <mergeCell ref="L627:M627"/>
    <mergeCell ref="J622:K622"/>
    <mergeCell ref="L622:M622"/>
    <mergeCell ref="J623:K623"/>
    <mergeCell ref="L623:M623"/>
    <mergeCell ref="J624:K624"/>
    <mergeCell ref="L624:M624"/>
    <mergeCell ref="J619:K619"/>
    <mergeCell ref="L619:M619"/>
    <mergeCell ref="J620:K620"/>
    <mergeCell ref="L620:M620"/>
    <mergeCell ref="J621:K621"/>
    <mergeCell ref="L621:M621"/>
    <mergeCell ref="J616:K616"/>
    <mergeCell ref="L616:M616"/>
    <mergeCell ref="J617:K617"/>
    <mergeCell ref="L617:M617"/>
    <mergeCell ref="J618:K618"/>
    <mergeCell ref="L618:M618"/>
    <mergeCell ref="J613:K613"/>
    <mergeCell ref="L613:M613"/>
    <mergeCell ref="J614:K614"/>
    <mergeCell ref="L614:M614"/>
    <mergeCell ref="J615:K615"/>
    <mergeCell ref="L615:M615"/>
    <mergeCell ref="J610:K610"/>
    <mergeCell ref="L610:M610"/>
    <mergeCell ref="J611:K611"/>
    <mergeCell ref="L611:M611"/>
    <mergeCell ref="J612:K612"/>
    <mergeCell ref="L612:M612"/>
    <mergeCell ref="J607:K607"/>
    <mergeCell ref="L607:M607"/>
    <mergeCell ref="J608:K608"/>
    <mergeCell ref="L608:M608"/>
    <mergeCell ref="J609:K609"/>
    <mergeCell ref="L609:M609"/>
    <mergeCell ref="J604:K604"/>
    <mergeCell ref="L604:M604"/>
    <mergeCell ref="J605:K605"/>
    <mergeCell ref="L605:M605"/>
    <mergeCell ref="J606:K606"/>
    <mergeCell ref="L606:M606"/>
    <mergeCell ref="J601:K601"/>
    <mergeCell ref="L601:M601"/>
    <mergeCell ref="J602:K602"/>
    <mergeCell ref="L602:M602"/>
    <mergeCell ref="J603:K603"/>
    <mergeCell ref="L603:M603"/>
    <mergeCell ref="J598:K598"/>
    <mergeCell ref="L598:M598"/>
    <mergeCell ref="J599:K599"/>
    <mergeCell ref="L599:M599"/>
    <mergeCell ref="J600:K600"/>
    <mergeCell ref="L600:M600"/>
    <mergeCell ref="J595:K595"/>
    <mergeCell ref="L595:M595"/>
    <mergeCell ref="J596:K596"/>
    <mergeCell ref="L596:M596"/>
    <mergeCell ref="J597:K597"/>
    <mergeCell ref="L597:M597"/>
    <mergeCell ref="J592:K592"/>
    <mergeCell ref="L592:M592"/>
    <mergeCell ref="J593:K593"/>
    <mergeCell ref="L593:M593"/>
    <mergeCell ref="J594:K594"/>
    <mergeCell ref="L594:M594"/>
    <mergeCell ref="J589:K589"/>
    <mergeCell ref="L589:M589"/>
    <mergeCell ref="J590:K590"/>
    <mergeCell ref="L590:M590"/>
    <mergeCell ref="J591:K591"/>
    <mergeCell ref="L591:M591"/>
    <mergeCell ref="J586:K586"/>
    <mergeCell ref="L586:M586"/>
    <mergeCell ref="J587:K587"/>
    <mergeCell ref="L587:M587"/>
    <mergeCell ref="J588:K588"/>
    <mergeCell ref="L588:M588"/>
    <mergeCell ref="J583:K583"/>
    <mergeCell ref="L583:M583"/>
    <mergeCell ref="J584:K584"/>
    <mergeCell ref="L584:M584"/>
    <mergeCell ref="J585:K585"/>
    <mergeCell ref="L585:M585"/>
    <mergeCell ref="J580:K580"/>
    <mergeCell ref="L580:M580"/>
    <mergeCell ref="J581:K581"/>
    <mergeCell ref="L581:M581"/>
    <mergeCell ref="J582:K582"/>
    <mergeCell ref="L582:M582"/>
    <mergeCell ref="J577:K577"/>
    <mergeCell ref="L577:M577"/>
    <mergeCell ref="J578:K578"/>
    <mergeCell ref="L578:M578"/>
    <mergeCell ref="J579:K579"/>
    <mergeCell ref="L579:M579"/>
    <mergeCell ref="J574:K574"/>
    <mergeCell ref="L574:M574"/>
    <mergeCell ref="J575:K575"/>
    <mergeCell ref="L575:M575"/>
    <mergeCell ref="J576:K576"/>
    <mergeCell ref="L576:M576"/>
    <mergeCell ref="J571:K571"/>
    <mergeCell ref="L571:M571"/>
    <mergeCell ref="J572:K572"/>
    <mergeCell ref="L572:M572"/>
    <mergeCell ref="J573:K573"/>
    <mergeCell ref="L573:M573"/>
    <mergeCell ref="J568:K568"/>
    <mergeCell ref="L568:M568"/>
    <mergeCell ref="J569:K569"/>
    <mergeCell ref="L569:M569"/>
    <mergeCell ref="J570:K570"/>
    <mergeCell ref="L570:M570"/>
    <mergeCell ref="J565:K565"/>
    <mergeCell ref="L565:M565"/>
    <mergeCell ref="J566:K566"/>
    <mergeCell ref="L566:M566"/>
    <mergeCell ref="J567:K567"/>
    <mergeCell ref="L567:M567"/>
    <mergeCell ref="J562:K562"/>
    <mergeCell ref="L562:M562"/>
    <mergeCell ref="J563:K563"/>
    <mergeCell ref="L563:M563"/>
    <mergeCell ref="J564:K564"/>
    <mergeCell ref="L564:M564"/>
    <mergeCell ref="J559:K559"/>
    <mergeCell ref="L559:M559"/>
    <mergeCell ref="J560:K560"/>
    <mergeCell ref="L560:M560"/>
    <mergeCell ref="J561:K561"/>
    <mergeCell ref="L561:M561"/>
    <mergeCell ref="J556:K556"/>
    <mergeCell ref="L556:M556"/>
    <mergeCell ref="J557:K557"/>
    <mergeCell ref="L557:M557"/>
    <mergeCell ref="J558:K558"/>
    <mergeCell ref="L558:M558"/>
    <mergeCell ref="J553:K553"/>
    <mergeCell ref="L553:M553"/>
    <mergeCell ref="J554:K554"/>
    <mergeCell ref="L554:M554"/>
    <mergeCell ref="J555:K555"/>
    <mergeCell ref="L555:M555"/>
    <mergeCell ref="J550:K550"/>
    <mergeCell ref="L550:M550"/>
    <mergeCell ref="J551:K551"/>
    <mergeCell ref="L551:M551"/>
    <mergeCell ref="J552:K552"/>
    <mergeCell ref="L552:M552"/>
    <mergeCell ref="J547:K547"/>
    <mergeCell ref="L547:M547"/>
    <mergeCell ref="J548:K548"/>
    <mergeCell ref="L548:M548"/>
    <mergeCell ref="J549:K549"/>
    <mergeCell ref="L549:M549"/>
    <mergeCell ref="J544:K544"/>
    <mergeCell ref="L544:M544"/>
    <mergeCell ref="J545:K545"/>
    <mergeCell ref="L545:M545"/>
    <mergeCell ref="J546:K546"/>
    <mergeCell ref="L546:M546"/>
    <mergeCell ref="J541:K541"/>
    <mergeCell ref="L541:M541"/>
    <mergeCell ref="J542:K542"/>
    <mergeCell ref="L542:M542"/>
    <mergeCell ref="J543:K543"/>
    <mergeCell ref="L543:M543"/>
    <mergeCell ref="J538:K538"/>
    <mergeCell ref="L538:M538"/>
    <mergeCell ref="J539:K539"/>
    <mergeCell ref="L539:M539"/>
    <mergeCell ref="J540:K540"/>
    <mergeCell ref="L540:M540"/>
    <mergeCell ref="J535:K535"/>
    <mergeCell ref="L535:M535"/>
    <mergeCell ref="J536:K536"/>
    <mergeCell ref="L536:M536"/>
    <mergeCell ref="J537:K537"/>
    <mergeCell ref="L537:M537"/>
    <mergeCell ref="J532:K532"/>
    <mergeCell ref="L532:M532"/>
    <mergeCell ref="J533:K533"/>
    <mergeCell ref="L533:M533"/>
    <mergeCell ref="J534:K534"/>
    <mergeCell ref="L534:M534"/>
    <mergeCell ref="J529:K529"/>
    <mergeCell ref="L529:M529"/>
    <mergeCell ref="J530:K530"/>
    <mergeCell ref="L530:M530"/>
    <mergeCell ref="J531:K531"/>
    <mergeCell ref="L531:M531"/>
    <mergeCell ref="J526:K526"/>
    <mergeCell ref="L526:M526"/>
    <mergeCell ref="J527:K527"/>
    <mergeCell ref="L527:M527"/>
    <mergeCell ref="J528:K528"/>
    <mergeCell ref="L528:M528"/>
    <mergeCell ref="J523:K523"/>
    <mergeCell ref="L523:M523"/>
    <mergeCell ref="J524:K524"/>
    <mergeCell ref="L524:M524"/>
    <mergeCell ref="J525:K525"/>
    <mergeCell ref="L525:M525"/>
    <mergeCell ref="J520:K520"/>
    <mergeCell ref="L520:M520"/>
    <mergeCell ref="J521:K521"/>
    <mergeCell ref="L521:M521"/>
    <mergeCell ref="J522:K522"/>
    <mergeCell ref="L522:M522"/>
    <mergeCell ref="J517:K517"/>
    <mergeCell ref="L517:M517"/>
    <mergeCell ref="J518:K518"/>
    <mergeCell ref="L518:M518"/>
    <mergeCell ref="J519:K519"/>
    <mergeCell ref="L519:M519"/>
    <mergeCell ref="J514:K514"/>
    <mergeCell ref="L514:M514"/>
    <mergeCell ref="J515:K515"/>
    <mergeCell ref="L515:M515"/>
    <mergeCell ref="J516:K516"/>
    <mergeCell ref="L516:M516"/>
    <mergeCell ref="J511:K511"/>
    <mergeCell ref="L511:M511"/>
    <mergeCell ref="J512:K512"/>
    <mergeCell ref="L512:M512"/>
    <mergeCell ref="J513:K513"/>
    <mergeCell ref="L513:M513"/>
    <mergeCell ref="J508:K508"/>
    <mergeCell ref="L508:M508"/>
    <mergeCell ref="J509:K509"/>
    <mergeCell ref="L509:M509"/>
    <mergeCell ref="J510:K510"/>
    <mergeCell ref="L510:M510"/>
    <mergeCell ref="J505:K505"/>
    <mergeCell ref="L505:M505"/>
    <mergeCell ref="J506:K506"/>
    <mergeCell ref="L506:M506"/>
    <mergeCell ref="J507:K507"/>
    <mergeCell ref="L507:M507"/>
    <mergeCell ref="J502:K502"/>
    <mergeCell ref="L502:M502"/>
    <mergeCell ref="J503:K503"/>
    <mergeCell ref="L503:M503"/>
    <mergeCell ref="J504:K504"/>
    <mergeCell ref="L504:M504"/>
    <mergeCell ref="J499:K499"/>
    <mergeCell ref="L499:M499"/>
    <mergeCell ref="J500:K500"/>
    <mergeCell ref="L500:M500"/>
    <mergeCell ref="J501:K501"/>
    <mergeCell ref="L501:M501"/>
    <mergeCell ref="J496:K496"/>
    <mergeCell ref="L496:M496"/>
    <mergeCell ref="J497:K497"/>
    <mergeCell ref="L497:M497"/>
    <mergeCell ref="J498:K498"/>
    <mergeCell ref="L498:M498"/>
    <mergeCell ref="J493:K493"/>
    <mergeCell ref="L493:M493"/>
    <mergeCell ref="J494:K494"/>
    <mergeCell ref="L494:M494"/>
    <mergeCell ref="J495:K495"/>
    <mergeCell ref="L495:M495"/>
    <mergeCell ref="J490:K490"/>
    <mergeCell ref="L490:M490"/>
    <mergeCell ref="J491:K491"/>
    <mergeCell ref="L491:M491"/>
    <mergeCell ref="J492:K492"/>
    <mergeCell ref="L492:M492"/>
    <mergeCell ref="J487:K487"/>
    <mergeCell ref="L487:M487"/>
    <mergeCell ref="J488:K488"/>
    <mergeCell ref="L488:M488"/>
    <mergeCell ref="J489:K489"/>
    <mergeCell ref="L489:M489"/>
    <mergeCell ref="J484:K484"/>
    <mergeCell ref="L484:M484"/>
    <mergeCell ref="J485:K485"/>
    <mergeCell ref="L485:M485"/>
    <mergeCell ref="J486:K486"/>
    <mergeCell ref="L486:M486"/>
    <mergeCell ref="J481:K481"/>
    <mergeCell ref="L481:M481"/>
    <mergeCell ref="J482:K482"/>
    <mergeCell ref="L482:M482"/>
    <mergeCell ref="J483:K483"/>
    <mergeCell ref="L483:M483"/>
    <mergeCell ref="J478:K478"/>
    <mergeCell ref="L478:M478"/>
    <mergeCell ref="J479:K479"/>
    <mergeCell ref="L479:M479"/>
    <mergeCell ref="J480:K480"/>
    <mergeCell ref="L480:M480"/>
    <mergeCell ref="J475:K475"/>
    <mergeCell ref="L475:M475"/>
    <mergeCell ref="J476:K476"/>
    <mergeCell ref="L476:M476"/>
    <mergeCell ref="J477:K477"/>
    <mergeCell ref="L477:M477"/>
    <mergeCell ref="J472:K472"/>
    <mergeCell ref="L472:M472"/>
    <mergeCell ref="J473:K473"/>
    <mergeCell ref="L473:M473"/>
    <mergeCell ref="J474:K474"/>
    <mergeCell ref="L474:M474"/>
    <mergeCell ref="J469:K469"/>
    <mergeCell ref="L469:M469"/>
    <mergeCell ref="J470:K470"/>
    <mergeCell ref="L470:M470"/>
    <mergeCell ref="J471:K471"/>
    <mergeCell ref="L471:M471"/>
    <mergeCell ref="J466:K466"/>
    <mergeCell ref="L466:M466"/>
    <mergeCell ref="J467:K467"/>
    <mergeCell ref="L467:M467"/>
    <mergeCell ref="J468:K468"/>
    <mergeCell ref="L468:M468"/>
    <mergeCell ref="J463:K463"/>
    <mergeCell ref="L463:M463"/>
    <mergeCell ref="J464:K464"/>
    <mergeCell ref="L464:M464"/>
    <mergeCell ref="J465:K465"/>
    <mergeCell ref="L465:M465"/>
    <mergeCell ref="J460:K460"/>
    <mergeCell ref="L460:M460"/>
    <mergeCell ref="J461:K461"/>
    <mergeCell ref="L461:M461"/>
    <mergeCell ref="J462:K462"/>
    <mergeCell ref="L462:M462"/>
    <mergeCell ref="J457:K457"/>
    <mergeCell ref="L457:M457"/>
    <mergeCell ref="J458:K458"/>
    <mergeCell ref="L458:M458"/>
    <mergeCell ref="J459:K459"/>
    <mergeCell ref="L459:M459"/>
    <mergeCell ref="J454:K454"/>
    <mergeCell ref="L454:M454"/>
    <mergeCell ref="J455:K455"/>
    <mergeCell ref="L455:M455"/>
    <mergeCell ref="J456:K456"/>
    <mergeCell ref="L456:M456"/>
    <mergeCell ref="J451:K451"/>
    <mergeCell ref="L451:M451"/>
    <mergeCell ref="J452:K452"/>
    <mergeCell ref="L452:M452"/>
    <mergeCell ref="J453:K453"/>
    <mergeCell ref="L453:M453"/>
    <mergeCell ref="J448:K448"/>
    <mergeCell ref="L448:M448"/>
    <mergeCell ref="J449:K449"/>
    <mergeCell ref="L449:M449"/>
    <mergeCell ref="J450:K450"/>
    <mergeCell ref="L450:M450"/>
    <mergeCell ref="J445:K445"/>
    <mergeCell ref="L445:M445"/>
    <mergeCell ref="J446:K446"/>
    <mergeCell ref="L446:M446"/>
    <mergeCell ref="J447:K447"/>
    <mergeCell ref="L447:M447"/>
    <mergeCell ref="J442:K442"/>
    <mergeCell ref="L442:M442"/>
    <mergeCell ref="J443:K443"/>
    <mergeCell ref="L443:M443"/>
    <mergeCell ref="J444:K444"/>
    <mergeCell ref="L444:M444"/>
    <mergeCell ref="J439:K439"/>
    <mergeCell ref="L439:M439"/>
    <mergeCell ref="J440:K440"/>
    <mergeCell ref="L440:M440"/>
    <mergeCell ref="J441:K441"/>
    <mergeCell ref="L441:M441"/>
    <mergeCell ref="J436:K436"/>
    <mergeCell ref="L436:M436"/>
    <mergeCell ref="J437:K437"/>
    <mergeCell ref="L437:M437"/>
    <mergeCell ref="J438:K438"/>
    <mergeCell ref="L438:M438"/>
    <mergeCell ref="J433:K433"/>
    <mergeCell ref="L433:M433"/>
    <mergeCell ref="J434:K434"/>
    <mergeCell ref="L434:M434"/>
    <mergeCell ref="J435:K435"/>
    <mergeCell ref="L435:M435"/>
    <mergeCell ref="J430:K430"/>
    <mergeCell ref="L430:M430"/>
    <mergeCell ref="J431:K431"/>
    <mergeCell ref="L431:M431"/>
    <mergeCell ref="J432:K432"/>
    <mergeCell ref="L432:M432"/>
    <mergeCell ref="J427:K427"/>
    <mergeCell ref="L427:M427"/>
    <mergeCell ref="J428:K428"/>
    <mergeCell ref="L428:M428"/>
    <mergeCell ref="J429:K429"/>
    <mergeCell ref="L429:M429"/>
    <mergeCell ref="J424:K424"/>
    <mergeCell ref="L424:M424"/>
    <mergeCell ref="J425:K425"/>
    <mergeCell ref="L425:M425"/>
    <mergeCell ref="J426:K426"/>
    <mergeCell ref="L426:M426"/>
    <mergeCell ref="J421:K421"/>
    <mergeCell ref="L421:M421"/>
    <mergeCell ref="J422:K422"/>
    <mergeCell ref="L422:M422"/>
    <mergeCell ref="J423:K423"/>
    <mergeCell ref="L423:M423"/>
    <mergeCell ref="J418:K418"/>
    <mergeCell ref="L418:M418"/>
    <mergeCell ref="J419:K419"/>
    <mergeCell ref="L419:M419"/>
    <mergeCell ref="J420:K420"/>
    <mergeCell ref="L420:M420"/>
    <mergeCell ref="J415:K415"/>
    <mergeCell ref="L415:M415"/>
    <mergeCell ref="J416:K416"/>
    <mergeCell ref="L416:M416"/>
    <mergeCell ref="J417:K417"/>
    <mergeCell ref="L417:M417"/>
    <mergeCell ref="J412:K412"/>
    <mergeCell ref="L412:M412"/>
    <mergeCell ref="J413:K413"/>
    <mergeCell ref="L413:M413"/>
    <mergeCell ref="J414:K414"/>
    <mergeCell ref="L414:M414"/>
    <mergeCell ref="J409:K409"/>
    <mergeCell ref="L409:M409"/>
    <mergeCell ref="J410:K410"/>
    <mergeCell ref="L410:M410"/>
    <mergeCell ref="J411:K411"/>
    <mergeCell ref="L411:M411"/>
    <mergeCell ref="J406:K406"/>
    <mergeCell ref="L406:M406"/>
    <mergeCell ref="J407:K407"/>
    <mergeCell ref="L407:M407"/>
    <mergeCell ref="J408:K408"/>
    <mergeCell ref="L408:M408"/>
    <mergeCell ref="J403:K403"/>
    <mergeCell ref="L403:M403"/>
    <mergeCell ref="J404:K404"/>
    <mergeCell ref="L404:M404"/>
    <mergeCell ref="J405:K405"/>
    <mergeCell ref="L405:M405"/>
    <mergeCell ref="J400:K400"/>
    <mergeCell ref="L400:M400"/>
    <mergeCell ref="J401:K401"/>
    <mergeCell ref="L401:M401"/>
    <mergeCell ref="J402:K402"/>
    <mergeCell ref="L402:M402"/>
    <mergeCell ref="J397:K397"/>
    <mergeCell ref="L397:M397"/>
    <mergeCell ref="J398:K398"/>
    <mergeCell ref="L398:M398"/>
    <mergeCell ref="J399:K399"/>
    <mergeCell ref="L399:M399"/>
    <mergeCell ref="J394:K394"/>
    <mergeCell ref="L394:M394"/>
    <mergeCell ref="J395:K395"/>
    <mergeCell ref="L395:M395"/>
    <mergeCell ref="J396:K396"/>
    <mergeCell ref="L396:M396"/>
    <mergeCell ref="J391:K391"/>
    <mergeCell ref="L391:M391"/>
    <mergeCell ref="J392:K392"/>
    <mergeCell ref="L392:M392"/>
    <mergeCell ref="J393:K393"/>
    <mergeCell ref="L393:M393"/>
    <mergeCell ref="J388:K388"/>
    <mergeCell ref="L388:M388"/>
    <mergeCell ref="J389:K389"/>
    <mergeCell ref="L389:M389"/>
    <mergeCell ref="J390:K390"/>
    <mergeCell ref="L390:M390"/>
    <mergeCell ref="J385:K385"/>
    <mergeCell ref="L385:M385"/>
    <mergeCell ref="J386:K386"/>
    <mergeCell ref="L386:M386"/>
    <mergeCell ref="J387:K387"/>
    <mergeCell ref="L387:M387"/>
    <mergeCell ref="J382:K382"/>
    <mergeCell ref="L382:M382"/>
    <mergeCell ref="J383:K383"/>
    <mergeCell ref="L383:M383"/>
    <mergeCell ref="J384:K384"/>
    <mergeCell ref="L384:M384"/>
    <mergeCell ref="J379:K379"/>
    <mergeCell ref="L379:M379"/>
    <mergeCell ref="J380:K380"/>
    <mergeCell ref="L380:M380"/>
    <mergeCell ref="J381:K381"/>
    <mergeCell ref="L381:M381"/>
    <mergeCell ref="J376:K376"/>
    <mergeCell ref="L376:M376"/>
    <mergeCell ref="J377:K377"/>
    <mergeCell ref="L377:M377"/>
    <mergeCell ref="J378:K378"/>
    <mergeCell ref="L378:M378"/>
    <mergeCell ref="J373:K373"/>
    <mergeCell ref="L373:M373"/>
    <mergeCell ref="J374:K374"/>
    <mergeCell ref="L374:M374"/>
    <mergeCell ref="J375:K375"/>
    <mergeCell ref="L375:M375"/>
    <mergeCell ref="J370:K370"/>
    <mergeCell ref="L370:M370"/>
    <mergeCell ref="J371:K371"/>
    <mergeCell ref="L371:M371"/>
    <mergeCell ref="J372:K372"/>
    <mergeCell ref="L372:M372"/>
    <mergeCell ref="J367:K367"/>
    <mergeCell ref="L367:M367"/>
    <mergeCell ref="J368:K368"/>
    <mergeCell ref="L368:M368"/>
    <mergeCell ref="J369:K369"/>
    <mergeCell ref="L369:M369"/>
    <mergeCell ref="J364:K364"/>
    <mergeCell ref="L364:M364"/>
    <mergeCell ref="J365:K365"/>
    <mergeCell ref="L365:M365"/>
    <mergeCell ref="J366:K366"/>
    <mergeCell ref="L366:M366"/>
    <mergeCell ref="J361:K361"/>
    <mergeCell ref="L361:M361"/>
    <mergeCell ref="J362:K362"/>
    <mergeCell ref="L362:M362"/>
    <mergeCell ref="J363:K363"/>
    <mergeCell ref="L363:M363"/>
    <mergeCell ref="J358:K358"/>
    <mergeCell ref="L358:M358"/>
    <mergeCell ref="J359:K359"/>
    <mergeCell ref="L359:M359"/>
    <mergeCell ref="J360:K360"/>
    <mergeCell ref="L360:M360"/>
    <mergeCell ref="J355:K355"/>
    <mergeCell ref="L355:M355"/>
    <mergeCell ref="J356:K356"/>
    <mergeCell ref="L356:M356"/>
    <mergeCell ref="J357:K357"/>
    <mergeCell ref="L357:M357"/>
    <mergeCell ref="J352:K352"/>
    <mergeCell ref="L352:M352"/>
    <mergeCell ref="J353:K353"/>
    <mergeCell ref="L353:M353"/>
    <mergeCell ref="J354:K354"/>
    <mergeCell ref="L354:M354"/>
    <mergeCell ref="J349:K349"/>
    <mergeCell ref="L349:M349"/>
    <mergeCell ref="J350:K350"/>
    <mergeCell ref="L350:M350"/>
    <mergeCell ref="J351:K351"/>
    <mergeCell ref="L351:M351"/>
    <mergeCell ref="J346:K346"/>
    <mergeCell ref="L346:M346"/>
    <mergeCell ref="J347:K347"/>
    <mergeCell ref="L347:M347"/>
    <mergeCell ref="J348:K348"/>
    <mergeCell ref="L348:M348"/>
    <mergeCell ref="J343:K343"/>
    <mergeCell ref="L343:M343"/>
    <mergeCell ref="J344:K344"/>
    <mergeCell ref="L344:M344"/>
    <mergeCell ref="J345:K345"/>
    <mergeCell ref="L345:M345"/>
    <mergeCell ref="J340:K340"/>
    <mergeCell ref="L340:M340"/>
    <mergeCell ref="J341:K341"/>
    <mergeCell ref="L341:M341"/>
    <mergeCell ref="J342:K342"/>
    <mergeCell ref="L342:M342"/>
    <mergeCell ref="J337:K337"/>
    <mergeCell ref="L337:M337"/>
    <mergeCell ref="J338:K338"/>
    <mergeCell ref="L338:M338"/>
    <mergeCell ref="J339:K339"/>
    <mergeCell ref="L339:M339"/>
    <mergeCell ref="J334:K334"/>
    <mergeCell ref="L334:M334"/>
    <mergeCell ref="J335:K335"/>
    <mergeCell ref="L335:M335"/>
    <mergeCell ref="J336:K336"/>
    <mergeCell ref="L336:M336"/>
    <mergeCell ref="J331:K331"/>
    <mergeCell ref="L331:M331"/>
    <mergeCell ref="J332:K332"/>
    <mergeCell ref="L332:M332"/>
    <mergeCell ref="J333:K333"/>
    <mergeCell ref="L333:M333"/>
    <mergeCell ref="J328:K328"/>
    <mergeCell ref="L328:M328"/>
    <mergeCell ref="J329:K329"/>
    <mergeCell ref="L329:M329"/>
    <mergeCell ref="J330:K330"/>
    <mergeCell ref="L330:M330"/>
    <mergeCell ref="J325:K325"/>
    <mergeCell ref="L325:M325"/>
    <mergeCell ref="J326:K326"/>
    <mergeCell ref="L326:M326"/>
    <mergeCell ref="J327:K327"/>
    <mergeCell ref="L327:M327"/>
    <mergeCell ref="J322:K322"/>
    <mergeCell ref="L322:M322"/>
    <mergeCell ref="J323:K323"/>
    <mergeCell ref="L323:M323"/>
    <mergeCell ref="J324:K324"/>
    <mergeCell ref="L324:M324"/>
    <mergeCell ref="J319:K319"/>
    <mergeCell ref="L319:M319"/>
    <mergeCell ref="J320:K320"/>
    <mergeCell ref="L320:M320"/>
    <mergeCell ref="J321:K321"/>
    <mergeCell ref="L321:M321"/>
    <mergeCell ref="J316:K316"/>
    <mergeCell ref="L316:M316"/>
    <mergeCell ref="J317:K317"/>
    <mergeCell ref="L317:M317"/>
    <mergeCell ref="J318:K318"/>
    <mergeCell ref="L318:M318"/>
    <mergeCell ref="J313:K313"/>
    <mergeCell ref="L313:M313"/>
    <mergeCell ref="J314:K314"/>
    <mergeCell ref="L314:M314"/>
    <mergeCell ref="J315:K315"/>
    <mergeCell ref="L315:M315"/>
    <mergeCell ref="J310:K310"/>
    <mergeCell ref="L310:M310"/>
    <mergeCell ref="J311:K311"/>
    <mergeCell ref="L311:M311"/>
    <mergeCell ref="J312:K312"/>
    <mergeCell ref="L312:M312"/>
    <mergeCell ref="J307:K307"/>
    <mergeCell ref="L307:M307"/>
    <mergeCell ref="J308:K308"/>
    <mergeCell ref="L308:M308"/>
    <mergeCell ref="J309:K309"/>
    <mergeCell ref="L309:M309"/>
    <mergeCell ref="J304:K304"/>
    <mergeCell ref="L304:M304"/>
    <mergeCell ref="J305:K305"/>
    <mergeCell ref="L305:M305"/>
    <mergeCell ref="J306:K306"/>
    <mergeCell ref="L306:M306"/>
    <mergeCell ref="J301:K301"/>
    <mergeCell ref="L301:M301"/>
    <mergeCell ref="J302:K302"/>
    <mergeCell ref="L302:M302"/>
    <mergeCell ref="J303:K303"/>
    <mergeCell ref="L303:M303"/>
    <mergeCell ref="J298:K298"/>
    <mergeCell ref="L298:M298"/>
    <mergeCell ref="J299:K299"/>
    <mergeCell ref="L299:M299"/>
    <mergeCell ref="J300:K300"/>
    <mergeCell ref="L300:M300"/>
    <mergeCell ref="J295:K295"/>
    <mergeCell ref="L295:M295"/>
    <mergeCell ref="J296:K296"/>
    <mergeCell ref="L296:M296"/>
    <mergeCell ref="J297:K297"/>
    <mergeCell ref="L297:M297"/>
    <mergeCell ref="J292:K292"/>
    <mergeCell ref="L292:M292"/>
    <mergeCell ref="J293:K293"/>
    <mergeCell ref="L293:M293"/>
    <mergeCell ref="J294:K294"/>
    <mergeCell ref="L294:M294"/>
    <mergeCell ref="J289:K289"/>
    <mergeCell ref="L289:M289"/>
    <mergeCell ref="J290:K290"/>
    <mergeCell ref="L290:M290"/>
    <mergeCell ref="J291:K291"/>
    <mergeCell ref="L291:M291"/>
    <mergeCell ref="J286:K286"/>
    <mergeCell ref="L286:M286"/>
    <mergeCell ref="J287:K287"/>
    <mergeCell ref="L287:M287"/>
    <mergeCell ref="J288:K288"/>
    <mergeCell ref="L288:M288"/>
    <mergeCell ref="J283:K283"/>
    <mergeCell ref="L283:M283"/>
    <mergeCell ref="J284:K284"/>
    <mergeCell ref="L284:M284"/>
    <mergeCell ref="J285:K285"/>
    <mergeCell ref="L285:M285"/>
    <mergeCell ref="J280:K280"/>
    <mergeCell ref="L280:M280"/>
    <mergeCell ref="J281:K281"/>
    <mergeCell ref="L281:M281"/>
    <mergeCell ref="J282:K282"/>
    <mergeCell ref="L282:M282"/>
    <mergeCell ref="J277:K277"/>
    <mergeCell ref="L277:M277"/>
    <mergeCell ref="J278:K278"/>
    <mergeCell ref="L278:M278"/>
    <mergeCell ref="J279:K279"/>
    <mergeCell ref="L279:M279"/>
    <mergeCell ref="J274:K274"/>
    <mergeCell ref="L274:M274"/>
    <mergeCell ref="J275:K275"/>
    <mergeCell ref="L275:M275"/>
    <mergeCell ref="J276:K276"/>
    <mergeCell ref="L276:M276"/>
    <mergeCell ref="J271:K271"/>
    <mergeCell ref="L271:M271"/>
    <mergeCell ref="J272:K272"/>
    <mergeCell ref="L272:M272"/>
    <mergeCell ref="J273:K273"/>
    <mergeCell ref="L273:M273"/>
    <mergeCell ref="J268:K268"/>
    <mergeCell ref="L268:M268"/>
    <mergeCell ref="J269:K269"/>
    <mergeCell ref="L269:M269"/>
    <mergeCell ref="J270:K270"/>
    <mergeCell ref="L270:M270"/>
    <mergeCell ref="J265:K265"/>
    <mergeCell ref="L265:M265"/>
    <mergeCell ref="J266:K266"/>
    <mergeCell ref="L266:M266"/>
    <mergeCell ref="J267:K267"/>
    <mergeCell ref="L267:M267"/>
    <mergeCell ref="J262:K262"/>
    <mergeCell ref="L262:M262"/>
    <mergeCell ref="J263:K263"/>
    <mergeCell ref="L263:M263"/>
    <mergeCell ref="J264:K264"/>
    <mergeCell ref="L264:M264"/>
    <mergeCell ref="J259:K259"/>
    <mergeCell ref="L259:M259"/>
    <mergeCell ref="J260:K260"/>
    <mergeCell ref="L260:M260"/>
    <mergeCell ref="J261:K261"/>
    <mergeCell ref="L261:M261"/>
    <mergeCell ref="J256:K256"/>
    <mergeCell ref="L256:M256"/>
    <mergeCell ref="J257:K257"/>
    <mergeCell ref="L257:M257"/>
    <mergeCell ref="J258:K258"/>
    <mergeCell ref="L258:M258"/>
    <mergeCell ref="J253:K253"/>
    <mergeCell ref="L253:M253"/>
    <mergeCell ref="J254:K254"/>
    <mergeCell ref="L254:M254"/>
    <mergeCell ref="J255:K255"/>
    <mergeCell ref="L255:M255"/>
    <mergeCell ref="J250:K250"/>
    <mergeCell ref="L250:M250"/>
    <mergeCell ref="J251:K251"/>
    <mergeCell ref="L251:M251"/>
    <mergeCell ref="J252:K252"/>
    <mergeCell ref="L252:M252"/>
    <mergeCell ref="J247:K247"/>
    <mergeCell ref="L247:M247"/>
    <mergeCell ref="J248:K248"/>
    <mergeCell ref="L248:M248"/>
    <mergeCell ref="J249:K249"/>
    <mergeCell ref="L249:M249"/>
    <mergeCell ref="J244:K244"/>
    <mergeCell ref="L244:M244"/>
    <mergeCell ref="J245:K245"/>
    <mergeCell ref="L245:M245"/>
    <mergeCell ref="J246:K246"/>
    <mergeCell ref="L246:M246"/>
    <mergeCell ref="J241:K241"/>
    <mergeCell ref="L241:M241"/>
    <mergeCell ref="J242:K242"/>
    <mergeCell ref="L242:M242"/>
    <mergeCell ref="J243:K243"/>
    <mergeCell ref="L243:M243"/>
    <mergeCell ref="J238:K238"/>
    <mergeCell ref="L238:M238"/>
    <mergeCell ref="J239:K239"/>
    <mergeCell ref="L239:M239"/>
    <mergeCell ref="J240:K240"/>
    <mergeCell ref="L240:M240"/>
    <mergeCell ref="J235:K235"/>
    <mergeCell ref="L235:M235"/>
    <mergeCell ref="J236:K236"/>
    <mergeCell ref="L236:M236"/>
    <mergeCell ref="J237:K237"/>
    <mergeCell ref="L237:M237"/>
    <mergeCell ref="J232:K232"/>
    <mergeCell ref="L232:M232"/>
    <mergeCell ref="J233:K233"/>
    <mergeCell ref="L233:M233"/>
    <mergeCell ref="J234:K234"/>
    <mergeCell ref="L234:M234"/>
    <mergeCell ref="J229:K229"/>
    <mergeCell ref="L229:M229"/>
    <mergeCell ref="J230:K230"/>
    <mergeCell ref="L230:M230"/>
    <mergeCell ref="J231:K231"/>
    <mergeCell ref="L231:M231"/>
    <mergeCell ref="J226:K226"/>
    <mergeCell ref="L226:M226"/>
    <mergeCell ref="J227:K227"/>
    <mergeCell ref="L227:M227"/>
    <mergeCell ref="J228:K228"/>
    <mergeCell ref="L228:M228"/>
    <mergeCell ref="J223:K223"/>
    <mergeCell ref="L223:M223"/>
    <mergeCell ref="J224:K224"/>
    <mergeCell ref="L224:M224"/>
    <mergeCell ref="J225:K225"/>
    <mergeCell ref="L225:M225"/>
    <mergeCell ref="J220:K220"/>
    <mergeCell ref="L220:M220"/>
    <mergeCell ref="J221:K221"/>
    <mergeCell ref="L221:M221"/>
    <mergeCell ref="J222:K222"/>
    <mergeCell ref="L222:M222"/>
    <mergeCell ref="J217:K217"/>
    <mergeCell ref="L217:M217"/>
    <mergeCell ref="J218:K218"/>
    <mergeCell ref="L218:M218"/>
    <mergeCell ref="J219:K219"/>
    <mergeCell ref="L219:M219"/>
    <mergeCell ref="J214:K214"/>
    <mergeCell ref="L214:M214"/>
    <mergeCell ref="J215:K215"/>
    <mergeCell ref="L215:M215"/>
    <mergeCell ref="J216:K216"/>
    <mergeCell ref="L216:M216"/>
    <mergeCell ref="J211:K211"/>
    <mergeCell ref="L211:M211"/>
    <mergeCell ref="J212:K212"/>
    <mergeCell ref="L212:M212"/>
    <mergeCell ref="J213:K213"/>
    <mergeCell ref="L213:M213"/>
    <mergeCell ref="J208:K208"/>
    <mergeCell ref="L208:M208"/>
    <mergeCell ref="J209:K209"/>
    <mergeCell ref="L209:M209"/>
    <mergeCell ref="J210:K210"/>
    <mergeCell ref="L210:M210"/>
    <mergeCell ref="J205:K205"/>
    <mergeCell ref="L205:M205"/>
    <mergeCell ref="J206:K206"/>
    <mergeCell ref="L206:M206"/>
    <mergeCell ref="J207:K207"/>
    <mergeCell ref="L207:M207"/>
    <mergeCell ref="J202:K202"/>
    <mergeCell ref="L202:M202"/>
    <mergeCell ref="J203:K203"/>
    <mergeCell ref="L203:M203"/>
    <mergeCell ref="J204:K204"/>
    <mergeCell ref="L204:M204"/>
    <mergeCell ref="J199:K199"/>
    <mergeCell ref="L199:M199"/>
    <mergeCell ref="J200:K200"/>
    <mergeCell ref="L200:M200"/>
    <mergeCell ref="J201:K201"/>
    <mergeCell ref="L201:M201"/>
    <mergeCell ref="J196:K196"/>
    <mergeCell ref="L196:M196"/>
    <mergeCell ref="J197:K197"/>
    <mergeCell ref="L197:M197"/>
    <mergeCell ref="J198:K198"/>
    <mergeCell ref="L198:M198"/>
    <mergeCell ref="J193:K193"/>
    <mergeCell ref="L193:M193"/>
    <mergeCell ref="J194:K194"/>
    <mergeCell ref="L194:M194"/>
    <mergeCell ref="J195:K195"/>
    <mergeCell ref="L195:M195"/>
    <mergeCell ref="J190:K190"/>
    <mergeCell ref="L190:M190"/>
    <mergeCell ref="J191:K191"/>
    <mergeCell ref="L191:M191"/>
    <mergeCell ref="J192:K192"/>
    <mergeCell ref="L192:M192"/>
    <mergeCell ref="J187:K187"/>
    <mergeCell ref="L187:M187"/>
    <mergeCell ref="J188:K188"/>
    <mergeCell ref="L188:M188"/>
    <mergeCell ref="J189:K189"/>
    <mergeCell ref="L189:M189"/>
    <mergeCell ref="J184:K184"/>
    <mergeCell ref="L184:M184"/>
    <mergeCell ref="J185:K185"/>
    <mergeCell ref="L185:M185"/>
    <mergeCell ref="J186:K186"/>
    <mergeCell ref="L186:M186"/>
    <mergeCell ref="J181:K181"/>
    <mergeCell ref="L181:M181"/>
    <mergeCell ref="J182:K182"/>
    <mergeCell ref="L182:M182"/>
    <mergeCell ref="J183:K183"/>
    <mergeCell ref="L183:M183"/>
    <mergeCell ref="J178:K178"/>
    <mergeCell ref="L178:M178"/>
    <mergeCell ref="J179:K179"/>
    <mergeCell ref="L179:M179"/>
    <mergeCell ref="J180:K180"/>
    <mergeCell ref="L180:M180"/>
    <mergeCell ref="J175:K175"/>
    <mergeCell ref="L175:M175"/>
    <mergeCell ref="J176:K176"/>
    <mergeCell ref="L176:M176"/>
    <mergeCell ref="J177:K177"/>
    <mergeCell ref="L177:M177"/>
    <mergeCell ref="J172:K172"/>
    <mergeCell ref="L172:M172"/>
    <mergeCell ref="J173:K173"/>
    <mergeCell ref="L173:M173"/>
    <mergeCell ref="J174:K174"/>
    <mergeCell ref="L174:M174"/>
    <mergeCell ref="J169:K169"/>
    <mergeCell ref="L169:M169"/>
    <mergeCell ref="J170:K170"/>
    <mergeCell ref="L170:M170"/>
    <mergeCell ref="J171:K171"/>
    <mergeCell ref="L171:M171"/>
    <mergeCell ref="J166:K166"/>
    <mergeCell ref="L166:M166"/>
    <mergeCell ref="J167:K167"/>
    <mergeCell ref="L167:M167"/>
    <mergeCell ref="J168:K168"/>
    <mergeCell ref="L168:M168"/>
    <mergeCell ref="J163:K163"/>
    <mergeCell ref="L163:M163"/>
    <mergeCell ref="J164:K164"/>
    <mergeCell ref="L164:M164"/>
    <mergeCell ref="J165:K165"/>
    <mergeCell ref="L165:M165"/>
    <mergeCell ref="J160:K160"/>
    <mergeCell ref="L160:M160"/>
    <mergeCell ref="J161:K161"/>
    <mergeCell ref="L161:M161"/>
    <mergeCell ref="J162:K162"/>
    <mergeCell ref="L162:M162"/>
    <mergeCell ref="J157:K157"/>
    <mergeCell ref="L157:M157"/>
    <mergeCell ref="J158:K158"/>
    <mergeCell ref="L158:M158"/>
    <mergeCell ref="J159:K159"/>
    <mergeCell ref="L159:M159"/>
    <mergeCell ref="J154:K154"/>
    <mergeCell ref="L154:M154"/>
    <mergeCell ref="J155:K155"/>
    <mergeCell ref="L155:M155"/>
    <mergeCell ref="J156:K156"/>
    <mergeCell ref="L156:M156"/>
    <mergeCell ref="J151:K151"/>
    <mergeCell ref="L151:M151"/>
    <mergeCell ref="J152:K152"/>
    <mergeCell ref="L152:M152"/>
    <mergeCell ref="J153:K153"/>
    <mergeCell ref="L153:M153"/>
    <mergeCell ref="J148:K148"/>
    <mergeCell ref="L148:M148"/>
    <mergeCell ref="J149:K149"/>
    <mergeCell ref="L149:M149"/>
    <mergeCell ref="J150:K150"/>
    <mergeCell ref="L150:M150"/>
    <mergeCell ref="J145:K145"/>
    <mergeCell ref="L145:M145"/>
    <mergeCell ref="J146:K146"/>
    <mergeCell ref="L146:M146"/>
    <mergeCell ref="J147:K147"/>
    <mergeCell ref="L147:M147"/>
    <mergeCell ref="J142:K142"/>
    <mergeCell ref="L142:M142"/>
    <mergeCell ref="J143:K143"/>
    <mergeCell ref="L143:M143"/>
    <mergeCell ref="J144:K144"/>
    <mergeCell ref="L144:M144"/>
    <mergeCell ref="J139:K139"/>
    <mergeCell ref="L139:M139"/>
    <mergeCell ref="J140:K140"/>
    <mergeCell ref="L140:M140"/>
    <mergeCell ref="J141:K141"/>
    <mergeCell ref="L141:M141"/>
    <mergeCell ref="J136:K136"/>
    <mergeCell ref="L136:M136"/>
    <mergeCell ref="J137:K137"/>
    <mergeCell ref="L137:M137"/>
    <mergeCell ref="J138:K138"/>
    <mergeCell ref="L138:M138"/>
    <mergeCell ref="J133:K133"/>
    <mergeCell ref="L133:M133"/>
    <mergeCell ref="J134:K134"/>
    <mergeCell ref="L134:M134"/>
    <mergeCell ref="J135:K135"/>
    <mergeCell ref="L135:M135"/>
    <mergeCell ref="J130:K130"/>
    <mergeCell ref="L130:M130"/>
    <mergeCell ref="J131:K131"/>
    <mergeCell ref="L131:M131"/>
    <mergeCell ref="J132:K132"/>
    <mergeCell ref="L132:M132"/>
    <mergeCell ref="J127:K127"/>
    <mergeCell ref="L127:M127"/>
    <mergeCell ref="J128:K128"/>
    <mergeCell ref="L128:M128"/>
    <mergeCell ref="J129:K129"/>
    <mergeCell ref="L129:M129"/>
    <mergeCell ref="J124:K124"/>
    <mergeCell ref="L124:M124"/>
    <mergeCell ref="J125:K125"/>
    <mergeCell ref="L125:M125"/>
    <mergeCell ref="J126:K126"/>
    <mergeCell ref="L126:M126"/>
    <mergeCell ref="J121:K121"/>
    <mergeCell ref="L121:M121"/>
    <mergeCell ref="J122:K122"/>
    <mergeCell ref="L122:M122"/>
    <mergeCell ref="J123:K123"/>
    <mergeCell ref="L123:M123"/>
    <mergeCell ref="J118:K118"/>
    <mergeCell ref="L118:M118"/>
    <mergeCell ref="J119:K119"/>
    <mergeCell ref="L119:M119"/>
    <mergeCell ref="J120:K120"/>
    <mergeCell ref="L120:M120"/>
    <mergeCell ref="J115:K115"/>
    <mergeCell ref="L115:M115"/>
    <mergeCell ref="J116:K116"/>
    <mergeCell ref="L116:M116"/>
    <mergeCell ref="J117:K117"/>
    <mergeCell ref="L117:M117"/>
    <mergeCell ref="J112:K112"/>
    <mergeCell ref="L112:M112"/>
    <mergeCell ref="J113:K113"/>
    <mergeCell ref="L113:M113"/>
    <mergeCell ref="J114:K114"/>
    <mergeCell ref="L114:M114"/>
    <mergeCell ref="J109:K109"/>
    <mergeCell ref="L109:M109"/>
    <mergeCell ref="J110:K110"/>
    <mergeCell ref="L110:M110"/>
    <mergeCell ref="J111:K111"/>
    <mergeCell ref="L111:M111"/>
    <mergeCell ref="J106:K106"/>
    <mergeCell ref="L106:M106"/>
    <mergeCell ref="J107:K107"/>
    <mergeCell ref="L107:M107"/>
    <mergeCell ref="J108:K108"/>
    <mergeCell ref="L108:M108"/>
    <mergeCell ref="J103:K103"/>
    <mergeCell ref="L103:M103"/>
    <mergeCell ref="J104:K104"/>
    <mergeCell ref="L104:M104"/>
    <mergeCell ref="J105:K105"/>
    <mergeCell ref="L105:M105"/>
    <mergeCell ref="J100:K100"/>
    <mergeCell ref="L100:M100"/>
    <mergeCell ref="J101:K101"/>
    <mergeCell ref="L101:M101"/>
    <mergeCell ref="J102:K102"/>
    <mergeCell ref="L102:M102"/>
    <mergeCell ref="J97:K97"/>
    <mergeCell ref="L97:M97"/>
    <mergeCell ref="J98:K98"/>
    <mergeCell ref="L98:M98"/>
    <mergeCell ref="J99:K99"/>
    <mergeCell ref="L99:M99"/>
    <mergeCell ref="J94:K94"/>
    <mergeCell ref="L94:M94"/>
    <mergeCell ref="J95:K95"/>
    <mergeCell ref="L95:M95"/>
    <mergeCell ref="J96:K96"/>
    <mergeCell ref="L96:M96"/>
    <mergeCell ref="J91:K91"/>
    <mergeCell ref="L91:M91"/>
    <mergeCell ref="J92:K92"/>
    <mergeCell ref="L92:M92"/>
    <mergeCell ref="J93:K93"/>
    <mergeCell ref="L93:M93"/>
    <mergeCell ref="J88:K88"/>
    <mergeCell ref="L88:M88"/>
    <mergeCell ref="J89:K89"/>
    <mergeCell ref="L89:M89"/>
    <mergeCell ref="J90:K90"/>
    <mergeCell ref="L90:M90"/>
    <mergeCell ref="J85:K85"/>
    <mergeCell ref="L85:M85"/>
    <mergeCell ref="J86:K86"/>
    <mergeCell ref="L86:M86"/>
    <mergeCell ref="J87:K87"/>
    <mergeCell ref="L87:M87"/>
    <mergeCell ref="J82:K82"/>
    <mergeCell ref="L82:M82"/>
    <mergeCell ref="J83:K83"/>
    <mergeCell ref="L83:M83"/>
    <mergeCell ref="J84:K84"/>
    <mergeCell ref="L84:M84"/>
    <mergeCell ref="J79:K79"/>
    <mergeCell ref="L79:M79"/>
    <mergeCell ref="J80:K80"/>
    <mergeCell ref="L80:M80"/>
    <mergeCell ref="J81:K81"/>
    <mergeCell ref="L81:M81"/>
    <mergeCell ref="J76:K76"/>
    <mergeCell ref="L76:M76"/>
    <mergeCell ref="J77:K77"/>
    <mergeCell ref="L77:M77"/>
    <mergeCell ref="J78:K78"/>
    <mergeCell ref="L78:M78"/>
    <mergeCell ref="J73:K73"/>
    <mergeCell ref="L73:M73"/>
    <mergeCell ref="J74:K74"/>
    <mergeCell ref="L74:M74"/>
    <mergeCell ref="J75:K75"/>
    <mergeCell ref="L75:M75"/>
    <mergeCell ref="J70:K70"/>
    <mergeCell ref="L70:M70"/>
    <mergeCell ref="J71:K71"/>
    <mergeCell ref="L71:M71"/>
    <mergeCell ref="J72:K72"/>
    <mergeCell ref="L72:M72"/>
    <mergeCell ref="J67:K67"/>
    <mergeCell ref="L67:M67"/>
    <mergeCell ref="J68:K68"/>
    <mergeCell ref="L68:M68"/>
    <mergeCell ref="J69:K69"/>
    <mergeCell ref="L69:M69"/>
    <mergeCell ref="J64:K64"/>
    <mergeCell ref="L64:M64"/>
    <mergeCell ref="J65:K65"/>
    <mergeCell ref="L65:M65"/>
    <mergeCell ref="J66:K66"/>
    <mergeCell ref="L66:M66"/>
    <mergeCell ref="J61:K61"/>
    <mergeCell ref="L61:M61"/>
    <mergeCell ref="J62:K62"/>
    <mergeCell ref="L62:M62"/>
    <mergeCell ref="J63:K63"/>
    <mergeCell ref="L63:M63"/>
    <mergeCell ref="J58:K58"/>
    <mergeCell ref="L58:M58"/>
    <mergeCell ref="J59:K59"/>
    <mergeCell ref="L59:M59"/>
    <mergeCell ref="J60:K60"/>
    <mergeCell ref="L60:M60"/>
    <mergeCell ref="J55:K55"/>
    <mergeCell ref="L55:M55"/>
    <mergeCell ref="J56:K56"/>
    <mergeCell ref="L56:M56"/>
    <mergeCell ref="J57:K57"/>
    <mergeCell ref="L57:M57"/>
    <mergeCell ref="J52:K52"/>
    <mergeCell ref="L52:M52"/>
    <mergeCell ref="J53:K53"/>
    <mergeCell ref="L53:M53"/>
    <mergeCell ref="J54:K54"/>
    <mergeCell ref="L54:M54"/>
    <mergeCell ref="J49:K49"/>
    <mergeCell ref="L49:M49"/>
    <mergeCell ref="J50:K50"/>
    <mergeCell ref="L50:M50"/>
    <mergeCell ref="J51:K51"/>
    <mergeCell ref="L51:M51"/>
    <mergeCell ref="J46:K46"/>
    <mergeCell ref="L46:M46"/>
    <mergeCell ref="J47:K47"/>
    <mergeCell ref="L47:M47"/>
    <mergeCell ref="J48:K48"/>
    <mergeCell ref="L48:M48"/>
    <mergeCell ref="J43:K43"/>
    <mergeCell ref="L43:M43"/>
    <mergeCell ref="J44:K44"/>
    <mergeCell ref="L44:M44"/>
    <mergeCell ref="J45:K45"/>
    <mergeCell ref="L45:M45"/>
    <mergeCell ref="J40:K40"/>
    <mergeCell ref="L40:M40"/>
    <mergeCell ref="J41:K41"/>
    <mergeCell ref="L41:M41"/>
    <mergeCell ref="J42:K42"/>
    <mergeCell ref="L42:M42"/>
    <mergeCell ref="J37:K37"/>
    <mergeCell ref="L37:M37"/>
    <mergeCell ref="J38:K38"/>
    <mergeCell ref="L38:M38"/>
    <mergeCell ref="J39:K39"/>
    <mergeCell ref="L39:M39"/>
    <mergeCell ref="J34:K34"/>
    <mergeCell ref="L34:M34"/>
    <mergeCell ref="J35:K35"/>
    <mergeCell ref="L35:M35"/>
    <mergeCell ref="J36:K36"/>
    <mergeCell ref="L36:M36"/>
    <mergeCell ref="J31:K31"/>
    <mergeCell ref="L31:M31"/>
    <mergeCell ref="J32:K32"/>
    <mergeCell ref="L32:M32"/>
    <mergeCell ref="J33:K33"/>
    <mergeCell ref="L33:M33"/>
    <mergeCell ref="J28:K28"/>
    <mergeCell ref="L28:M28"/>
    <mergeCell ref="J29:K29"/>
    <mergeCell ref="L29:M29"/>
    <mergeCell ref="J30:K30"/>
    <mergeCell ref="L30:M30"/>
    <mergeCell ref="J25:K25"/>
    <mergeCell ref="L25:M25"/>
    <mergeCell ref="J26:K26"/>
    <mergeCell ref="L26:M26"/>
    <mergeCell ref="J27:K27"/>
    <mergeCell ref="L27:M27"/>
    <mergeCell ref="J22:K22"/>
    <mergeCell ref="L22:M22"/>
    <mergeCell ref="J23:K23"/>
    <mergeCell ref="L23:M23"/>
    <mergeCell ref="J24:K24"/>
    <mergeCell ref="L24:M24"/>
    <mergeCell ref="J19:K19"/>
    <mergeCell ref="L19:M19"/>
    <mergeCell ref="J20:K20"/>
    <mergeCell ref="L20:M20"/>
    <mergeCell ref="J21:K21"/>
    <mergeCell ref="L21:M21"/>
    <mergeCell ref="J17:K17"/>
    <mergeCell ref="L17:M17"/>
    <mergeCell ref="J18:K18"/>
    <mergeCell ref="L18:M18"/>
    <mergeCell ref="J13:K13"/>
    <mergeCell ref="L13:M13"/>
    <mergeCell ref="J14:K14"/>
    <mergeCell ref="L14:M14"/>
    <mergeCell ref="J15:K15"/>
    <mergeCell ref="L15:M15"/>
    <mergeCell ref="T9:Y9"/>
    <mergeCell ref="J10:K10"/>
    <mergeCell ref="L10:M10"/>
    <mergeCell ref="J11:K11"/>
    <mergeCell ref="L11:M11"/>
    <mergeCell ref="J12:K12"/>
    <mergeCell ref="L12:M12"/>
    <mergeCell ref="B8:C8"/>
    <mergeCell ref="D8:E8"/>
    <mergeCell ref="F8:G8"/>
    <mergeCell ref="H8:I8"/>
    <mergeCell ref="T8:Y8"/>
    <mergeCell ref="B5:C5"/>
    <mergeCell ref="D5:E5"/>
    <mergeCell ref="F5:G5"/>
    <mergeCell ref="H5:I5"/>
    <mergeCell ref="T5:Y5"/>
    <mergeCell ref="B6:C6"/>
    <mergeCell ref="D6:E6"/>
    <mergeCell ref="F6:G6"/>
    <mergeCell ref="H6:I6"/>
    <mergeCell ref="T6:Y6"/>
    <mergeCell ref="J16:K16"/>
    <mergeCell ref="L16:M16"/>
    <mergeCell ref="K3:L3"/>
    <mergeCell ref="N3:O3"/>
    <mergeCell ref="T3:Y3"/>
    <mergeCell ref="B4:C4"/>
    <mergeCell ref="D4:E4"/>
    <mergeCell ref="F4:G4"/>
    <mergeCell ref="H4:I4"/>
    <mergeCell ref="T4:Y4"/>
    <mergeCell ref="B1:C1"/>
    <mergeCell ref="B2:C2"/>
    <mergeCell ref="B3:C3"/>
    <mergeCell ref="D3:E3"/>
    <mergeCell ref="F3:G3"/>
    <mergeCell ref="H3:I3"/>
    <mergeCell ref="B7:C7"/>
    <mergeCell ref="D7:E7"/>
    <mergeCell ref="F7:G7"/>
    <mergeCell ref="H7:I7"/>
    <mergeCell ref="T7:Y7"/>
  </mergeCells>
  <dataValidations count="1">
    <dataValidation type="list" allowBlank="1" showInputMessage="1" showErrorMessage="1" sqref="L4" xr:uid="{AB37767A-F521-4BFE-B627-CED1CD99517D}">
      <formula1>$O$11:$O$12</formula1>
    </dataValidation>
  </dataValidations>
  <pageMargins left="0.25" right="0.25" top="0.75" bottom="0.75" header="0.3" footer="0.3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96011-E98B-4DC8-BEC3-61DE34D90BA5}">
  <sheetPr codeName="Sheet6"/>
  <dimension ref="A1:Y813"/>
  <sheetViews>
    <sheetView showGridLines="0" zoomScaleNormal="100" workbookViewId="0">
      <selection activeCell="S3" sqref="S3"/>
    </sheetView>
  </sheetViews>
  <sheetFormatPr defaultColWidth="9" defaultRowHeight="13.8"/>
  <cols>
    <col min="1" max="1" width="1.88671875" style="24" customWidth="1"/>
    <col min="2" max="9" width="9.6640625" style="24" customWidth="1"/>
    <col min="10" max="10" width="3.6640625" style="24" customWidth="1"/>
    <col min="11" max="11" width="6.6640625" style="24" customWidth="1"/>
    <col min="12" max="12" width="7.6640625" style="24" customWidth="1"/>
    <col min="13" max="13" width="3.6640625" style="24" customWidth="1"/>
    <col min="14" max="14" width="6.6640625" style="24" bestFit="1" customWidth="1"/>
    <col min="15" max="15" width="7.21875" style="24" bestFit="1" customWidth="1"/>
    <col min="16" max="16" width="4.33203125" style="24" customWidth="1"/>
    <col min="17" max="17" width="1.88671875" style="24" customWidth="1"/>
    <col min="18" max="16384" width="9" style="24"/>
  </cols>
  <sheetData>
    <row r="1" spans="1:25">
      <c r="A1" s="23"/>
      <c r="B1" s="88">
        <v>44767.516504629632</v>
      </c>
      <c r="C1" s="88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65" t="s">
        <v>70</v>
      </c>
    </row>
    <row r="2" spans="1:25">
      <c r="A2" s="23"/>
      <c r="B2" s="95" t="s">
        <v>50</v>
      </c>
      <c r="C2" s="9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4" t="s">
        <v>71</v>
      </c>
      <c r="S2" s="24" t="s">
        <v>69</v>
      </c>
      <c r="T2" s="24" t="s">
        <v>68</v>
      </c>
    </row>
    <row r="3" spans="1:25" ht="14.25" customHeight="1">
      <c r="A3" s="23"/>
      <c r="B3" s="89" t="s">
        <v>15</v>
      </c>
      <c r="C3" s="96"/>
      <c r="D3" s="93" t="s">
        <v>64</v>
      </c>
      <c r="E3" s="90"/>
      <c r="F3" s="89" t="s">
        <v>16</v>
      </c>
      <c r="G3" s="90"/>
      <c r="H3" s="89" t="s">
        <v>61</v>
      </c>
      <c r="I3" s="90"/>
      <c r="J3" s="25"/>
      <c r="K3" s="102" t="s">
        <v>17</v>
      </c>
      <c r="L3" s="103"/>
      <c r="M3" s="23"/>
      <c r="N3" s="98"/>
      <c r="O3" s="98"/>
      <c r="P3" s="23"/>
      <c r="Q3" s="23"/>
      <c r="R3" s="66" t="s">
        <v>75</v>
      </c>
      <c r="S3" s="66" t="s">
        <v>77</v>
      </c>
      <c r="T3" s="106"/>
      <c r="U3" s="107"/>
      <c r="V3" s="107"/>
      <c r="W3" s="107"/>
      <c r="X3" s="107"/>
      <c r="Y3" s="108"/>
    </row>
    <row r="4" spans="1:25" ht="13.5" customHeight="1">
      <c r="A4" s="23"/>
      <c r="B4" s="91" t="s">
        <v>18</v>
      </c>
      <c r="C4" s="97"/>
      <c r="D4" s="94" t="s">
        <v>55</v>
      </c>
      <c r="E4" s="92"/>
      <c r="F4" s="91" t="s">
        <v>19</v>
      </c>
      <c r="G4" s="92"/>
      <c r="H4" s="91" t="s">
        <v>59</v>
      </c>
      <c r="I4" s="92"/>
      <c r="J4" s="25"/>
      <c r="K4" s="26" t="s">
        <v>20</v>
      </c>
      <c r="L4" s="27" t="str">
        <f>C10</f>
        <v>Frequency</v>
      </c>
      <c r="M4" s="23"/>
      <c r="N4" s="28"/>
      <c r="O4" s="28"/>
      <c r="P4" s="23"/>
      <c r="Q4" s="23"/>
      <c r="R4" s="66"/>
      <c r="S4" s="66"/>
      <c r="T4" s="106"/>
      <c r="U4" s="107"/>
      <c r="V4" s="107"/>
      <c r="W4" s="107"/>
      <c r="X4" s="107"/>
      <c r="Y4" s="108"/>
    </row>
    <row r="5" spans="1:25" ht="13.5" customHeight="1">
      <c r="A5" s="23"/>
      <c r="B5" s="91" t="s">
        <v>21</v>
      </c>
      <c r="C5" s="97"/>
      <c r="D5" s="94" t="s">
        <v>56</v>
      </c>
      <c r="E5" s="92"/>
      <c r="F5" s="91" t="s">
        <v>22</v>
      </c>
      <c r="G5" s="92"/>
      <c r="H5" s="91">
        <v>5</v>
      </c>
      <c r="I5" s="92"/>
      <c r="J5" s="25"/>
      <c r="K5" s="29" t="s">
        <v>23</v>
      </c>
      <c r="L5" s="30" t="s">
        <v>65</v>
      </c>
      <c r="M5" s="23"/>
      <c r="N5" s="28"/>
      <c r="O5" s="28"/>
      <c r="P5" s="23"/>
      <c r="Q5" s="23"/>
      <c r="R5" s="66"/>
      <c r="S5" s="66"/>
      <c r="T5" s="106"/>
      <c r="U5" s="107"/>
      <c r="V5" s="107"/>
      <c r="W5" s="107"/>
      <c r="X5" s="107"/>
      <c r="Y5" s="108"/>
    </row>
    <row r="6" spans="1:25" ht="13.5" customHeight="1">
      <c r="A6" s="23"/>
      <c r="B6" s="91" t="s">
        <v>24</v>
      </c>
      <c r="C6" s="97"/>
      <c r="D6" s="94">
        <v>201</v>
      </c>
      <c r="E6" s="92"/>
      <c r="F6" s="91" t="s">
        <v>25</v>
      </c>
      <c r="G6" s="92"/>
      <c r="H6" s="91" t="s">
        <v>59</v>
      </c>
      <c r="I6" s="92"/>
      <c r="J6" s="25"/>
      <c r="K6" s="31" t="s">
        <v>14</v>
      </c>
      <c r="L6" s="32" t="s">
        <v>66</v>
      </c>
      <c r="M6" s="23"/>
      <c r="N6" s="28"/>
      <c r="O6" s="28"/>
      <c r="P6" s="23"/>
      <c r="Q6" s="23"/>
      <c r="R6" s="66"/>
      <c r="S6" s="66"/>
      <c r="T6" s="106"/>
      <c r="U6" s="107"/>
      <c r="V6" s="107"/>
      <c r="W6" s="107"/>
      <c r="X6" s="107"/>
      <c r="Y6" s="108"/>
    </row>
    <row r="7" spans="1:25" ht="13.5" customHeight="1">
      <c r="A7" s="23"/>
      <c r="B7" s="91" t="s">
        <v>26</v>
      </c>
      <c r="C7" s="97"/>
      <c r="D7" s="94" t="s">
        <v>57</v>
      </c>
      <c r="E7" s="92"/>
      <c r="F7" s="91" t="s">
        <v>27</v>
      </c>
      <c r="G7" s="92"/>
      <c r="H7" s="91" t="s">
        <v>59</v>
      </c>
      <c r="I7" s="92"/>
      <c r="J7" s="25"/>
      <c r="K7" s="33"/>
      <c r="L7" s="33"/>
      <c r="M7" s="23"/>
      <c r="N7" s="28"/>
      <c r="O7" s="28"/>
      <c r="P7" s="23"/>
      <c r="Q7" s="23"/>
      <c r="R7" s="66"/>
      <c r="S7" s="66"/>
      <c r="T7" s="106"/>
      <c r="U7" s="107"/>
      <c r="V7" s="107"/>
      <c r="W7" s="107"/>
      <c r="X7" s="107"/>
      <c r="Y7" s="108"/>
    </row>
    <row r="8" spans="1:25">
      <c r="A8" s="23"/>
      <c r="B8" s="100" t="s">
        <v>28</v>
      </c>
      <c r="C8" s="101"/>
      <c r="D8" s="104" t="s">
        <v>58</v>
      </c>
      <c r="E8" s="105"/>
      <c r="F8" s="100" t="s">
        <v>67</v>
      </c>
      <c r="G8" s="105"/>
      <c r="H8" s="91" t="s">
        <v>13</v>
      </c>
      <c r="I8" s="92"/>
      <c r="J8" s="34"/>
      <c r="K8" s="33"/>
      <c r="L8" s="33"/>
      <c r="M8" s="23"/>
      <c r="N8" s="28"/>
      <c r="O8" s="28"/>
      <c r="P8" s="23"/>
      <c r="Q8" s="23"/>
      <c r="R8" s="66"/>
      <c r="S8" s="66"/>
      <c r="T8" s="106"/>
      <c r="U8" s="107"/>
      <c r="V8" s="107"/>
      <c r="W8" s="107"/>
      <c r="X8" s="107"/>
      <c r="Y8" s="108"/>
    </row>
    <row r="9" spans="1:25">
      <c r="A9" s="23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23"/>
      <c r="N9" s="23"/>
      <c r="O9" s="23"/>
      <c r="P9" s="23"/>
      <c r="Q9" s="23"/>
      <c r="R9" s="66"/>
      <c r="S9" s="66"/>
      <c r="T9" s="106"/>
      <c r="U9" s="107"/>
      <c r="V9" s="107"/>
      <c r="W9" s="107"/>
      <c r="X9" s="107"/>
      <c r="Y9" s="108"/>
    </row>
    <row r="10" spans="1:25" ht="27.75" customHeight="1" thickBot="1">
      <c r="A10" s="23"/>
      <c r="B10" s="36" t="s">
        <v>30</v>
      </c>
      <c r="C10" s="36" t="s">
        <v>60</v>
      </c>
      <c r="D10" s="51" t="s">
        <v>51</v>
      </c>
      <c r="E10" s="51" t="s">
        <v>52</v>
      </c>
      <c r="F10" s="51" t="s">
        <v>53</v>
      </c>
      <c r="G10" s="51" t="s">
        <v>54</v>
      </c>
      <c r="H10" s="37"/>
      <c r="I10" s="37"/>
      <c r="J10" s="99"/>
      <c r="K10" s="99"/>
      <c r="L10" s="99"/>
      <c r="M10" s="99"/>
      <c r="N10" s="38" t="s">
        <v>32</v>
      </c>
      <c r="O10" s="39" t="s">
        <v>33</v>
      </c>
      <c r="P10" s="23"/>
      <c r="Q10" s="23"/>
    </row>
    <row r="11" spans="1:25" ht="14.4" thickTop="1">
      <c r="A11" s="23"/>
      <c r="B11" s="53">
        <v>1</v>
      </c>
      <c r="C11" s="58">
        <v>40</v>
      </c>
      <c r="D11" s="59">
        <v>745129920</v>
      </c>
      <c r="E11" s="59">
        <v>0</v>
      </c>
      <c r="F11" s="59">
        <v>-80.742210388183594</v>
      </c>
      <c r="G11" s="42">
        <v>0</v>
      </c>
      <c r="H11" s="23"/>
      <c r="I11" s="23"/>
      <c r="J11" s="99"/>
      <c r="K11" s="99"/>
      <c r="L11" s="99"/>
      <c r="M11" s="99"/>
      <c r="N11" s="43">
        <f t="shared" ref="N11:N74" si="0">IF($L$4=$C$10,C11,IF(D11="","",B11))</f>
        <v>40</v>
      </c>
      <c r="O11" s="39" t="str">
        <f>B10</f>
        <v>Point#</v>
      </c>
      <c r="P11" s="23"/>
      <c r="Q11" s="23"/>
    </row>
    <row r="12" spans="1:25">
      <c r="A12" s="23"/>
      <c r="B12" s="53">
        <v>2</v>
      </c>
      <c r="C12" s="58">
        <v>42.759998321533203</v>
      </c>
      <c r="D12" s="59">
        <v>753947904</v>
      </c>
      <c r="E12" s="59">
        <v>0</v>
      </c>
      <c r="F12" s="59">
        <v>-79.202529907226563</v>
      </c>
      <c r="G12" s="42">
        <v>0</v>
      </c>
      <c r="H12" s="23"/>
      <c r="I12" s="23"/>
      <c r="J12" s="99"/>
      <c r="K12" s="99"/>
      <c r="L12" s="99"/>
      <c r="M12" s="99"/>
      <c r="N12" s="43">
        <f t="shared" si="0"/>
        <v>42.759998321533203</v>
      </c>
      <c r="O12" s="39" t="str">
        <f>C10</f>
        <v>Frequency</v>
      </c>
      <c r="P12" s="23"/>
      <c r="Q12" s="23"/>
    </row>
    <row r="13" spans="1:25">
      <c r="A13" s="23"/>
      <c r="B13" s="53">
        <v>3</v>
      </c>
      <c r="C13" s="58">
        <v>45.71099853515625</v>
      </c>
      <c r="D13" s="59">
        <v>670031232</v>
      </c>
      <c r="E13" s="59">
        <v>0</v>
      </c>
      <c r="F13" s="59">
        <v>-79.330398559570313</v>
      </c>
      <c r="G13" s="42">
        <v>0</v>
      </c>
      <c r="H13" s="23"/>
      <c r="I13" s="23"/>
      <c r="J13" s="99"/>
      <c r="K13" s="99"/>
      <c r="L13" s="99"/>
      <c r="M13" s="99"/>
      <c r="N13" s="43">
        <f t="shared" si="0"/>
        <v>45.71099853515625</v>
      </c>
      <c r="O13" s="43"/>
      <c r="P13" s="23"/>
      <c r="Q13" s="23"/>
    </row>
    <row r="14" spans="1:25">
      <c r="A14" s="23"/>
      <c r="B14" s="53">
        <v>4</v>
      </c>
      <c r="C14" s="58">
        <v>48.865001678466797</v>
      </c>
      <c r="D14" s="59">
        <v>600289472</v>
      </c>
      <c r="E14" s="59">
        <v>0</v>
      </c>
      <c r="F14" s="59">
        <v>-83.677360534667969</v>
      </c>
      <c r="G14" s="42">
        <v>0</v>
      </c>
      <c r="H14" s="23"/>
      <c r="I14" s="23"/>
      <c r="J14" s="99"/>
      <c r="K14" s="99"/>
      <c r="L14" s="99"/>
      <c r="M14" s="99"/>
      <c r="N14" s="43">
        <f t="shared" si="0"/>
        <v>48.865001678466797</v>
      </c>
      <c r="O14" s="43"/>
      <c r="P14" s="23"/>
      <c r="Q14" s="23"/>
    </row>
    <row r="15" spans="1:25">
      <c r="A15" s="23"/>
      <c r="B15" s="53">
        <v>5</v>
      </c>
      <c r="C15" s="58">
        <v>52.23699951171875</v>
      </c>
      <c r="D15" s="59">
        <v>620004608</v>
      </c>
      <c r="E15" s="59">
        <v>0</v>
      </c>
      <c r="F15" s="59">
        <v>-83.113761901855469</v>
      </c>
      <c r="G15" s="42">
        <v>0</v>
      </c>
      <c r="H15" s="23"/>
      <c r="I15" s="23"/>
      <c r="J15" s="99"/>
      <c r="K15" s="99"/>
      <c r="L15" s="99"/>
      <c r="M15" s="99"/>
      <c r="N15" s="43">
        <f t="shared" si="0"/>
        <v>52.23699951171875</v>
      </c>
      <c r="O15" s="43"/>
      <c r="P15" s="23"/>
      <c r="Q15" s="23"/>
    </row>
    <row r="16" spans="1:25">
      <c r="A16" s="23"/>
      <c r="B16" s="53">
        <v>6</v>
      </c>
      <c r="C16" s="58">
        <v>55.840999603271484</v>
      </c>
      <c r="D16" s="59">
        <v>579567680</v>
      </c>
      <c r="E16" s="59">
        <v>0</v>
      </c>
      <c r="F16" s="59">
        <v>-79.9005126953125</v>
      </c>
      <c r="G16" s="42">
        <v>0</v>
      </c>
      <c r="H16" s="23"/>
      <c r="I16" s="23"/>
      <c r="J16" s="99"/>
      <c r="K16" s="99"/>
      <c r="L16" s="99"/>
      <c r="M16" s="99"/>
      <c r="N16" s="43">
        <f t="shared" si="0"/>
        <v>55.840999603271484</v>
      </c>
      <c r="O16" s="43"/>
      <c r="P16" s="23"/>
      <c r="Q16" s="23"/>
    </row>
    <row r="17" spans="1:17">
      <c r="A17" s="23"/>
      <c r="B17" s="53">
        <v>7</v>
      </c>
      <c r="C17" s="58">
        <v>59.694999694824219</v>
      </c>
      <c r="D17" s="59">
        <v>501992608</v>
      </c>
      <c r="E17" s="59">
        <v>0</v>
      </c>
      <c r="F17" s="59">
        <v>-82.505172729492188</v>
      </c>
      <c r="G17" s="42">
        <v>0</v>
      </c>
      <c r="H17" s="23"/>
      <c r="I17" s="23"/>
      <c r="J17" s="99"/>
      <c r="K17" s="99"/>
      <c r="L17" s="99"/>
      <c r="M17" s="99"/>
      <c r="N17" s="43">
        <f t="shared" si="0"/>
        <v>59.694999694824219</v>
      </c>
      <c r="O17" s="43"/>
      <c r="P17" s="23"/>
      <c r="Q17" s="23"/>
    </row>
    <row r="18" spans="1:17">
      <c r="A18" s="23"/>
      <c r="B18" s="53">
        <v>8</v>
      </c>
      <c r="C18" s="58">
        <v>63.813999176025391</v>
      </c>
      <c r="D18" s="59">
        <v>459442400</v>
      </c>
      <c r="E18" s="59">
        <v>0</v>
      </c>
      <c r="F18" s="59">
        <v>-84.381027221679688</v>
      </c>
      <c r="G18" s="42">
        <v>0</v>
      </c>
      <c r="H18" s="23"/>
      <c r="I18" s="23"/>
      <c r="J18" s="99"/>
      <c r="K18" s="99"/>
      <c r="L18" s="99"/>
      <c r="M18" s="99"/>
      <c r="N18" s="43">
        <f t="shared" si="0"/>
        <v>63.813999176025391</v>
      </c>
      <c r="O18" s="43"/>
      <c r="P18" s="23"/>
      <c r="Q18" s="23"/>
    </row>
    <row r="19" spans="1:17">
      <c r="A19" s="23"/>
      <c r="B19" s="53">
        <v>9</v>
      </c>
      <c r="C19" s="58">
        <v>68.217002868652344</v>
      </c>
      <c r="D19" s="59">
        <v>431642496</v>
      </c>
      <c r="E19" s="59">
        <v>0</v>
      </c>
      <c r="F19" s="59">
        <v>-84.249122619628906</v>
      </c>
      <c r="G19" s="42">
        <v>0</v>
      </c>
      <c r="H19" s="23"/>
      <c r="I19" s="23"/>
      <c r="J19" s="99"/>
      <c r="K19" s="99"/>
      <c r="L19" s="99"/>
      <c r="M19" s="99"/>
      <c r="N19" s="43">
        <f t="shared" si="0"/>
        <v>68.217002868652344</v>
      </c>
      <c r="O19" s="43"/>
      <c r="P19" s="23"/>
      <c r="Q19" s="23"/>
    </row>
    <row r="20" spans="1:17">
      <c r="A20" s="23"/>
      <c r="B20" s="53">
        <v>10</v>
      </c>
      <c r="C20" s="58">
        <v>72.925003051757813</v>
      </c>
      <c r="D20" s="59">
        <v>414600384</v>
      </c>
      <c r="E20" s="59">
        <v>0</v>
      </c>
      <c r="F20" s="59">
        <v>-82.214683532714844</v>
      </c>
      <c r="G20" s="42">
        <v>0</v>
      </c>
      <c r="H20" s="23"/>
      <c r="I20" s="23"/>
      <c r="J20" s="99"/>
      <c r="K20" s="99"/>
      <c r="L20" s="99"/>
      <c r="M20" s="99"/>
      <c r="N20" s="43">
        <f t="shared" si="0"/>
        <v>72.925003051757813</v>
      </c>
      <c r="O20" s="43"/>
      <c r="P20" s="23"/>
      <c r="Q20" s="23"/>
    </row>
    <row r="21" spans="1:17">
      <c r="A21" s="23"/>
      <c r="B21" s="53">
        <v>11</v>
      </c>
      <c r="C21" s="58">
        <v>77.957000732421875</v>
      </c>
      <c r="D21" s="59">
        <v>377936608</v>
      </c>
      <c r="E21" s="59">
        <v>0</v>
      </c>
      <c r="F21" s="59">
        <v>-86.851913452148438</v>
      </c>
      <c r="G21" s="42">
        <v>0</v>
      </c>
      <c r="H21" s="23"/>
      <c r="I21" s="23"/>
      <c r="J21" s="99"/>
      <c r="K21" s="99"/>
      <c r="L21" s="99"/>
      <c r="M21" s="99"/>
      <c r="N21" s="43">
        <f t="shared" si="0"/>
        <v>77.957000732421875</v>
      </c>
      <c r="O21" s="43"/>
      <c r="P21" s="23"/>
      <c r="Q21" s="23"/>
    </row>
    <row r="22" spans="1:17">
      <c r="A22" s="23"/>
      <c r="B22" s="53">
        <v>12</v>
      </c>
      <c r="C22" s="58">
        <v>83.33599853515625</v>
      </c>
      <c r="D22" s="59">
        <v>365396288</v>
      </c>
      <c r="E22" s="59">
        <v>0</v>
      </c>
      <c r="F22" s="59">
        <v>-85.492233276367188</v>
      </c>
      <c r="G22" s="42">
        <v>0</v>
      </c>
      <c r="H22" s="23"/>
      <c r="I22" s="23"/>
      <c r="J22" s="99"/>
      <c r="K22" s="99"/>
      <c r="L22" s="99"/>
      <c r="M22" s="99"/>
      <c r="N22" s="43">
        <f t="shared" si="0"/>
        <v>83.33599853515625</v>
      </c>
      <c r="O22" s="43"/>
      <c r="P22" s="23"/>
      <c r="Q22" s="23"/>
    </row>
    <row r="23" spans="1:17">
      <c r="A23" s="23"/>
      <c r="B23" s="53">
        <v>13</v>
      </c>
      <c r="C23" s="58">
        <v>89.086997985839844</v>
      </c>
      <c r="D23" s="59">
        <v>333878112</v>
      </c>
      <c r="E23" s="59">
        <v>0</v>
      </c>
      <c r="F23" s="59">
        <v>-85.583763122558594</v>
      </c>
      <c r="G23" s="42">
        <v>0</v>
      </c>
      <c r="H23" s="23"/>
      <c r="I23" s="23"/>
      <c r="J23" s="99"/>
      <c r="K23" s="99"/>
      <c r="L23" s="99"/>
      <c r="M23" s="99"/>
      <c r="N23" s="43">
        <f t="shared" si="0"/>
        <v>89.086997985839844</v>
      </c>
      <c r="O23" s="43"/>
      <c r="P23" s="23"/>
      <c r="Q23" s="23"/>
    </row>
    <row r="24" spans="1:17">
      <c r="A24" s="23"/>
      <c r="B24" s="53">
        <v>14</v>
      </c>
      <c r="C24" s="58">
        <v>95.234001159667969</v>
      </c>
      <c r="D24" s="59">
        <v>310595488</v>
      </c>
      <c r="E24" s="59">
        <v>0</v>
      </c>
      <c r="F24" s="59">
        <v>-90.294189453125</v>
      </c>
      <c r="G24" s="42">
        <v>0</v>
      </c>
      <c r="H24" s="23"/>
      <c r="I24" s="23"/>
      <c r="J24" s="99"/>
      <c r="K24" s="99"/>
      <c r="L24" s="99"/>
      <c r="M24" s="99"/>
      <c r="N24" s="43">
        <f t="shared" si="0"/>
        <v>95.234001159667969</v>
      </c>
      <c r="O24" s="43"/>
      <c r="P24" s="23"/>
      <c r="Q24" s="23"/>
    </row>
    <row r="25" spans="1:17">
      <c r="A25" s="23"/>
      <c r="B25" s="53">
        <v>15</v>
      </c>
      <c r="C25" s="58">
        <v>101.80599975585938</v>
      </c>
      <c r="D25" s="59">
        <v>285512800</v>
      </c>
      <c r="E25" s="59">
        <v>0</v>
      </c>
      <c r="F25" s="59">
        <v>-90.454849243164063</v>
      </c>
      <c r="G25" s="42">
        <v>0</v>
      </c>
      <c r="H25" s="23"/>
      <c r="I25" s="23"/>
      <c r="J25" s="99"/>
      <c r="K25" s="99"/>
      <c r="L25" s="99"/>
      <c r="M25" s="99"/>
      <c r="N25" s="43">
        <f t="shared" si="0"/>
        <v>101.80599975585938</v>
      </c>
      <c r="O25" s="43"/>
      <c r="P25" s="23"/>
      <c r="Q25" s="23"/>
    </row>
    <row r="26" spans="1:17">
      <c r="A26" s="23"/>
      <c r="B26" s="53">
        <v>16</v>
      </c>
      <c r="C26" s="58">
        <v>108.83100128173828</v>
      </c>
      <c r="D26" s="59">
        <v>268685184</v>
      </c>
      <c r="E26" s="59">
        <v>0</v>
      </c>
      <c r="F26" s="59">
        <v>-88.613151550292969</v>
      </c>
      <c r="G26" s="42">
        <v>0</v>
      </c>
      <c r="H26" s="23"/>
      <c r="I26" s="23"/>
      <c r="J26" s="99"/>
      <c r="K26" s="99"/>
      <c r="L26" s="99"/>
      <c r="M26" s="99"/>
      <c r="N26" s="43">
        <f t="shared" si="0"/>
        <v>108.83100128173828</v>
      </c>
      <c r="O26" s="43"/>
      <c r="P26" s="23"/>
      <c r="Q26" s="23"/>
    </row>
    <row r="27" spans="1:17">
      <c r="A27" s="23"/>
      <c r="B27" s="53">
        <v>17</v>
      </c>
      <c r="C27" s="58">
        <v>116.33999633789063</v>
      </c>
      <c r="D27" s="59">
        <v>255801504</v>
      </c>
      <c r="E27" s="59">
        <v>0</v>
      </c>
      <c r="F27" s="59">
        <v>-87.826713562011719</v>
      </c>
      <c r="G27" s="42">
        <v>0</v>
      </c>
      <c r="H27" s="23"/>
      <c r="I27" s="23"/>
      <c r="J27" s="99"/>
      <c r="K27" s="99"/>
      <c r="L27" s="99"/>
      <c r="M27" s="99"/>
      <c r="N27" s="43">
        <f t="shared" si="0"/>
        <v>116.33999633789063</v>
      </c>
      <c r="O27" s="43"/>
      <c r="P27" s="23"/>
      <c r="Q27" s="23"/>
    </row>
    <row r="28" spans="1:17">
      <c r="A28" s="23"/>
      <c r="B28" s="53">
        <v>18</v>
      </c>
      <c r="C28" s="58">
        <v>124.36799621582031</v>
      </c>
      <c r="D28" s="59">
        <v>251134704</v>
      </c>
      <c r="E28" s="59">
        <v>0</v>
      </c>
      <c r="F28" s="59">
        <v>-88.670326232910156</v>
      </c>
      <c r="G28" s="42">
        <v>0</v>
      </c>
      <c r="H28" s="23"/>
      <c r="I28" s="23"/>
      <c r="J28" s="99"/>
      <c r="K28" s="99"/>
      <c r="L28" s="99"/>
      <c r="M28" s="99"/>
      <c r="N28" s="43">
        <f t="shared" si="0"/>
        <v>124.36799621582031</v>
      </c>
      <c r="O28" s="43"/>
      <c r="P28" s="23"/>
      <c r="Q28" s="23"/>
    </row>
    <row r="29" spans="1:17">
      <c r="A29" s="23"/>
      <c r="B29" s="53">
        <v>19</v>
      </c>
      <c r="C29" s="58">
        <v>132.94999694824219</v>
      </c>
      <c r="D29" s="59">
        <v>224288096</v>
      </c>
      <c r="E29" s="59">
        <v>0</v>
      </c>
      <c r="F29" s="59">
        <v>-89.996368408203125</v>
      </c>
      <c r="G29" s="42">
        <v>0</v>
      </c>
      <c r="H29" s="23"/>
      <c r="I29" s="23"/>
      <c r="J29" s="99"/>
      <c r="K29" s="99"/>
      <c r="L29" s="99"/>
      <c r="M29" s="99"/>
      <c r="N29" s="43">
        <f t="shared" si="0"/>
        <v>132.94999694824219</v>
      </c>
      <c r="O29" s="43"/>
      <c r="P29" s="23"/>
      <c r="Q29" s="23"/>
    </row>
    <row r="30" spans="1:17">
      <c r="A30" s="23"/>
      <c r="B30" s="53">
        <v>20</v>
      </c>
      <c r="C30" s="58">
        <v>142.12399291992188</v>
      </c>
      <c r="D30" s="59">
        <v>208500608</v>
      </c>
      <c r="E30" s="59">
        <v>0</v>
      </c>
      <c r="F30" s="59">
        <v>-89.518409729003906</v>
      </c>
      <c r="G30" s="42">
        <v>0</v>
      </c>
      <c r="H30" s="23"/>
      <c r="I30" s="23"/>
      <c r="J30" s="99"/>
      <c r="K30" s="99"/>
      <c r="L30" s="99"/>
      <c r="M30" s="99"/>
      <c r="N30" s="43">
        <f t="shared" si="0"/>
        <v>142.12399291992188</v>
      </c>
      <c r="O30" s="43"/>
      <c r="P30" s="23"/>
      <c r="Q30" s="23"/>
    </row>
    <row r="31" spans="1:17">
      <c r="A31" s="23"/>
      <c r="B31" s="53">
        <v>21</v>
      </c>
      <c r="C31" s="58">
        <v>151.9320068359375</v>
      </c>
      <c r="D31" s="59">
        <v>197414096</v>
      </c>
      <c r="E31" s="59">
        <v>0</v>
      </c>
      <c r="F31" s="59">
        <v>-87.600433349609375</v>
      </c>
      <c r="G31" s="42">
        <v>0</v>
      </c>
      <c r="H31" s="23"/>
      <c r="I31" s="23"/>
      <c r="J31" s="99"/>
      <c r="K31" s="99"/>
      <c r="L31" s="99"/>
      <c r="M31" s="99"/>
      <c r="N31" s="43">
        <f t="shared" si="0"/>
        <v>151.9320068359375</v>
      </c>
      <c r="O31" s="43"/>
      <c r="P31" s="23"/>
      <c r="Q31" s="23"/>
    </row>
    <row r="32" spans="1:17">
      <c r="A32" s="23"/>
      <c r="B32" s="53">
        <v>22</v>
      </c>
      <c r="C32" s="58">
        <v>162.41499328613281</v>
      </c>
      <c r="D32" s="59">
        <v>182113408</v>
      </c>
      <c r="E32" s="59">
        <v>0</v>
      </c>
      <c r="F32" s="59">
        <v>-89.991188049316406</v>
      </c>
      <c r="G32" s="42">
        <v>0</v>
      </c>
      <c r="H32" s="23"/>
      <c r="I32" s="23"/>
      <c r="J32" s="99"/>
      <c r="K32" s="99"/>
      <c r="L32" s="99"/>
      <c r="M32" s="99"/>
      <c r="N32" s="43">
        <f t="shared" si="0"/>
        <v>162.41499328613281</v>
      </c>
      <c r="O32" s="43"/>
      <c r="P32" s="23"/>
      <c r="Q32" s="23"/>
    </row>
    <row r="33" spans="1:17">
      <c r="A33" s="23"/>
      <c r="B33" s="53">
        <v>23</v>
      </c>
      <c r="C33" s="58">
        <v>173.62300109863281</v>
      </c>
      <c r="D33" s="59">
        <v>168583904</v>
      </c>
      <c r="E33" s="59">
        <v>0</v>
      </c>
      <c r="F33" s="59">
        <v>-88.109268188476563</v>
      </c>
      <c r="G33" s="42">
        <v>0</v>
      </c>
      <c r="H33" s="23"/>
      <c r="I33" s="23"/>
      <c r="J33" s="99"/>
      <c r="K33" s="99"/>
      <c r="L33" s="99"/>
      <c r="M33" s="99"/>
      <c r="N33" s="43">
        <f t="shared" si="0"/>
        <v>173.62300109863281</v>
      </c>
      <c r="O33" s="43"/>
      <c r="P33" s="23"/>
      <c r="Q33" s="23"/>
    </row>
    <row r="34" spans="1:17">
      <c r="A34" s="23"/>
      <c r="B34" s="53">
        <v>24</v>
      </c>
      <c r="C34" s="58">
        <v>185.60400390625</v>
      </c>
      <c r="D34" s="59">
        <v>160524096</v>
      </c>
      <c r="E34" s="59">
        <v>0</v>
      </c>
      <c r="F34" s="59">
        <v>-88.568336486816406</v>
      </c>
      <c r="G34" s="42">
        <v>0</v>
      </c>
      <c r="H34" s="23"/>
      <c r="I34" s="23"/>
      <c r="J34" s="99"/>
      <c r="K34" s="99"/>
      <c r="L34" s="99"/>
      <c r="M34" s="99"/>
      <c r="N34" s="43">
        <f t="shared" si="0"/>
        <v>185.60400390625</v>
      </c>
      <c r="O34" s="43"/>
      <c r="P34" s="23"/>
      <c r="Q34" s="23"/>
    </row>
    <row r="35" spans="1:17">
      <c r="A35" s="23"/>
      <c r="B35" s="53">
        <v>25</v>
      </c>
      <c r="C35" s="58">
        <v>198.41099548339844</v>
      </c>
      <c r="D35" s="59">
        <v>149214304</v>
      </c>
      <c r="E35" s="59">
        <v>0</v>
      </c>
      <c r="F35" s="59">
        <v>-87.688522338867188</v>
      </c>
      <c r="G35" s="42">
        <v>0</v>
      </c>
      <c r="H35" s="23"/>
      <c r="I35" s="23"/>
      <c r="J35" s="99"/>
      <c r="K35" s="99"/>
      <c r="L35" s="99"/>
      <c r="M35" s="99"/>
      <c r="N35" s="43">
        <f t="shared" si="0"/>
        <v>198.41099548339844</v>
      </c>
      <c r="O35" s="43"/>
      <c r="P35" s="23"/>
      <c r="Q35" s="23"/>
    </row>
    <row r="36" spans="1:17">
      <c r="A36" s="23"/>
      <c r="B36" s="53">
        <v>26</v>
      </c>
      <c r="C36" s="58">
        <v>212.10200500488281</v>
      </c>
      <c r="D36" s="59">
        <v>146160800</v>
      </c>
      <c r="E36" s="59">
        <v>0</v>
      </c>
      <c r="F36" s="59">
        <v>-88.515907287597656</v>
      </c>
      <c r="G36" s="42">
        <v>0</v>
      </c>
      <c r="H36" s="23"/>
      <c r="I36" s="23"/>
      <c r="J36" s="99"/>
      <c r="K36" s="99"/>
      <c r="L36" s="99"/>
      <c r="M36" s="99"/>
      <c r="N36" s="43">
        <f t="shared" si="0"/>
        <v>212.10200500488281</v>
      </c>
      <c r="O36" s="43"/>
      <c r="P36" s="23"/>
      <c r="Q36" s="23"/>
    </row>
    <row r="37" spans="1:17">
      <c r="A37" s="23"/>
      <c r="B37" s="53">
        <v>27</v>
      </c>
      <c r="C37" s="58">
        <v>226.73800659179688</v>
      </c>
      <c r="D37" s="59">
        <v>129396800</v>
      </c>
      <c r="E37" s="59">
        <v>0</v>
      </c>
      <c r="F37" s="59">
        <v>-88.680381774902344</v>
      </c>
      <c r="G37" s="42">
        <v>0</v>
      </c>
      <c r="H37" s="23"/>
      <c r="I37" s="23"/>
      <c r="J37" s="99"/>
      <c r="K37" s="99"/>
      <c r="L37" s="99"/>
      <c r="M37" s="99"/>
      <c r="N37" s="43">
        <f t="shared" si="0"/>
        <v>226.73800659179688</v>
      </c>
      <c r="O37" s="43"/>
      <c r="P37" s="23"/>
      <c r="Q37" s="23"/>
    </row>
    <row r="38" spans="1:17">
      <c r="A38" s="23"/>
      <c r="B38" s="53">
        <v>28</v>
      </c>
      <c r="C38" s="58">
        <v>242.38400268554688</v>
      </c>
      <c r="D38" s="59">
        <v>122154400</v>
      </c>
      <c r="E38" s="59">
        <v>0</v>
      </c>
      <c r="F38" s="59">
        <v>-87.643836975097656</v>
      </c>
      <c r="G38" s="42">
        <v>0</v>
      </c>
      <c r="H38" s="23"/>
      <c r="I38" s="23"/>
      <c r="J38" s="99"/>
      <c r="K38" s="99"/>
      <c r="L38" s="99"/>
      <c r="M38" s="99"/>
      <c r="N38" s="43">
        <f t="shared" si="0"/>
        <v>242.38400268554688</v>
      </c>
      <c r="O38" s="43"/>
      <c r="P38" s="23"/>
      <c r="Q38" s="23"/>
    </row>
    <row r="39" spans="1:17">
      <c r="A39" s="23"/>
      <c r="B39" s="53">
        <v>29</v>
      </c>
      <c r="C39" s="58">
        <v>259.1090087890625</v>
      </c>
      <c r="D39" s="59">
        <v>113618304</v>
      </c>
      <c r="E39" s="59">
        <v>0</v>
      </c>
      <c r="F39" s="59">
        <v>-87.843116760253906</v>
      </c>
      <c r="G39" s="42">
        <v>0</v>
      </c>
      <c r="H39" s="23"/>
      <c r="I39" s="23"/>
      <c r="J39" s="99"/>
      <c r="K39" s="99"/>
      <c r="L39" s="99"/>
      <c r="M39" s="99"/>
      <c r="N39" s="43">
        <f t="shared" si="0"/>
        <v>259.1090087890625</v>
      </c>
      <c r="O39" s="43"/>
      <c r="P39" s="23"/>
      <c r="Q39" s="23"/>
    </row>
    <row r="40" spans="1:17">
      <c r="A40" s="23"/>
      <c r="B40" s="53">
        <v>30</v>
      </c>
      <c r="C40" s="58">
        <v>276.989013671875</v>
      </c>
      <c r="D40" s="59">
        <v>107557104</v>
      </c>
      <c r="E40" s="59">
        <v>0</v>
      </c>
      <c r="F40" s="59">
        <v>-88.64923095703125</v>
      </c>
      <c r="G40" s="42">
        <v>0</v>
      </c>
      <c r="H40" s="23"/>
      <c r="I40" s="23"/>
      <c r="J40" s="99"/>
      <c r="K40" s="99"/>
      <c r="L40" s="99"/>
      <c r="M40" s="99"/>
      <c r="N40" s="43">
        <f t="shared" si="0"/>
        <v>276.989013671875</v>
      </c>
      <c r="O40" s="43"/>
      <c r="P40" s="23"/>
      <c r="Q40" s="23"/>
    </row>
    <row r="41" spans="1:17">
      <c r="A41" s="23"/>
      <c r="B41" s="53">
        <v>31</v>
      </c>
      <c r="C41" s="58">
        <v>296.10198974609375</v>
      </c>
      <c r="D41" s="59">
        <v>101017600</v>
      </c>
      <c r="E41" s="59">
        <v>0</v>
      </c>
      <c r="F41" s="59">
        <v>-88.545013427734375</v>
      </c>
      <c r="G41" s="42">
        <v>0</v>
      </c>
      <c r="H41" s="23"/>
      <c r="I41" s="23"/>
      <c r="J41" s="99"/>
      <c r="K41" s="99"/>
      <c r="L41" s="99"/>
      <c r="M41" s="99"/>
      <c r="N41" s="43">
        <f t="shared" si="0"/>
        <v>296.10198974609375</v>
      </c>
      <c r="O41" s="43"/>
      <c r="P41" s="23"/>
      <c r="Q41" s="23"/>
    </row>
    <row r="42" spans="1:17">
      <c r="A42" s="23"/>
      <c r="B42" s="53">
        <v>32</v>
      </c>
      <c r="C42" s="58">
        <v>316.53500366210938</v>
      </c>
      <c r="D42" s="59">
        <v>95054704</v>
      </c>
      <c r="E42" s="59">
        <v>0</v>
      </c>
      <c r="F42" s="59">
        <v>-89.020072937011719</v>
      </c>
      <c r="G42" s="42">
        <v>0</v>
      </c>
      <c r="H42" s="23"/>
      <c r="I42" s="23"/>
      <c r="J42" s="99"/>
      <c r="K42" s="99"/>
      <c r="L42" s="99"/>
      <c r="M42" s="99"/>
      <c r="N42" s="43">
        <f t="shared" si="0"/>
        <v>316.53500366210938</v>
      </c>
      <c r="O42" s="43"/>
      <c r="P42" s="23"/>
      <c r="Q42" s="23"/>
    </row>
    <row r="43" spans="1:17">
      <c r="A43" s="23"/>
      <c r="B43" s="53">
        <v>33</v>
      </c>
      <c r="C43" s="58">
        <v>338.37701416015625</v>
      </c>
      <c r="D43" s="59">
        <v>89208792</v>
      </c>
      <c r="E43" s="59">
        <v>0</v>
      </c>
      <c r="F43" s="59">
        <v>-88.974273681640625</v>
      </c>
      <c r="G43" s="42">
        <v>0</v>
      </c>
      <c r="H43" s="23"/>
      <c r="I43" s="23"/>
      <c r="J43" s="99"/>
      <c r="K43" s="99"/>
      <c r="L43" s="99"/>
      <c r="M43" s="99"/>
      <c r="N43" s="43">
        <f t="shared" si="0"/>
        <v>338.37701416015625</v>
      </c>
      <c r="O43" s="43"/>
      <c r="P43" s="23"/>
      <c r="Q43" s="23"/>
    </row>
    <row r="44" spans="1:17">
      <c r="A44" s="23"/>
      <c r="B44" s="53">
        <v>34</v>
      </c>
      <c r="C44" s="58">
        <v>361.72601318359375</v>
      </c>
      <c r="D44" s="59">
        <v>83579536</v>
      </c>
      <c r="E44" s="59">
        <v>0</v>
      </c>
      <c r="F44" s="59">
        <v>-88.883506774902344</v>
      </c>
      <c r="G44" s="42">
        <v>0</v>
      </c>
      <c r="H44" s="23"/>
      <c r="I44" s="23"/>
      <c r="J44" s="99"/>
      <c r="K44" s="99"/>
      <c r="L44" s="99"/>
      <c r="M44" s="99"/>
      <c r="N44" s="43">
        <f t="shared" si="0"/>
        <v>361.72601318359375</v>
      </c>
      <c r="O44" s="43"/>
      <c r="P44" s="23"/>
      <c r="Q44" s="23"/>
    </row>
    <row r="45" spans="1:17">
      <c r="A45" s="23"/>
      <c r="B45" s="53">
        <v>35</v>
      </c>
      <c r="C45" s="58">
        <v>386.68701171875</v>
      </c>
      <c r="D45" s="59">
        <v>77709960</v>
      </c>
      <c r="E45" s="59">
        <v>0</v>
      </c>
      <c r="F45" s="59">
        <v>-89.260528564453125</v>
      </c>
      <c r="G45" s="42">
        <v>0</v>
      </c>
      <c r="H45" s="23"/>
      <c r="I45" s="23"/>
      <c r="J45" s="99"/>
      <c r="K45" s="99"/>
      <c r="L45" s="99"/>
      <c r="M45" s="99"/>
      <c r="N45" s="43">
        <f t="shared" si="0"/>
        <v>386.68701171875</v>
      </c>
      <c r="O45" s="43"/>
      <c r="P45" s="23"/>
      <c r="Q45" s="23"/>
    </row>
    <row r="46" spans="1:17">
      <c r="A46" s="23"/>
      <c r="B46" s="53">
        <v>36</v>
      </c>
      <c r="C46" s="58">
        <v>413.3699951171875</v>
      </c>
      <c r="D46" s="59">
        <v>72932032</v>
      </c>
      <c r="E46" s="59">
        <v>0</v>
      </c>
      <c r="F46" s="59">
        <v>-89.651687622070313</v>
      </c>
      <c r="G46" s="42">
        <v>0</v>
      </c>
      <c r="H46" s="23"/>
      <c r="I46" s="23"/>
      <c r="J46" s="99"/>
      <c r="K46" s="99"/>
      <c r="L46" s="99"/>
      <c r="M46" s="99"/>
      <c r="N46" s="43">
        <f t="shared" si="0"/>
        <v>413.3699951171875</v>
      </c>
      <c r="O46" s="43"/>
      <c r="P46" s="23"/>
      <c r="Q46" s="23"/>
    </row>
    <row r="47" spans="1:17">
      <c r="A47" s="23"/>
      <c r="B47" s="53">
        <v>37</v>
      </c>
      <c r="C47" s="58">
        <v>441.89401245117188</v>
      </c>
      <c r="D47" s="59">
        <v>68106920</v>
      </c>
      <c r="E47" s="59">
        <v>0</v>
      </c>
      <c r="F47" s="59">
        <v>-89.779930114746094</v>
      </c>
      <c r="G47" s="42">
        <v>0</v>
      </c>
      <c r="H47" s="23"/>
      <c r="I47" s="23"/>
      <c r="J47" s="99"/>
      <c r="K47" s="99"/>
      <c r="L47" s="99"/>
      <c r="M47" s="99"/>
      <c r="N47" s="43">
        <f t="shared" si="0"/>
        <v>441.89401245117188</v>
      </c>
      <c r="O47" s="43"/>
      <c r="P47" s="23"/>
      <c r="Q47" s="23"/>
    </row>
    <row r="48" spans="1:17">
      <c r="A48" s="23"/>
      <c r="B48" s="53">
        <v>38</v>
      </c>
      <c r="C48" s="58">
        <v>472.38699340820313</v>
      </c>
      <c r="D48" s="59">
        <v>63909232</v>
      </c>
      <c r="E48" s="59">
        <v>0</v>
      </c>
      <c r="F48" s="59">
        <v>-89.026527404785156</v>
      </c>
      <c r="G48" s="42">
        <v>0</v>
      </c>
      <c r="H48" s="23"/>
      <c r="I48" s="23"/>
      <c r="J48" s="99"/>
      <c r="K48" s="99"/>
      <c r="L48" s="99"/>
      <c r="M48" s="99"/>
      <c r="N48" s="43">
        <f t="shared" si="0"/>
        <v>472.38699340820313</v>
      </c>
      <c r="O48" s="43"/>
      <c r="P48" s="23"/>
      <c r="Q48" s="23"/>
    </row>
    <row r="49" spans="1:17">
      <c r="A49" s="23"/>
      <c r="B49" s="53">
        <v>39</v>
      </c>
      <c r="C49" s="58">
        <v>504.9840087890625</v>
      </c>
      <c r="D49" s="59">
        <v>59847648</v>
      </c>
      <c r="E49" s="59">
        <v>0</v>
      </c>
      <c r="F49" s="59">
        <v>-89.029647827148438</v>
      </c>
      <c r="G49" s="42">
        <v>0</v>
      </c>
      <c r="H49" s="23"/>
      <c r="I49" s="23"/>
      <c r="J49" s="99"/>
      <c r="K49" s="99"/>
      <c r="L49" s="99"/>
      <c r="M49" s="99"/>
      <c r="N49" s="43">
        <f t="shared" si="0"/>
        <v>504.9840087890625</v>
      </c>
      <c r="O49" s="43"/>
      <c r="P49" s="23"/>
      <c r="Q49" s="23"/>
    </row>
    <row r="50" spans="1:17">
      <c r="A50" s="23"/>
      <c r="B50" s="53">
        <v>40</v>
      </c>
      <c r="C50" s="58">
        <v>539.8289794921875</v>
      </c>
      <c r="D50" s="59">
        <v>55598460</v>
      </c>
      <c r="E50" s="59">
        <v>0</v>
      </c>
      <c r="F50" s="59">
        <v>-89.146682739257813</v>
      </c>
      <c r="G50" s="42">
        <v>0</v>
      </c>
      <c r="H50" s="23"/>
      <c r="I50" s="23"/>
      <c r="J50" s="99"/>
      <c r="K50" s="99"/>
      <c r="L50" s="99"/>
      <c r="M50" s="99"/>
      <c r="N50" s="43">
        <f t="shared" si="0"/>
        <v>539.8289794921875</v>
      </c>
      <c r="O50" s="43"/>
      <c r="P50" s="23"/>
      <c r="Q50" s="23"/>
    </row>
    <row r="51" spans="1:17">
      <c r="A51" s="23"/>
      <c r="B51" s="53">
        <v>41</v>
      </c>
      <c r="C51" s="58">
        <v>577.08001708984375</v>
      </c>
      <c r="D51" s="59">
        <v>51783180</v>
      </c>
      <c r="E51" s="59">
        <v>0</v>
      </c>
      <c r="F51" s="59">
        <v>-89.223213195800781</v>
      </c>
      <c r="G51" s="42">
        <v>0</v>
      </c>
      <c r="H51" s="23"/>
      <c r="I51" s="23"/>
      <c r="J51" s="99"/>
      <c r="K51" s="99"/>
      <c r="L51" s="99"/>
      <c r="M51" s="99"/>
      <c r="N51" s="43">
        <f t="shared" si="0"/>
        <v>577.08001708984375</v>
      </c>
      <c r="O51" s="43"/>
      <c r="P51" s="23"/>
      <c r="Q51" s="23"/>
    </row>
    <row r="52" spans="1:17">
      <c r="A52" s="23"/>
      <c r="B52" s="53">
        <v>42</v>
      </c>
      <c r="C52" s="58">
        <v>616.9010009765625</v>
      </c>
      <c r="D52" s="59">
        <v>48963460</v>
      </c>
      <c r="E52" s="59">
        <v>0</v>
      </c>
      <c r="F52" s="59">
        <v>-89.207511901855469</v>
      </c>
      <c r="G52" s="42">
        <v>0</v>
      </c>
      <c r="H52" s="23"/>
      <c r="I52" s="23"/>
      <c r="J52" s="99"/>
      <c r="K52" s="99"/>
      <c r="L52" s="99"/>
      <c r="M52" s="99"/>
      <c r="N52" s="43">
        <f t="shared" si="0"/>
        <v>616.9010009765625</v>
      </c>
      <c r="O52" s="43"/>
      <c r="P52" s="23"/>
      <c r="Q52" s="23"/>
    </row>
    <row r="53" spans="1:17">
      <c r="A53" s="23"/>
      <c r="B53" s="53">
        <v>43</v>
      </c>
      <c r="C53" s="58">
        <v>659.469970703125</v>
      </c>
      <c r="D53" s="59">
        <v>45477888</v>
      </c>
      <c r="E53" s="59">
        <v>0</v>
      </c>
      <c r="F53" s="59">
        <v>-89.363372802734375</v>
      </c>
      <c r="G53" s="42">
        <v>0</v>
      </c>
      <c r="H53" s="23"/>
      <c r="I53" s="23"/>
      <c r="J53" s="99"/>
      <c r="K53" s="99"/>
      <c r="L53" s="99"/>
      <c r="M53" s="99"/>
      <c r="N53" s="43">
        <f t="shared" si="0"/>
        <v>659.469970703125</v>
      </c>
      <c r="O53" s="43"/>
      <c r="P53" s="23"/>
      <c r="Q53" s="23"/>
    </row>
    <row r="54" spans="1:17">
      <c r="A54" s="23"/>
      <c r="B54" s="53">
        <v>44</v>
      </c>
      <c r="C54" s="58">
        <v>704.97601318359375</v>
      </c>
      <c r="D54" s="59">
        <v>42608368</v>
      </c>
      <c r="E54" s="59">
        <v>0</v>
      </c>
      <c r="F54" s="59">
        <v>-89.187210083007813</v>
      </c>
      <c r="G54" s="42">
        <v>0</v>
      </c>
      <c r="H54" s="23"/>
      <c r="I54" s="23"/>
      <c r="J54" s="99"/>
      <c r="K54" s="99"/>
      <c r="L54" s="99"/>
      <c r="M54" s="99"/>
      <c r="N54" s="43">
        <f t="shared" si="0"/>
        <v>704.97601318359375</v>
      </c>
      <c r="O54" s="43"/>
      <c r="P54" s="23"/>
      <c r="Q54" s="23"/>
    </row>
    <row r="55" spans="1:17">
      <c r="A55" s="23"/>
      <c r="B55" s="53">
        <v>45</v>
      </c>
      <c r="C55" s="58">
        <v>753.62200927734375</v>
      </c>
      <c r="D55" s="59">
        <v>39923320</v>
      </c>
      <c r="E55" s="59">
        <v>0</v>
      </c>
      <c r="F55" s="59">
        <v>-89.216163635253906</v>
      </c>
      <c r="G55" s="42">
        <v>0</v>
      </c>
      <c r="H55" s="23"/>
      <c r="I55" s="23"/>
      <c r="J55" s="99"/>
      <c r="K55" s="99"/>
      <c r="L55" s="99"/>
      <c r="M55" s="99"/>
      <c r="N55" s="43">
        <f t="shared" si="0"/>
        <v>753.62200927734375</v>
      </c>
      <c r="O55" s="43"/>
      <c r="P55" s="23"/>
      <c r="Q55" s="23"/>
    </row>
    <row r="56" spans="1:17">
      <c r="A56" s="23"/>
      <c r="B56" s="53">
        <v>46</v>
      </c>
      <c r="C56" s="58">
        <v>805.625</v>
      </c>
      <c r="D56" s="59">
        <v>37256600</v>
      </c>
      <c r="E56" s="59">
        <v>0</v>
      </c>
      <c r="F56" s="59">
        <v>-89.4576416015625</v>
      </c>
      <c r="G56" s="42">
        <v>0</v>
      </c>
      <c r="H56" s="23"/>
      <c r="I56" s="23"/>
      <c r="J56" s="99"/>
      <c r="K56" s="99"/>
      <c r="L56" s="99"/>
      <c r="M56" s="99"/>
      <c r="N56" s="43">
        <f t="shared" si="0"/>
        <v>805.625</v>
      </c>
      <c r="O56" s="43"/>
      <c r="P56" s="23"/>
      <c r="Q56" s="23"/>
    </row>
    <row r="57" spans="1:17">
      <c r="A57" s="23"/>
      <c r="B57" s="53">
        <v>47</v>
      </c>
      <c r="C57" s="58">
        <v>861.21697998046875</v>
      </c>
      <c r="D57" s="59">
        <v>34989368</v>
      </c>
      <c r="E57" s="59">
        <v>0</v>
      </c>
      <c r="F57" s="59">
        <v>-89.27813720703125</v>
      </c>
      <c r="G57" s="42">
        <v>0</v>
      </c>
      <c r="H57" s="23"/>
      <c r="I57" s="23"/>
      <c r="J57" s="99"/>
      <c r="K57" s="99"/>
      <c r="L57" s="99"/>
      <c r="M57" s="99"/>
      <c r="N57" s="43">
        <f t="shared" si="0"/>
        <v>861.21697998046875</v>
      </c>
      <c r="O57" s="43"/>
      <c r="P57" s="23"/>
      <c r="Q57" s="23"/>
    </row>
    <row r="58" spans="1:17">
      <c r="A58" s="23"/>
      <c r="B58" s="53">
        <v>48</v>
      </c>
      <c r="C58" s="58">
        <v>920.64398193359375</v>
      </c>
      <c r="D58" s="59">
        <v>32761830</v>
      </c>
      <c r="E58" s="59">
        <v>0</v>
      </c>
      <c r="F58" s="59">
        <v>-89.264266967773438</v>
      </c>
      <c r="G58" s="42">
        <v>0</v>
      </c>
      <c r="H58" s="23"/>
      <c r="I58" s="23"/>
      <c r="J58" s="99"/>
      <c r="K58" s="99"/>
      <c r="L58" s="99"/>
      <c r="M58" s="99"/>
      <c r="N58" s="43">
        <f t="shared" si="0"/>
        <v>920.64398193359375</v>
      </c>
      <c r="O58" s="43"/>
      <c r="P58" s="23"/>
      <c r="Q58" s="23"/>
    </row>
    <row r="59" spans="1:17">
      <c r="A59" s="23"/>
      <c r="B59" s="53">
        <v>49</v>
      </c>
      <c r="C59" s="58">
        <v>984.1719970703125</v>
      </c>
      <c r="D59" s="59">
        <v>30688120</v>
      </c>
      <c r="E59" s="59">
        <v>0</v>
      </c>
      <c r="F59" s="59">
        <v>-89.256759643554688</v>
      </c>
      <c r="G59" s="42">
        <v>0</v>
      </c>
      <c r="H59" s="23"/>
      <c r="I59" s="23"/>
      <c r="J59" s="99"/>
      <c r="K59" s="99"/>
      <c r="L59" s="99"/>
      <c r="M59" s="99"/>
      <c r="N59" s="43">
        <f t="shared" si="0"/>
        <v>984.1719970703125</v>
      </c>
      <c r="O59" s="43"/>
      <c r="P59" s="23"/>
      <c r="Q59" s="23"/>
    </row>
    <row r="60" spans="1:17">
      <c r="A60" s="23"/>
      <c r="B60" s="53">
        <v>50</v>
      </c>
      <c r="C60" s="58">
        <v>1052.083984375</v>
      </c>
      <c r="D60" s="59">
        <v>28640340</v>
      </c>
      <c r="E60" s="59">
        <v>0</v>
      </c>
      <c r="F60" s="59">
        <v>-89.316726684570313</v>
      </c>
      <c r="G60" s="42">
        <v>0</v>
      </c>
      <c r="H60" s="23"/>
      <c r="I60" s="23"/>
      <c r="J60" s="99"/>
      <c r="K60" s="99"/>
      <c r="L60" s="99"/>
      <c r="M60" s="99"/>
      <c r="N60" s="43">
        <f t="shared" si="0"/>
        <v>1052.083984375</v>
      </c>
      <c r="O60" s="43"/>
      <c r="P60" s="23"/>
      <c r="Q60" s="23"/>
    </row>
    <row r="61" spans="1:17">
      <c r="A61" s="23"/>
      <c r="B61" s="53">
        <v>51</v>
      </c>
      <c r="C61" s="58">
        <v>1124.6829833984375</v>
      </c>
      <c r="D61" s="59">
        <v>26884620</v>
      </c>
      <c r="E61" s="59">
        <v>0</v>
      </c>
      <c r="F61" s="59">
        <v>-89.156600952148438</v>
      </c>
      <c r="G61" s="42">
        <v>0</v>
      </c>
      <c r="H61" s="23"/>
      <c r="I61" s="23"/>
      <c r="J61" s="99"/>
      <c r="K61" s="99"/>
      <c r="L61" s="99"/>
      <c r="M61" s="99"/>
      <c r="N61" s="43">
        <f t="shared" si="0"/>
        <v>1124.6829833984375</v>
      </c>
      <c r="O61" s="43"/>
      <c r="P61" s="23"/>
      <c r="Q61" s="23"/>
    </row>
    <row r="62" spans="1:17">
      <c r="A62" s="23"/>
      <c r="B62" s="53">
        <v>52</v>
      </c>
      <c r="C62" s="58">
        <v>1202.2900390625</v>
      </c>
      <c r="D62" s="59">
        <v>25131020</v>
      </c>
      <c r="E62" s="59">
        <v>0</v>
      </c>
      <c r="F62" s="59">
        <v>-89.311241149902344</v>
      </c>
      <c r="G62" s="42">
        <v>0</v>
      </c>
      <c r="H62" s="23"/>
      <c r="I62" s="23"/>
      <c r="J62" s="99"/>
      <c r="K62" s="99"/>
      <c r="L62" s="99"/>
      <c r="M62" s="99"/>
      <c r="N62" s="43">
        <f t="shared" si="0"/>
        <v>1202.2900390625</v>
      </c>
      <c r="O62" s="43"/>
      <c r="P62" s="23"/>
      <c r="Q62" s="23"/>
    </row>
    <row r="63" spans="1:17">
      <c r="A63" s="23"/>
      <c r="B63" s="53">
        <v>53</v>
      </c>
      <c r="C63" s="58">
        <v>1285.2540283203125</v>
      </c>
      <c r="D63" s="59">
        <v>23488510</v>
      </c>
      <c r="E63" s="59">
        <v>0</v>
      </c>
      <c r="F63" s="59">
        <v>-89.385696411132813</v>
      </c>
      <c r="G63" s="42">
        <v>0</v>
      </c>
      <c r="H63" s="23"/>
      <c r="I63" s="23"/>
      <c r="J63" s="99"/>
      <c r="K63" s="99"/>
      <c r="L63" s="99"/>
      <c r="M63" s="99"/>
      <c r="N63" s="43">
        <f t="shared" si="0"/>
        <v>1285.2540283203125</v>
      </c>
      <c r="O63" s="43"/>
      <c r="P63" s="23"/>
      <c r="Q63" s="23"/>
    </row>
    <row r="64" spans="1:17">
      <c r="A64" s="23"/>
      <c r="B64" s="53">
        <v>54</v>
      </c>
      <c r="C64" s="58">
        <v>1373.9410400390625</v>
      </c>
      <c r="D64" s="59">
        <v>22012090</v>
      </c>
      <c r="E64" s="59">
        <v>0</v>
      </c>
      <c r="F64" s="59">
        <v>-89.343193054199219</v>
      </c>
      <c r="G64" s="42">
        <v>0</v>
      </c>
      <c r="H64" s="23"/>
      <c r="I64" s="23"/>
      <c r="J64" s="99"/>
      <c r="K64" s="99"/>
      <c r="L64" s="99"/>
      <c r="M64" s="99"/>
      <c r="N64" s="43">
        <f t="shared" si="0"/>
        <v>1373.9410400390625</v>
      </c>
      <c r="O64" s="43"/>
      <c r="P64" s="23"/>
      <c r="Q64" s="23"/>
    </row>
    <row r="65" spans="1:17">
      <c r="A65" s="23"/>
      <c r="B65" s="53">
        <v>55</v>
      </c>
      <c r="C65" s="58">
        <v>1468.7490234375</v>
      </c>
      <c r="D65" s="59">
        <v>20640500</v>
      </c>
      <c r="E65" s="59">
        <v>0</v>
      </c>
      <c r="F65" s="59">
        <v>-89.409690856933594</v>
      </c>
      <c r="G65" s="42">
        <v>0</v>
      </c>
      <c r="H65" s="23"/>
      <c r="I65" s="23"/>
      <c r="J65" s="99"/>
      <c r="K65" s="99"/>
      <c r="L65" s="99"/>
      <c r="M65" s="99"/>
      <c r="N65" s="43">
        <f t="shared" si="0"/>
        <v>1468.7490234375</v>
      </c>
      <c r="O65" s="43"/>
      <c r="P65" s="23"/>
      <c r="Q65" s="23"/>
    </row>
    <row r="66" spans="1:17">
      <c r="A66" s="23"/>
      <c r="B66" s="53">
        <v>56</v>
      </c>
      <c r="C66" s="58">
        <v>1570.0989990234375</v>
      </c>
      <c r="D66" s="59">
        <v>19270860</v>
      </c>
      <c r="E66" s="59">
        <v>0</v>
      </c>
      <c r="F66" s="59">
        <v>-89.353202819824219</v>
      </c>
      <c r="G66" s="42">
        <v>0</v>
      </c>
      <c r="H66" s="23"/>
      <c r="I66" s="23"/>
      <c r="J66" s="99"/>
      <c r="K66" s="99"/>
      <c r="L66" s="99"/>
      <c r="M66" s="99"/>
      <c r="N66" s="43">
        <f t="shared" si="0"/>
        <v>1570.0989990234375</v>
      </c>
      <c r="O66" s="43"/>
      <c r="P66" s="23"/>
      <c r="Q66" s="23"/>
    </row>
    <row r="67" spans="1:17">
      <c r="A67" s="23"/>
      <c r="B67" s="53">
        <v>57</v>
      </c>
      <c r="C67" s="58">
        <v>1678.4420166015625</v>
      </c>
      <c r="D67" s="59">
        <v>18007350</v>
      </c>
      <c r="E67" s="59">
        <v>0</v>
      </c>
      <c r="F67" s="59">
        <v>-89.442626953125</v>
      </c>
      <c r="G67" s="42">
        <v>0</v>
      </c>
      <c r="H67" s="23"/>
      <c r="I67" s="23"/>
      <c r="J67" s="99"/>
      <c r="K67" s="99"/>
      <c r="L67" s="99"/>
      <c r="M67" s="99"/>
      <c r="N67" s="43">
        <f t="shared" si="0"/>
        <v>1678.4420166015625</v>
      </c>
      <c r="O67" s="43"/>
      <c r="P67" s="23"/>
      <c r="Q67" s="23"/>
    </row>
    <row r="68" spans="1:17">
      <c r="A68" s="23"/>
      <c r="B68" s="53">
        <v>58</v>
      </c>
      <c r="C68" s="58">
        <v>1794.261962890625</v>
      </c>
      <c r="D68" s="59">
        <v>16859570</v>
      </c>
      <c r="E68" s="59">
        <v>0</v>
      </c>
      <c r="F68" s="59">
        <v>-89.378662109375</v>
      </c>
      <c r="G68" s="42">
        <v>0</v>
      </c>
      <c r="H68" s="23"/>
      <c r="I68" s="23"/>
      <c r="J68" s="99"/>
      <c r="K68" s="99"/>
      <c r="L68" s="99"/>
      <c r="M68" s="99"/>
      <c r="N68" s="43">
        <f t="shared" si="0"/>
        <v>1794.261962890625</v>
      </c>
      <c r="O68" s="43"/>
      <c r="P68" s="23"/>
      <c r="Q68" s="23"/>
    </row>
    <row r="69" spans="1:17">
      <c r="A69" s="23"/>
      <c r="B69" s="53">
        <v>59</v>
      </c>
      <c r="C69" s="58">
        <v>1918.072998046875</v>
      </c>
      <c r="D69" s="59">
        <v>15770800</v>
      </c>
      <c r="E69" s="59">
        <v>0</v>
      </c>
      <c r="F69" s="59">
        <v>-89.395980834960938</v>
      </c>
      <c r="G69" s="42">
        <v>0</v>
      </c>
      <c r="H69" s="23"/>
      <c r="I69" s="23"/>
      <c r="J69" s="99"/>
      <c r="K69" s="99"/>
      <c r="L69" s="99"/>
      <c r="M69" s="99"/>
      <c r="N69" s="43">
        <f t="shared" si="0"/>
        <v>1918.072998046875</v>
      </c>
      <c r="O69" s="43"/>
      <c r="P69" s="23"/>
      <c r="Q69" s="23"/>
    </row>
    <row r="70" spans="1:17">
      <c r="A70" s="23"/>
      <c r="B70" s="53">
        <v>60</v>
      </c>
      <c r="C70" s="58">
        <v>2050.427978515625</v>
      </c>
      <c r="D70" s="59">
        <v>14769800</v>
      </c>
      <c r="E70" s="59">
        <v>0</v>
      </c>
      <c r="F70" s="59">
        <v>-89.428962707519531</v>
      </c>
      <c r="G70" s="42">
        <v>0</v>
      </c>
      <c r="H70" s="23"/>
      <c r="I70" s="23"/>
      <c r="J70" s="99"/>
      <c r="K70" s="99"/>
      <c r="L70" s="99"/>
      <c r="M70" s="99"/>
      <c r="N70" s="43">
        <f t="shared" si="0"/>
        <v>2050.427978515625</v>
      </c>
      <c r="O70" s="43"/>
      <c r="P70" s="23"/>
      <c r="Q70" s="23"/>
    </row>
    <row r="71" spans="1:17">
      <c r="A71" s="23"/>
      <c r="B71" s="53">
        <v>61</v>
      </c>
      <c r="C71" s="58">
        <v>2191.916015625</v>
      </c>
      <c r="D71" s="59">
        <v>13822190</v>
      </c>
      <c r="E71" s="59">
        <v>0</v>
      </c>
      <c r="F71" s="59">
        <v>-89.470947265625</v>
      </c>
      <c r="G71" s="42">
        <v>0</v>
      </c>
      <c r="H71" s="23"/>
      <c r="I71" s="23"/>
      <c r="J71" s="99"/>
      <c r="K71" s="99"/>
      <c r="L71" s="99"/>
      <c r="M71" s="99"/>
      <c r="N71" s="43">
        <f t="shared" si="0"/>
        <v>2191.916015625</v>
      </c>
      <c r="O71" s="43"/>
      <c r="P71" s="23"/>
      <c r="Q71" s="23"/>
    </row>
    <row r="72" spans="1:17">
      <c r="A72" s="23"/>
      <c r="B72" s="53">
        <v>62</v>
      </c>
      <c r="C72" s="58">
        <v>2343.16796875</v>
      </c>
      <c r="D72" s="59">
        <v>12946530</v>
      </c>
      <c r="E72" s="59">
        <v>0</v>
      </c>
      <c r="F72" s="59">
        <v>-89.395370483398438</v>
      </c>
      <c r="G72" s="42">
        <v>0</v>
      </c>
      <c r="H72" s="23"/>
      <c r="I72" s="23"/>
      <c r="J72" s="99"/>
      <c r="K72" s="99"/>
      <c r="L72" s="99"/>
      <c r="M72" s="99"/>
      <c r="N72" s="43">
        <f t="shared" si="0"/>
        <v>2343.16796875</v>
      </c>
      <c r="O72" s="43"/>
      <c r="P72" s="23"/>
      <c r="Q72" s="23"/>
    </row>
    <row r="73" spans="1:17">
      <c r="A73" s="23"/>
      <c r="B73" s="53">
        <v>63</v>
      </c>
      <c r="C73" s="58">
        <v>2504.85595703125</v>
      </c>
      <c r="D73" s="59">
        <v>12098400</v>
      </c>
      <c r="E73" s="59">
        <v>0</v>
      </c>
      <c r="F73" s="59">
        <v>-89.448188781738281</v>
      </c>
      <c r="G73" s="42">
        <v>0</v>
      </c>
      <c r="H73" s="23"/>
      <c r="I73" s="23"/>
      <c r="J73" s="99"/>
      <c r="K73" s="99"/>
      <c r="L73" s="99"/>
      <c r="M73" s="99"/>
      <c r="N73" s="43">
        <f t="shared" si="0"/>
        <v>2504.85595703125</v>
      </c>
      <c r="O73" s="43"/>
      <c r="P73" s="23"/>
      <c r="Q73" s="23"/>
    </row>
    <row r="74" spans="1:17">
      <c r="A74" s="23"/>
      <c r="B74" s="53">
        <v>64</v>
      </c>
      <c r="C74" s="58">
        <v>2677.701904296875</v>
      </c>
      <c r="D74" s="59">
        <v>11328120</v>
      </c>
      <c r="E74" s="59">
        <v>0</v>
      </c>
      <c r="F74" s="59">
        <v>-89.403762817382813</v>
      </c>
      <c r="G74" s="42">
        <v>0</v>
      </c>
      <c r="H74" s="23"/>
      <c r="I74" s="23"/>
      <c r="J74" s="99"/>
      <c r="K74" s="99"/>
      <c r="L74" s="99"/>
      <c r="M74" s="99"/>
      <c r="N74" s="43">
        <f t="shared" si="0"/>
        <v>2677.701904296875</v>
      </c>
      <c r="O74" s="43"/>
      <c r="P74" s="23"/>
      <c r="Q74" s="23"/>
    </row>
    <row r="75" spans="1:17">
      <c r="A75" s="23"/>
      <c r="B75" s="53">
        <v>65</v>
      </c>
      <c r="C75" s="58">
        <v>2862.47412109375</v>
      </c>
      <c r="D75" s="59">
        <v>10587820</v>
      </c>
      <c r="E75" s="59">
        <v>0</v>
      </c>
      <c r="F75" s="59">
        <v>-89.468818664550781</v>
      </c>
      <c r="G75" s="42">
        <v>0</v>
      </c>
      <c r="H75" s="23"/>
      <c r="I75" s="23"/>
      <c r="J75" s="99"/>
      <c r="K75" s="99"/>
      <c r="L75" s="99"/>
      <c r="M75" s="99"/>
      <c r="N75" s="43">
        <f t="shared" ref="N75:N138" si="1">IF($L$4=$C$10,C75,IF(D75="","",B75))</f>
        <v>2862.47412109375</v>
      </c>
      <c r="O75" s="43"/>
      <c r="P75" s="23"/>
      <c r="Q75" s="23"/>
    </row>
    <row r="76" spans="1:17">
      <c r="A76" s="23"/>
      <c r="B76" s="53">
        <v>66</v>
      </c>
      <c r="C76" s="58">
        <v>3059.9970703125</v>
      </c>
      <c r="D76" s="59">
        <v>9916406</v>
      </c>
      <c r="E76" s="59">
        <v>0</v>
      </c>
      <c r="F76" s="59">
        <v>-89.462882995605469</v>
      </c>
      <c r="G76" s="42">
        <v>0</v>
      </c>
      <c r="H76" s="23"/>
      <c r="I76" s="23"/>
      <c r="J76" s="99"/>
      <c r="K76" s="99"/>
      <c r="L76" s="99"/>
      <c r="M76" s="99"/>
      <c r="N76" s="43">
        <f t="shared" si="1"/>
        <v>3059.9970703125</v>
      </c>
      <c r="O76" s="43"/>
      <c r="P76" s="23"/>
      <c r="Q76" s="23"/>
    </row>
    <row r="77" spans="1:17">
      <c r="A77" s="23"/>
      <c r="B77" s="53">
        <v>67</v>
      </c>
      <c r="C77" s="58">
        <v>3271.14990234375</v>
      </c>
      <c r="D77" s="59">
        <v>9270536</v>
      </c>
      <c r="E77" s="59">
        <v>0</v>
      </c>
      <c r="F77" s="59">
        <v>-89.43438720703125</v>
      </c>
      <c r="G77" s="42">
        <v>0</v>
      </c>
      <c r="H77" s="23"/>
      <c r="I77" s="23"/>
      <c r="J77" s="99"/>
      <c r="K77" s="99"/>
      <c r="L77" s="99"/>
      <c r="M77" s="99"/>
      <c r="N77" s="43">
        <f t="shared" si="1"/>
        <v>3271.14990234375</v>
      </c>
      <c r="O77" s="43"/>
      <c r="P77" s="23"/>
      <c r="Q77" s="23"/>
    </row>
    <row r="78" spans="1:17">
      <c r="A78" s="23"/>
      <c r="B78" s="53">
        <v>68</v>
      </c>
      <c r="C78" s="58">
        <v>3496.8720703125</v>
      </c>
      <c r="D78" s="59">
        <v>8681595</v>
      </c>
      <c r="E78" s="59">
        <v>0</v>
      </c>
      <c r="F78" s="59">
        <v>-89.49652099609375</v>
      </c>
      <c r="G78" s="42">
        <v>0</v>
      </c>
      <c r="H78" s="23"/>
      <c r="I78" s="23"/>
      <c r="J78" s="99"/>
      <c r="K78" s="99"/>
      <c r="L78" s="99"/>
      <c r="M78" s="99"/>
      <c r="N78" s="43">
        <f t="shared" si="1"/>
        <v>3496.8720703125</v>
      </c>
      <c r="O78" s="43"/>
      <c r="P78" s="23"/>
      <c r="Q78" s="23"/>
    </row>
    <row r="79" spans="1:17">
      <c r="A79" s="23"/>
      <c r="B79" s="53">
        <v>69</v>
      </c>
      <c r="C79" s="58">
        <v>3738.1708984375</v>
      </c>
      <c r="D79" s="59">
        <v>8121593</v>
      </c>
      <c r="E79" s="59">
        <v>0</v>
      </c>
      <c r="F79" s="59">
        <v>-89.452980041503906</v>
      </c>
      <c r="G79" s="42">
        <v>0</v>
      </c>
      <c r="H79" s="23"/>
      <c r="I79" s="23"/>
      <c r="J79" s="99"/>
      <c r="K79" s="99"/>
      <c r="L79" s="99"/>
      <c r="M79" s="99"/>
      <c r="N79" s="43">
        <f t="shared" si="1"/>
        <v>3738.1708984375</v>
      </c>
      <c r="O79" s="43"/>
      <c r="P79" s="23"/>
      <c r="Q79" s="23"/>
    </row>
    <row r="80" spans="1:17">
      <c r="A80" s="23"/>
      <c r="B80" s="53">
        <v>70</v>
      </c>
      <c r="C80" s="58">
        <v>3996.12109375</v>
      </c>
      <c r="D80" s="59">
        <v>7601297</v>
      </c>
      <c r="E80" s="59">
        <v>0</v>
      </c>
      <c r="F80" s="59">
        <v>-89.457107543945313</v>
      </c>
      <c r="G80" s="42">
        <v>0</v>
      </c>
      <c r="H80" s="23"/>
      <c r="I80" s="23"/>
      <c r="J80" s="99"/>
      <c r="K80" s="99"/>
      <c r="L80" s="99"/>
      <c r="M80" s="99"/>
      <c r="N80" s="43">
        <f t="shared" si="1"/>
        <v>3996.12109375</v>
      </c>
      <c r="O80" s="43"/>
      <c r="P80" s="23"/>
      <c r="Q80" s="23"/>
    </row>
    <row r="81" spans="1:17">
      <c r="A81" s="23"/>
      <c r="B81" s="53">
        <v>71</v>
      </c>
      <c r="C81" s="58">
        <v>4271.8701171875</v>
      </c>
      <c r="D81" s="59">
        <v>7118350</v>
      </c>
      <c r="E81" s="59">
        <v>0</v>
      </c>
      <c r="F81" s="59">
        <v>-89.459136962890625</v>
      </c>
      <c r="G81" s="42">
        <v>0</v>
      </c>
      <c r="H81" s="23"/>
      <c r="I81" s="23"/>
      <c r="J81" s="99"/>
      <c r="K81" s="99"/>
      <c r="L81" s="99"/>
      <c r="M81" s="99"/>
      <c r="N81" s="43">
        <f t="shared" si="1"/>
        <v>4271.8701171875</v>
      </c>
      <c r="O81" s="43"/>
      <c r="P81" s="23"/>
      <c r="Q81" s="23"/>
    </row>
    <row r="82" spans="1:17">
      <c r="A82" s="23"/>
      <c r="B82" s="53">
        <v>72</v>
      </c>
      <c r="C82" s="58">
        <v>4566.64697265625</v>
      </c>
      <c r="D82" s="59">
        <v>6659253</v>
      </c>
      <c r="E82" s="59">
        <v>0</v>
      </c>
      <c r="F82" s="59">
        <v>-89.457237243652344</v>
      </c>
      <c r="G82" s="42">
        <v>0</v>
      </c>
      <c r="H82" s="23"/>
      <c r="I82" s="23"/>
      <c r="J82" s="99"/>
      <c r="K82" s="99"/>
      <c r="L82" s="99"/>
      <c r="M82" s="99"/>
      <c r="N82" s="43">
        <f t="shared" si="1"/>
        <v>4566.64697265625</v>
      </c>
      <c r="O82" s="43"/>
      <c r="P82" s="23"/>
      <c r="Q82" s="23"/>
    </row>
    <row r="83" spans="1:17">
      <c r="A83" s="23"/>
      <c r="B83" s="53">
        <v>73</v>
      </c>
      <c r="C83" s="58">
        <v>4881.76416015625</v>
      </c>
      <c r="D83" s="59">
        <v>6229058</v>
      </c>
      <c r="E83" s="59">
        <v>0</v>
      </c>
      <c r="F83" s="59">
        <v>-89.489326477050781</v>
      </c>
      <c r="G83" s="42">
        <v>0</v>
      </c>
      <c r="H83" s="23"/>
      <c r="I83" s="23"/>
      <c r="J83" s="99"/>
      <c r="K83" s="99"/>
      <c r="L83" s="99"/>
      <c r="M83" s="99"/>
      <c r="N83" s="43">
        <f t="shared" si="1"/>
        <v>4881.76416015625</v>
      </c>
      <c r="O83" s="43"/>
      <c r="P83" s="23"/>
      <c r="Q83" s="23"/>
    </row>
    <row r="84" spans="1:17">
      <c r="A84" s="23"/>
      <c r="B84" s="53">
        <v>74</v>
      </c>
      <c r="C84" s="58">
        <v>5218.6259765625</v>
      </c>
      <c r="D84" s="59">
        <v>5830819</v>
      </c>
      <c r="E84" s="59">
        <v>0</v>
      </c>
      <c r="F84" s="59">
        <v>-89.497886657714844</v>
      </c>
      <c r="G84" s="42">
        <v>0</v>
      </c>
      <c r="H84" s="23"/>
      <c r="I84" s="23"/>
      <c r="J84" s="99"/>
      <c r="K84" s="99"/>
      <c r="L84" s="99"/>
      <c r="M84" s="99"/>
      <c r="N84" s="43">
        <f t="shared" si="1"/>
        <v>5218.6259765625</v>
      </c>
      <c r="O84" s="43"/>
      <c r="P84" s="23"/>
      <c r="Q84" s="23"/>
    </row>
    <row r="85" spans="1:17">
      <c r="A85" s="23"/>
      <c r="B85" s="53">
        <v>75</v>
      </c>
      <c r="C85" s="58">
        <v>5578.73291015625</v>
      </c>
      <c r="D85" s="59">
        <v>5455124</v>
      </c>
      <c r="E85" s="59">
        <v>0</v>
      </c>
      <c r="F85" s="59">
        <v>-89.482353210449219</v>
      </c>
      <c r="G85" s="42">
        <v>0</v>
      </c>
      <c r="H85" s="23"/>
      <c r="I85" s="23"/>
      <c r="J85" s="99"/>
      <c r="K85" s="99"/>
      <c r="L85" s="99"/>
      <c r="M85" s="99"/>
      <c r="N85" s="43">
        <f t="shared" si="1"/>
        <v>5578.73291015625</v>
      </c>
      <c r="O85" s="43"/>
      <c r="P85" s="23"/>
      <c r="Q85" s="23"/>
    </row>
    <row r="86" spans="1:17">
      <c r="A86" s="23"/>
      <c r="B86" s="53">
        <v>76</v>
      </c>
      <c r="C86" s="58">
        <v>5963.68896484375</v>
      </c>
      <c r="D86" s="59">
        <v>5105260</v>
      </c>
      <c r="E86" s="59">
        <v>0</v>
      </c>
      <c r="F86" s="59">
        <v>-89.461883544921875</v>
      </c>
      <c r="G86" s="42">
        <v>0</v>
      </c>
      <c r="H86" s="23"/>
      <c r="I86" s="23"/>
      <c r="J86" s="99"/>
      <c r="K86" s="99"/>
      <c r="L86" s="99"/>
      <c r="M86" s="99"/>
      <c r="N86" s="43">
        <f t="shared" si="1"/>
        <v>5963.68896484375</v>
      </c>
      <c r="O86" s="43"/>
      <c r="P86" s="23"/>
      <c r="Q86" s="23"/>
    </row>
    <row r="87" spans="1:17">
      <c r="A87" s="23"/>
      <c r="B87" s="53">
        <v>77</v>
      </c>
      <c r="C87" s="58">
        <v>6375.208984375</v>
      </c>
      <c r="D87" s="59">
        <v>4775811</v>
      </c>
      <c r="E87" s="59">
        <v>0</v>
      </c>
      <c r="F87" s="59">
        <v>-89.448478698730469</v>
      </c>
      <c r="G87" s="42">
        <v>0</v>
      </c>
      <c r="H87" s="23"/>
      <c r="I87" s="23"/>
      <c r="J87" s="99"/>
      <c r="K87" s="99"/>
      <c r="L87" s="99"/>
      <c r="M87" s="99"/>
      <c r="N87" s="43">
        <f t="shared" si="1"/>
        <v>6375.208984375</v>
      </c>
      <c r="O87" s="43"/>
      <c r="P87" s="23"/>
      <c r="Q87" s="23"/>
    </row>
    <row r="88" spans="1:17">
      <c r="A88" s="23"/>
      <c r="B88" s="53">
        <v>78</v>
      </c>
      <c r="C88" s="58">
        <v>6815.125</v>
      </c>
      <c r="D88" s="59">
        <v>4468726</v>
      </c>
      <c r="E88" s="59">
        <v>0</v>
      </c>
      <c r="F88" s="59">
        <v>-89.474563598632813</v>
      </c>
      <c r="G88" s="42">
        <v>0</v>
      </c>
      <c r="H88" s="23"/>
      <c r="I88" s="23"/>
      <c r="J88" s="99"/>
      <c r="K88" s="99"/>
      <c r="L88" s="99"/>
      <c r="M88" s="99"/>
      <c r="N88" s="43">
        <f t="shared" si="1"/>
        <v>6815.125</v>
      </c>
      <c r="O88" s="43"/>
      <c r="P88" s="23"/>
      <c r="Q88" s="23"/>
    </row>
    <row r="89" spans="1:17">
      <c r="A89" s="23"/>
      <c r="B89" s="53">
        <v>79</v>
      </c>
      <c r="C89" s="58">
        <v>7285.39697265625</v>
      </c>
      <c r="D89" s="59">
        <v>4183442</v>
      </c>
      <c r="E89" s="59">
        <v>0</v>
      </c>
      <c r="F89" s="59">
        <v>-89.460777282714844</v>
      </c>
      <c r="G89" s="42">
        <v>0</v>
      </c>
      <c r="H89" s="23"/>
      <c r="I89" s="23"/>
      <c r="J89" s="99"/>
      <c r="K89" s="99"/>
      <c r="L89" s="99"/>
      <c r="M89" s="99"/>
      <c r="N89" s="43">
        <f t="shared" si="1"/>
        <v>7285.39697265625</v>
      </c>
      <c r="O89" s="43"/>
      <c r="P89" s="23"/>
      <c r="Q89" s="23"/>
    </row>
    <row r="90" spans="1:17">
      <c r="A90" s="23"/>
      <c r="B90" s="53">
        <v>80</v>
      </c>
      <c r="C90" s="58">
        <v>7788.119140625</v>
      </c>
      <c r="D90" s="59">
        <v>3913626</v>
      </c>
      <c r="E90" s="59">
        <v>0</v>
      </c>
      <c r="F90" s="59">
        <v>-89.465278625488281</v>
      </c>
      <c r="G90" s="42">
        <v>0</v>
      </c>
      <c r="H90" s="23"/>
      <c r="I90" s="23"/>
      <c r="J90" s="99"/>
      <c r="K90" s="99"/>
      <c r="L90" s="99"/>
      <c r="M90" s="99"/>
      <c r="N90" s="43">
        <f t="shared" si="1"/>
        <v>7788.119140625</v>
      </c>
      <c r="O90" s="43"/>
      <c r="P90" s="23"/>
      <c r="Q90" s="23"/>
    </row>
    <row r="91" spans="1:17">
      <c r="A91" s="23"/>
      <c r="B91" s="53">
        <v>81</v>
      </c>
      <c r="C91" s="58">
        <v>8325.5322265625</v>
      </c>
      <c r="D91" s="59">
        <v>3663060</v>
      </c>
      <c r="E91" s="59">
        <v>0</v>
      </c>
      <c r="F91" s="59">
        <v>-89.467811584472656</v>
      </c>
      <c r="G91" s="42">
        <v>0</v>
      </c>
      <c r="H91" s="23"/>
      <c r="I91" s="23"/>
      <c r="J91" s="99"/>
      <c r="K91" s="99"/>
      <c r="L91" s="99"/>
      <c r="M91" s="99"/>
      <c r="N91" s="43">
        <f t="shared" si="1"/>
        <v>8325.5322265625</v>
      </c>
      <c r="O91" s="43"/>
      <c r="P91" s="23"/>
      <c r="Q91" s="23"/>
    </row>
    <row r="92" spans="1:17">
      <c r="A92" s="23"/>
      <c r="B92" s="53">
        <v>82</v>
      </c>
      <c r="C92" s="58">
        <v>8900.029296875</v>
      </c>
      <c r="D92" s="59">
        <v>3427622</v>
      </c>
      <c r="E92" s="59">
        <v>0</v>
      </c>
      <c r="F92" s="59">
        <v>-89.485618591308594</v>
      </c>
      <c r="G92" s="42">
        <v>0</v>
      </c>
      <c r="H92" s="23"/>
      <c r="I92" s="23"/>
      <c r="J92" s="99"/>
      <c r="K92" s="99"/>
      <c r="L92" s="99"/>
      <c r="M92" s="99"/>
      <c r="N92" s="43">
        <f t="shared" si="1"/>
        <v>8900.029296875</v>
      </c>
      <c r="O92" s="43"/>
      <c r="P92" s="23"/>
      <c r="Q92" s="23"/>
    </row>
    <row r="93" spans="1:17">
      <c r="A93" s="23"/>
      <c r="B93" s="53">
        <v>83</v>
      </c>
      <c r="C93" s="58">
        <v>9514.16796875</v>
      </c>
      <c r="D93" s="59">
        <v>3207778</v>
      </c>
      <c r="E93" s="59">
        <v>0</v>
      </c>
      <c r="F93" s="59">
        <v>-89.498977661132813</v>
      </c>
      <c r="G93" s="42">
        <v>0</v>
      </c>
      <c r="H93" s="23"/>
      <c r="I93" s="23"/>
      <c r="J93" s="99"/>
      <c r="K93" s="99"/>
      <c r="L93" s="99"/>
      <c r="M93" s="99"/>
      <c r="N93" s="43">
        <f t="shared" si="1"/>
        <v>9514.16796875</v>
      </c>
      <c r="O93" s="43"/>
      <c r="P93" s="23"/>
      <c r="Q93" s="23"/>
    </row>
    <row r="94" spans="1:17">
      <c r="A94" s="23"/>
      <c r="B94" s="53">
        <v>84</v>
      </c>
      <c r="C94" s="58">
        <v>10170.6845703125</v>
      </c>
      <c r="D94" s="59">
        <v>3001011</v>
      </c>
      <c r="E94" s="59">
        <v>0</v>
      </c>
      <c r="F94" s="59">
        <v>-89.478019714355469</v>
      </c>
      <c r="G94" s="42">
        <v>0</v>
      </c>
      <c r="H94" s="23"/>
      <c r="I94" s="23"/>
      <c r="J94" s="99"/>
      <c r="K94" s="99"/>
      <c r="L94" s="99"/>
      <c r="M94" s="99"/>
      <c r="N94" s="43">
        <f t="shared" si="1"/>
        <v>10170.6845703125</v>
      </c>
      <c r="O94" s="43"/>
      <c r="P94" s="23"/>
      <c r="Q94" s="23"/>
    </row>
    <row r="95" spans="1:17">
      <c r="A95" s="23"/>
      <c r="B95" s="53">
        <v>85</v>
      </c>
      <c r="C95" s="58">
        <v>10872.5048828125</v>
      </c>
      <c r="D95" s="59">
        <v>2808906</v>
      </c>
      <c r="E95" s="59">
        <v>0</v>
      </c>
      <c r="F95" s="59">
        <v>-89.476158142089844</v>
      </c>
      <c r="G95" s="42">
        <v>0</v>
      </c>
      <c r="H95" s="23"/>
      <c r="I95" s="23"/>
      <c r="J95" s="99"/>
      <c r="K95" s="99"/>
      <c r="L95" s="99"/>
      <c r="M95" s="99"/>
      <c r="N95" s="43">
        <f t="shared" si="1"/>
        <v>10872.5048828125</v>
      </c>
      <c r="O95" s="43"/>
      <c r="P95" s="23"/>
      <c r="Q95" s="23"/>
    </row>
    <row r="96" spans="1:17">
      <c r="A96" s="23"/>
      <c r="B96" s="53">
        <v>86</v>
      </c>
      <c r="C96" s="58">
        <v>11622.7529296875</v>
      </c>
      <c r="D96" s="59">
        <v>2629271</v>
      </c>
      <c r="E96" s="59">
        <v>0</v>
      </c>
      <c r="F96" s="59">
        <v>-89.480552673339844</v>
      </c>
      <c r="G96" s="42">
        <v>0</v>
      </c>
      <c r="H96" s="23"/>
      <c r="I96" s="23"/>
      <c r="J96" s="99"/>
      <c r="K96" s="99"/>
      <c r="L96" s="99"/>
      <c r="M96" s="99"/>
      <c r="N96" s="43">
        <f t="shared" si="1"/>
        <v>11622.7529296875</v>
      </c>
      <c r="O96" s="43"/>
      <c r="P96" s="23"/>
      <c r="Q96" s="23"/>
    </row>
    <row r="97" spans="1:17">
      <c r="A97" s="23"/>
      <c r="B97" s="53">
        <v>87</v>
      </c>
      <c r="C97" s="58">
        <v>12424.771484375</v>
      </c>
      <c r="D97" s="59">
        <v>2459528</v>
      </c>
      <c r="E97" s="59">
        <v>0</v>
      </c>
      <c r="F97" s="59">
        <v>-89.480758666992188</v>
      </c>
      <c r="G97" s="42">
        <v>0</v>
      </c>
      <c r="H97" s="23"/>
      <c r="I97" s="23"/>
      <c r="J97" s="99"/>
      <c r="K97" s="99"/>
      <c r="L97" s="99"/>
      <c r="M97" s="99"/>
      <c r="N97" s="43">
        <f t="shared" si="1"/>
        <v>12424.771484375</v>
      </c>
      <c r="O97" s="43"/>
      <c r="P97" s="23"/>
      <c r="Q97" s="23"/>
    </row>
    <row r="98" spans="1:17">
      <c r="A98" s="23"/>
      <c r="B98" s="53">
        <v>88</v>
      </c>
      <c r="C98" s="58">
        <v>13282.1318359375</v>
      </c>
      <c r="D98" s="59">
        <v>2301991</v>
      </c>
      <c r="E98" s="59">
        <v>0</v>
      </c>
      <c r="F98" s="59">
        <v>-89.488723754882813</v>
      </c>
      <c r="G98" s="42">
        <v>0</v>
      </c>
      <c r="H98" s="23"/>
      <c r="I98" s="23"/>
      <c r="J98" s="99"/>
      <c r="K98" s="99"/>
      <c r="L98" s="99"/>
      <c r="M98" s="99"/>
      <c r="N98" s="43">
        <f t="shared" si="1"/>
        <v>13282.1318359375</v>
      </c>
      <c r="O98" s="43"/>
      <c r="P98" s="23"/>
      <c r="Q98" s="23"/>
    </row>
    <row r="99" spans="1:17">
      <c r="A99" s="23"/>
      <c r="B99" s="53">
        <v>89</v>
      </c>
      <c r="C99" s="58">
        <v>14198.6552734375</v>
      </c>
      <c r="D99" s="59">
        <v>2153654</v>
      </c>
      <c r="E99" s="59">
        <v>0</v>
      </c>
      <c r="F99" s="59">
        <v>-89.475433349609375</v>
      </c>
      <c r="G99" s="42">
        <v>0</v>
      </c>
      <c r="H99" s="23"/>
      <c r="I99" s="23"/>
      <c r="J99" s="99"/>
      <c r="K99" s="99"/>
      <c r="L99" s="99"/>
      <c r="M99" s="99"/>
      <c r="N99" s="43">
        <f t="shared" si="1"/>
        <v>14198.6552734375</v>
      </c>
      <c r="O99" s="43"/>
      <c r="P99" s="23"/>
      <c r="Q99" s="23"/>
    </row>
    <row r="100" spans="1:17">
      <c r="A100" s="23"/>
      <c r="B100" s="53">
        <v>90</v>
      </c>
      <c r="C100" s="58">
        <v>15178.4208984375</v>
      </c>
      <c r="D100" s="59">
        <v>2015828</v>
      </c>
      <c r="E100" s="59">
        <v>0</v>
      </c>
      <c r="F100" s="59">
        <v>-89.484748840332031</v>
      </c>
      <c r="G100" s="42">
        <v>0</v>
      </c>
      <c r="H100" s="23"/>
      <c r="I100" s="23"/>
      <c r="J100" s="99"/>
      <c r="K100" s="99"/>
      <c r="L100" s="99"/>
      <c r="M100" s="99"/>
      <c r="N100" s="43">
        <f t="shared" si="1"/>
        <v>15178.4208984375</v>
      </c>
      <c r="O100" s="43"/>
      <c r="P100" s="23"/>
      <c r="Q100" s="23"/>
    </row>
    <row r="101" spans="1:17">
      <c r="A101" s="23"/>
      <c r="B101" s="53">
        <v>91</v>
      </c>
      <c r="C101" s="58">
        <v>16225.7958984375</v>
      </c>
      <c r="D101" s="59">
        <v>1886447</v>
      </c>
      <c r="E101" s="59">
        <v>0</v>
      </c>
      <c r="F101" s="59">
        <v>-89.472457885742188</v>
      </c>
      <c r="G101" s="42">
        <v>0</v>
      </c>
      <c r="H101" s="23"/>
      <c r="I101" s="23"/>
      <c r="J101" s="99"/>
      <c r="K101" s="99"/>
      <c r="L101" s="99"/>
      <c r="M101" s="99"/>
      <c r="N101" s="43">
        <f t="shared" si="1"/>
        <v>16225.7958984375</v>
      </c>
      <c r="O101" s="43"/>
      <c r="P101" s="23"/>
      <c r="Q101" s="23"/>
    </row>
    <row r="102" spans="1:17">
      <c r="A102" s="23"/>
      <c r="B102" s="53">
        <v>92</v>
      </c>
      <c r="C102" s="58">
        <v>17345.443359375</v>
      </c>
      <c r="D102" s="59">
        <v>1765224</v>
      </c>
      <c r="E102" s="59">
        <v>0</v>
      </c>
      <c r="F102" s="59">
        <v>-89.464912414550781</v>
      </c>
      <c r="G102" s="42">
        <v>0</v>
      </c>
      <c r="H102" s="23"/>
      <c r="I102" s="23"/>
      <c r="J102" s="99"/>
      <c r="K102" s="99"/>
      <c r="L102" s="99"/>
      <c r="M102" s="99"/>
      <c r="N102" s="43">
        <f t="shared" si="1"/>
        <v>17345.443359375</v>
      </c>
      <c r="O102" s="43"/>
      <c r="P102" s="23"/>
      <c r="Q102" s="23"/>
    </row>
    <row r="103" spans="1:17">
      <c r="A103" s="23"/>
      <c r="B103" s="53">
        <v>93</v>
      </c>
      <c r="C103" s="58">
        <v>18542.3515625</v>
      </c>
      <c r="D103" s="59">
        <v>1651894</v>
      </c>
      <c r="E103" s="59">
        <v>0</v>
      </c>
      <c r="F103" s="59">
        <v>-89.4700927734375</v>
      </c>
      <c r="G103" s="42">
        <v>0</v>
      </c>
      <c r="H103" s="23"/>
      <c r="I103" s="23"/>
      <c r="J103" s="99"/>
      <c r="K103" s="99"/>
      <c r="L103" s="99"/>
      <c r="M103" s="99"/>
      <c r="N103" s="43">
        <f t="shared" si="1"/>
        <v>18542.3515625</v>
      </c>
      <c r="O103" s="43"/>
      <c r="P103" s="23"/>
      <c r="Q103" s="23"/>
    </row>
    <row r="104" spans="1:17">
      <c r="A104" s="23"/>
      <c r="B104" s="53">
        <v>94</v>
      </c>
      <c r="C104" s="58">
        <v>19821.8515625</v>
      </c>
      <c r="D104" s="59">
        <v>1545711</v>
      </c>
      <c r="E104" s="59">
        <v>0</v>
      </c>
      <c r="F104" s="59">
        <v>-89.46539306640625</v>
      </c>
      <c r="G104" s="42">
        <v>0</v>
      </c>
      <c r="H104" s="23"/>
      <c r="I104" s="23"/>
      <c r="J104" s="99"/>
      <c r="K104" s="99"/>
      <c r="L104" s="99"/>
      <c r="M104" s="99"/>
      <c r="N104" s="43">
        <f t="shared" si="1"/>
        <v>19821.8515625</v>
      </c>
      <c r="O104" s="43"/>
      <c r="P104" s="23"/>
      <c r="Q104" s="23"/>
    </row>
    <row r="105" spans="1:17">
      <c r="A105" s="23"/>
      <c r="B105" s="53">
        <v>95</v>
      </c>
      <c r="C105" s="58">
        <v>21189.640625</v>
      </c>
      <c r="D105" s="59">
        <v>1446392</v>
      </c>
      <c r="E105" s="59">
        <v>0</v>
      </c>
      <c r="F105" s="59">
        <v>-89.463249206542969</v>
      </c>
      <c r="G105" s="42">
        <v>0</v>
      </c>
      <c r="H105" s="23"/>
      <c r="I105" s="23"/>
      <c r="J105" s="99"/>
      <c r="K105" s="99"/>
      <c r="L105" s="99"/>
      <c r="M105" s="99"/>
      <c r="N105" s="43">
        <f t="shared" si="1"/>
        <v>21189.640625</v>
      </c>
      <c r="O105" s="43"/>
      <c r="P105" s="23"/>
      <c r="Q105" s="23"/>
    </row>
    <row r="106" spans="1:17">
      <c r="A106" s="23"/>
      <c r="B106" s="53">
        <v>96</v>
      </c>
      <c r="C106" s="58">
        <v>22651.814453125</v>
      </c>
      <c r="D106" s="59">
        <v>1353668</v>
      </c>
      <c r="E106" s="59">
        <v>0</v>
      </c>
      <c r="F106" s="59">
        <v>-89.467597961425781</v>
      </c>
      <c r="G106" s="42">
        <v>0</v>
      </c>
      <c r="H106" s="23"/>
      <c r="I106" s="23"/>
      <c r="J106" s="99"/>
      <c r="K106" s="99"/>
      <c r="L106" s="99"/>
      <c r="M106" s="99"/>
      <c r="N106" s="43">
        <f t="shared" si="1"/>
        <v>22651.814453125</v>
      </c>
      <c r="O106" s="43"/>
      <c r="P106" s="23"/>
      <c r="Q106" s="23"/>
    </row>
    <row r="107" spans="1:17">
      <c r="A107" s="23"/>
      <c r="B107" s="53">
        <v>97</v>
      </c>
      <c r="C107" s="58">
        <v>24214.884765625</v>
      </c>
      <c r="D107" s="59">
        <v>1266917</v>
      </c>
      <c r="E107" s="59">
        <v>0</v>
      </c>
      <c r="F107" s="59">
        <v>-89.456008911132813</v>
      </c>
      <c r="G107" s="42">
        <v>0</v>
      </c>
      <c r="H107" s="23"/>
      <c r="I107" s="23"/>
      <c r="J107" s="99"/>
      <c r="K107" s="99"/>
      <c r="L107" s="99"/>
      <c r="M107" s="99"/>
      <c r="N107" s="43">
        <f t="shared" si="1"/>
        <v>24214.884765625</v>
      </c>
      <c r="O107" s="43"/>
      <c r="P107" s="23"/>
      <c r="Q107" s="23"/>
    </row>
    <row r="108" spans="1:17">
      <c r="A108" s="23"/>
      <c r="B108" s="53">
        <v>98</v>
      </c>
      <c r="C108" s="58">
        <v>25885.8125</v>
      </c>
      <c r="D108" s="59">
        <v>1185519</v>
      </c>
      <c r="E108" s="59">
        <v>0</v>
      </c>
      <c r="F108" s="59">
        <v>-89.455451965332031</v>
      </c>
      <c r="G108" s="42">
        <v>0</v>
      </c>
      <c r="H108" s="23"/>
      <c r="I108" s="23"/>
      <c r="J108" s="99"/>
      <c r="K108" s="99"/>
      <c r="L108" s="99"/>
      <c r="M108" s="99"/>
      <c r="N108" s="43">
        <f t="shared" si="1"/>
        <v>25885.8125</v>
      </c>
      <c r="O108" s="43"/>
      <c r="P108" s="23"/>
      <c r="Q108" s="23"/>
    </row>
    <row r="109" spans="1:17">
      <c r="A109" s="23"/>
      <c r="B109" s="53">
        <v>99</v>
      </c>
      <c r="C109" s="58">
        <v>27672.041015625</v>
      </c>
      <c r="D109" s="59">
        <v>1109444</v>
      </c>
      <c r="E109" s="59">
        <v>0</v>
      </c>
      <c r="F109" s="59">
        <v>-89.452926635742188</v>
      </c>
      <c r="G109" s="42">
        <v>0</v>
      </c>
      <c r="H109" s="23"/>
      <c r="I109" s="23"/>
      <c r="J109" s="99"/>
      <c r="K109" s="99"/>
      <c r="L109" s="99"/>
      <c r="M109" s="99"/>
      <c r="N109" s="43">
        <f t="shared" si="1"/>
        <v>27672.041015625</v>
      </c>
      <c r="O109" s="43"/>
      <c r="P109" s="23"/>
      <c r="Q109" s="23"/>
    </row>
    <row r="110" spans="1:17">
      <c r="A110" s="23"/>
      <c r="B110" s="53">
        <v>100</v>
      </c>
      <c r="C110" s="58">
        <v>29581.52734375</v>
      </c>
      <c r="D110" s="59">
        <v>1038180</v>
      </c>
      <c r="E110" s="59">
        <v>0</v>
      </c>
      <c r="F110" s="59">
        <v>-89.448432922363281</v>
      </c>
      <c r="G110" s="42">
        <v>0</v>
      </c>
      <c r="H110" s="23"/>
      <c r="I110" s="23"/>
      <c r="J110" s="99"/>
      <c r="K110" s="99"/>
      <c r="L110" s="99"/>
      <c r="M110" s="99"/>
      <c r="N110" s="43">
        <f t="shared" si="1"/>
        <v>29581.52734375</v>
      </c>
      <c r="O110" s="43"/>
      <c r="P110" s="23"/>
      <c r="Q110" s="23"/>
    </row>
    <row r="111" spans="1:17">
      <c r="A111" s="23"/>
      <c r="B111" s="53">
        <v>101</v>
      </c>
      <c r="C111" s="58">
        <v>31622.77734375</v>
      </c>
      <c r="D111" s="59">
        <v>971652.5</v>
      </c>
      <c r="E111" s="59">
        <v>0</v>
      </c>
      <c r="F111" s="59">
        <v>-89.455596923828125</v>
      </c>
      <c r="G111" s="42">
        <v>0</v>
      </c>
      <c r="H111" s="23"/>
      <c r="I111" s="23"/>
      <c r="J111" s="99"/>
      <c r="K111" s="99"/>
      <c r="L111" s="99"/>
      <c r="M111" s="99"/>
      <c r="N111" s="43">
        <f t="shared" si="1"/>
        <v>31622.77734375</v>
      </c>
      <c r="O111" s="43"/>
      <c r="P111" s="23"/>
      <c r="Q111" s="23"/>
    </row>
    <row r="112" spans="1:17">
      <c r="A112" s="23"/>
      <c r="B112" s="53">
        <v>102</v>
      </c>
      <c r="C112" s="58">
        <v>33804.87890625</v>
      </c>
      <c r="D112" s="59">
        <v>909272.875</v>
      </c>
      <c r="E112" s="59">
        <v>0</v>
      </c>
      <c r="F112" s="59">
        <v>-89.446426391601563</v>
      </c>
      <c r="G112" s="42">
        <v>0</v>
      </c>
      <c r="H112" s="23"/>
      <c r="I112" s="23"/>
      <c r="J112" s="99"/>
      <c r="K112" s="99"/>
      <c r="L112" s="99"/>
      <c r="M112" s="99"/>
      <c r="N112" s="43">
        <f t="shared" si="1"/>
        <v>33804.87890625</v>
      </c>
      <c r="O112" s="43"/>
      <c r="P112" s="23"/>
      <c r="Q112" s="23"/>
    </row>
    <row r="113" spans="1:17">
      <c r="A113" s="23"/>
      <c r="B113" s="53">
        <v>103</v>
      </c>
      <c r="C113" s="58">
        <v>36137.55859375</v>
      </c>
      <c r="D113" s="59">
        <v>850939.5</v>
      </c>
      <c r="E113" s="59">
        <v>0</v>
      </c>
      <c r="F113" s="59">
        <v>-89.446296691894531</v>
      </c>
      <c r="G113" s="42">
        <v>0</v>
      </c>
      <c r="H113" s="23"/>
      <c r="I113" s="23"/>
      <c r="J113" s="99"/>
      <c r="K113" s="99"/>
      <c r="L113" s="99"/>
      <c r="M113" s="99"/>
      <c r="N113" s="43">
        <f t="shared" si="1"/>
        <v>36137.55859375</v>
      </c>
      <c r="O113" s="43"/>
      <c r="P113" s="23"/>
      <c r="Q113" s="23"/>
    </row>
    <row r="114" spans="1:17">
      <c r="A114" s="23"/>
      <c r="B114" s="53">
        <v>104</v>
      </c>
      <c r="C114" s="58">
        <v>38631.19921875</v>
      </c>
      <c r="D114" s="59">
        <v>796318.6875</v>
      </c>
      <c r="E114" s="59">
        <v>0</v>
      </c>
      <c r="F114" s="59">
        <v>-89.439582824707031</v>
      </c>
      <c r="G114" s="42">
        <v>0</v>
      </c>
      <c r="H114" s="23"/>
      <c r="I114" s="23"/>
      <c r="J114" s="99"/>
      <c r="K114" s="99"/>
      <c r="L114" s="99"/>
      <c r="M114" s="99"/>
      <c r="N114" s="43">
        <f t="shared" si="1"/>
        <v>38631.19921875</v>
      </c>
      <c r="O114" s="43"/>
      <c r="P114" s="23"/>
      <c r="Q114" s="23"/>
    </row>
    <row r="115" spans="1:17">
      <c r="A115" s="23"/>
      <c r="B115" s="53">
        <v>105</v>
      </c>
      <c r="C115" s="58">
        <v>41296.9140625</v>
      </c>
      <c r="D115" s="59">
        <v>745207</v>
      </c>
      <c r="E115" s="59">
        <v>0</v>
      </c>
      <c r="F115" s="59">
        <v>-89.440582275390625</v>
      </c>
      <c r="G115" s="42">
        <v>0</v>
      </c>
      <c r="H115" s="23"/>
      <c r="I115" s="23"/>
      <c r="J115" s="99"/>
      <c r="K115" s="99"/>
      <c r="L115" s="99"/>
      <c r="M115" s="99"/>
      <c r="N115" s="43">
        <f t="shared" si="1"/>
        <v>41296.9140625</v>
      </c>
      <c r="O115" s="43"/>
      <c r="P115" s="23"/>
      <c r="Q115" s="23"/>
    </row>
    <row r="116" spans="1:17">
      <c r="A116" s="23"/>
      <c r="B116" s="53">
        <v>106</v>
      </c>
      <c r="C116" s="58">
        <v>44146.57421875</v>
      </c>
      <c r="D116" s="59">
        <v>697372.6875</v>
      </c>
      <c r="E116" s="59">
        <v>0</v>
      </c>
      <c r="F116" s="59">
        <v>-89.434188842773438</v>
      </c>
      <c r="G116" s="42">
        <v>0</v>
      </c>
      <c r="H116" s="23"/>
      <c r="I116" s="23"/>
      <c r="J116" s="99"/>
      <c r="K116" s="99"/>
      <c r="L116" s="99"/>
      <c r="M116" s="99"/>
      <c r="N116" s="43">
        <f t="shared" si="1"/>
        <v>44146.57421875</v>
      </c>
      <c r="O116" s="43"/>
      <c r="P116" s="23"/>
      <c r="Q116" s="23"/>
    </row>
    <row r="117" spans="1:17">
      <c r="A117" s="23"/>
      <c r="B117" s="53">
        <v>107</v>
      </c>
      <c r="C117" s="58">
        <v>47192.87109375</v>
      </c>
      <c r="D117" s="59">
        <v>652604.6875</v>
      </c>
      <c r="E117" s="59">
        <v>0</v>
      </c>
      <c r="F117" s="59">
        <v>-89.428916931152344</v>
      </c>
      <c r="G117" s="42">
        <v>0</v>
      </c>
      <c r="H117" s="23"/>
      <c r="I117" s="23"/>
      <c r="J117" s="99"/>
      <c r="K117" s="99"/>
      <c r="L117" s="99"/>
      <c r="M117" s="99"/>
      <c r="N117" s="43">
        <f t="shared" si="1"/>
        <v>47192.87109375</v>
      </c>
      <c r="O117" s="43"/>
      <c r="P117" s="23"/>
      <c r="Q117" s="23"/>
    </row>
    <row r="118" spans="1:17">
      <c r="A118" s="23"/>
      <c r="B118" s="53">
        <v>108</v>
      </c>
      <c r="C118" s="58">
        <v>50449.375</v>
      </c>
      <c r="D118" s="59">
        <v>610789.375</v>
      </c>
      <c r="E118" s="59">
        <v>0</v>
      </c>
      <c r="F118" s="59">
        <v>-89.422286987304688</v>
      </c>
      <c r="G118" s="42">
        <v>0</v>
      </c>
      <c r="H118" s="23"/>
      <c r="I118" s="23"/>
      <c r="J118" s="99"/>
      <c r="K118" s="99"/>
      <c r="L118" s="99"/>
      <c r="M118" s="99"/>
      <c r="N118" s="43">
        <f t="shared" si="1"/>
        <v>50449.375</v>
      </c>
      <c r="O118" s="43"/>
      <c r="P118" s="23"/>
      <c r="Q118" s="23"/>
    </row>
    <row r="119" spans="1:17">
      <c r="A119" s="23"/>
      <c r="B119" s="53">
        <v>109</v>
      </c>
      <c r="C119" s="58">
        <v>53930.59375</v>
      </c>
      <c r="D119" s="59">
        <v>571610.1875</v>
      </c>
      <c r="E119" s="59">
        <v>0</v>
      </c>
      <c r="F119" s="59">
        <v>-89.419479370117188</v>
      </c>
      <c r="G119" s="42">
        <v>0</v>
      </c>
      <c r="H119" s="23"/>
      <c r="I119" s="23"/>
      <c r="J119" s="99"/>
      <c r="K119" s="99"/>
      <c r="L119" s="99"/>
      <c r="M119" s="99"/>
      <c r="N119" s="43">
        <f t="shared" si="1"/>
        <v>53930.59375</v>
      </c>
      <c r="O119" s="43"/>
      <c r="P119" s="23"/>
      <c r="Q119" s="23"/>
    </row>
    <row r="120" spans="1:17">
      <c r="A120" s="23"/>
      <c r="B120" s="53">
        <v>110</v>
      </c>
      <c r="C120" s="58">
        <v>57652.03125</v>
      </c>
      <c r="D120" s="59">
        <v>534969.875</v>
      </c>
      <c r="E120" s="59">
        <v>0</v>
      </c>
      <c r="F120" s="59">
        <v>-89.41339111328125</v>
      </c>
      <c r="G120" s="42">
        <v>0</v>
      </c>
      <c r="H120" s="23"/>
      <c r="I120" s="23"/>
      <c r="J120" s="99"/>
      <c r="K120" s="99"/>
      <c r="L120" s="99"/>
      <c r="M120" s="99"/>
      <c r="N120" s="43">
        <f t="shared" si="1"/>
        <v>57652.03125</v>
      </c>
      <c r="O120" s="43"/>
      <c r="P120" s="23"/>
      <c r="Q120" s="23"/>
    </row>
    <row r="121" spans="1:17">
      <c r="A121" s="23"/>
      <c r="B121" s="53">
        <v>111</v>
      </c>
      <c r="C121" s="58">
        <v>61630.26171875</v>
      </c>
      <c r="D121" s="59">
        <v>500625.3125</v>
      </c>
      <c r="E121" s="59">
        <v>0</v>
      </c>
      <c r="F121" s="59">
        <v>-89.412429809570313</v>
      </c>
      <c r="G121" s="42">
        <v>0</v>
      </c>
      <c r="H121" s="23"/>
      <c r="I121" s="23"/>
      <c r="J121" s="99"/>
      <c r="K121" s="99"/>
      <c r="L121" s="99"/>
      <c r="M121" s="99"/>
      <c r="N121" s="43">
        <f t="shared" si="1"/>
        <v>61630.26171875</v>
      </c>
      <c r="O121" s="43"/>
      <c r="P121" s="23"/>
      <c r="Q121" s="23"/>
    </row>
    <row r="122" spans="1:17">
      <c r="A122" s="23"/>
      <c r="B122" s="53">
        <v>112</v>
      </c>
      <c r="C122" s="58">
        <v>65883.0078125</v>
      </c>
      <c r="D122" s="59">
        <v>468539.59375</v>
      </c>
      <c r="E122" s="59">
        <v>0</v>
      </c>
      <c r="F122" s="59">
        <v>-89.409042358398438</v>
      </c>
      <c r="G122" s="42">
        <v>0</v>
      </c>
      <c r="H122" s="23"/>
      <c r="I122" s="23"/>
      <c r="J122" s="99"/>
      <c r="K122" s="99"/>
      <c r="L122" s="99"/>
      <c r="M122" s="99"/>
      <c r="N122" s="43">
        <f t="shared" si="1"/>
        <v>65883.0078125</v>
      </c>
      <c r="O122" s="43"/>
      <c r="P122" s="23"/>
      <c r="Q122" s="23"/>
    </row>
    <row r="123" spans="1:17">
      <c r="A123" s="23"/>
      <c r="B123" s="53">
        <v>113</v>
      </c>
      <c r="C123" s="58">
        <v>70429.203125</v>
      </c>
      <c r="D123" s="59">
        <v>438494.8125</v>
      </c>
      <c r="E123" s="59">
        <v>0</v>
      </c>
      <c r="F123" s="59">
        <v>-89.401313781738281</v>
      </c>
      <c r="G123" s="42">
        <v>0</v>
      </c>
      <c r="H123" s="23"/>
      <c r="I123" s="23"/>
      <c r="J123" s="99"/>
      <c r="K123" s="99"/>
      <c r="L123" s="99"/>
      <c r="M123" s="99"/>
      <c r="N123" s="43">
        <f t="shared" si="1"/>
        <v>70429.203125</v>
      </c>
      <c r="O123" s="43"/>
      <c r="P123" s="23"/>
      <c r="Q123" s="23"/>
    </row>
    <row r="124" spans="1:17">
      <c r="A124" s="23"/>
      <c r="B124" s="53">
        <v>114</v>
      </c>
      <c r="C124" s="58">
        <v>75289.1171875</v>
      </c>
      <c r="D124" s="59">
        <v>410368.8125</v>
      </c>
      <c r="E124" s="59">
        <v>0</v>
      </c>
      <c r="F124" s="59">
        <v>-89.406936645507813</v>
      </c>
      <c r="G124" s="42">
        <v>0</v>
      </c>
      <c r="H124" s="23"/>
      <c r="I124" s="23"/>
      <c r="J124" s="99"/>
      <c r="K124" s="99"/>
      <c r="L124" s="99"/>
      <c r="M124" s="99"/>
      <c r="N124" s="43">
        <f t="shared" si="1"/>
        <v>75289.1171875</v>
      </c>
      <c r="O124" s="43"/>
      <c r="P124" s="23"/>
      <c r="Q124" s="23"/>
    </row>
    <row r="125" spans="1:17">
      <c r="A125" s="23"/>
      <c r="B125" s="53">
        <v>115</v>
      </c>
      <c r="C125" s="58">
        <v>80484.3828125</v>
      </c>
      <c r="D125" s="59">
        <v>384069.1875</v>
      </c>
      <c r="E125" s="59">
        <v>0</v>
      </c>
      <c r="F125" s="59">
        <v>-89.40557861328125</v>
      </c>
      <c r="G125" s="42">
        <v>0</v>
      </c>
      <c r="H125" s="23"/>
      <c r="I125" s="23"/>
      <c r="J125" s="99"/>
      <c r="K125" s="99"/>
      <c r="L125" s="99"/>
      <c r="M125" s="99"/>
      <c r="N125" s="43">
        <f t="shared" si="1"/>
        <v>80484.3828125</v>
      </c>
      <c r="O125" s="43"/>
      <c r="P125" s="23"/>
      <c r="Q125" s="23"/>
    </row>
    <row r="126" spans="1:17">
      <c r="A126" s="23"/>
      <c r="B126" s="53">
        <v>116</v>
      </c>
      <c r="C126" s="58">
        <v>86038.140625</v>
      </c>
      <c r="D126" s="59">
        <v>359444.1875</v>
      </c>
      <c r="E126" s="59">
        <v>0</v>
      </c>
      <c r="F126" s="59">
        <v>-89.399986267089844</v>
      </c>
      <c r="G126" s="42">
        <v>0</v>
      </c>
      <c r="H126" s="23"/>
      <c r="I126" s="23"/>
      <c r="J126" s="99"/>
      <c r="K126" s="99"/>
      <c r="L126" s="99"/>
      <c r="M126" s="99"/>
      <c r="N126" s="43">
        <f t="shared" si="1"/>
        <v>86038.140625</v>
      </c>
      <c r="O126" s="43"/>
      <c r="P126" s="23"/>
      <c r="Q126" s="23"/>
    </row>
    <row r="127" spans="1:17">
      <c r="A127" s="23"/>
      <c r="B127" s="53">
        <v>117</v>
      </c>
      <c r="C127" s="58">
        <v>91975.125</v>
      </c>
      <c r="D127" s="59">
        <v>336384.09375</v>
      </c>
      <c r="E127" s="59">
        <v>0</v>
      </c>
      <c r="F127" s="59">
        <v>-89.390098571777344</v>
      </c>
      <c r="G127" s="42">
        <v>0</v>
      </c>
      <c r="H127" s="23"/>
      <c r="I127" s="23"/>
      <c r="J127" s="99"/>
      <c r="K127" s="99"/>
      <c r="L127" s="99"/>
      <c r="M127" s="99"/>
      <c r="N127" s="43">
        <f t="shared" si="1"/>
        <v>91975.125</v>
      </c>
      <c r="O127" s="43"/>
      <c r="P127" s="23"/>
      <c r="Q127" s="23"/>
    </row>
    <row r="128" spans="1:17">
      <c r="A128" s="23"/>
      <c r="B128" s="53">
        <v>118</v>
      </c>
      <c r="C128" s="58">
        <v>98321.796875</v>
      </c>
      <c r="D128" s="59">
        <v>314848.5</v>
      </c>
      <c r="E128" s="59">
        <v>0</v>
      </c>
      <c r="F128" s="59">
        <v>-89.384872436523438</v>
      </c>
      <c r="G128" s="42">
        <v>0</v>
      </c>
      <c r="H128" s="23"/>
      <c r="I128" s="23"/>
      <c r="J128" s="99"/>
      <c r="K128" s="99"/>
      <c r="L128" s="99"/>
      <c r="M128" s="99"/>
      <c r="N128" s="43">
        <f t="shared" si="1"/>
        <v>98321.796875</v>
      </c>
      <c r="O128" s="43"/>
      <c r="P128" s="23"/>
      <c r="Q128" s="23"/>
    </row>
    <row r="129" spans="1:17">
      <c r="A129" s="23"/>
      <c r="B129" s="53">
        <v>119</v>
      </c>
      <c r="C129" s="58">
        <v>105106.40625</v>
      </c>
      <c r="D129" s="59">
        <v>294648.40625</v>
      </c>
      <c r="E129" s="59">
        <v>0</v>
      </c>
      <c r="F129" s="59">
        <v>-89.379951477050781</v>
      </c>
      <c r="G129" s="42">
        <v>0</v>
      </c>
      <c r="H129" s="23"/>
      <c r="I129" s="23"/>
      <c r="J129" s="99"/>
      <c r="K129" s="99"/>
      <c r="L129" s="99"/>
      <c r="M129" s="99"/>
      <c r="N129" s="43">
        <f t="shared" si="1"/>
        <v>105106.40625</v>
      </c>
      <c r="O129" s="43"/>
      <c r="P129" s="23"/>
      <c r="Q129" s="23"/>
    </row>
    <row r="130" spans="1:17">
      <c r="A130" s="23"/>
      <c r="B130" s="53">
        <v>120</v>
      </c>
      <c r="C130" s="58">
        <v>112359.1875</v>
      </c>
      <c r="D130" s="59">
        <v>275791</v>
      </c>
      <c r="E130" s="59">
        <v>0</v>
      </c>
      <c r="F130" s="59">
        <v>-89.37420654296875</v>
      </c>
      <c r="G130" s="42">
        <v>0</v>
      </c>
      <c r="H130" s="23"/>
      <c r="I130" s="23"/>
      <c r="J130" s="99"/>
      <c r="K130" s="99"/>
      <c r="L130" s="99"/>
      <c r="M130" s="99"/>
      <c r="N130" s="43">
        <f t="shared" si="1"/>
        <v>112359.1875</v>
      </c>
      <c r="O130" s="43"/>
      <c r="P130" s="23"/>
      <c r="Q130" s="23"/>
    </row>
    <row r="131" spans="1:17">
      <c r="A131" s="23"/>
      <c r="B131" s="53">
        <v>121</v>
      </c>
      <c r="C131" s="58">
        <v>120112.4453125</v>
      </c>
      <c r="D131" s="59">
        <v>258081.203125</v>
      </c>
      <c r="E131" s="59">
        <v>0</v>
      </c>
      <c r="F131" s="59">
        <v>-89.38372802734375</v>
      </c>
      <c r="G131" s="42">
        <v>0</v>
      </c>
      <c r="H131" s="23"/>
      <c r="I131" s="23"/>
      <c r="J131" s="99"/>
      <c r="K131" s="99"/>
      <c r="L131" s="99"/>
      <c r="M131" s="99"/>
      <c r="N131" s="43">
        <f t="shared" si="1"/>
        <v>120112.4453125</v>
      </c>
      <c r="O131" s="43"/>
      <c r="P131" s="23"/>
      <c r="Q131" s="23"/>
    </row>
    <row r="132" spans="1:17">
      <c r="A132" s="23"/>
      <c r="B132" s="53">
        <v>122</v>
      </c>
      <c r="C132" s="58">
        <v>128400.703125</v>
      </c>
      <c r="D132" s="59">
        <v>241505.5</v>
      </c>
      <c r="E132" s="59">
        <v>0</v>
      </c>
      <c r="F132" s="59">
        <v>-89.359733581542969</v>
      </c>
      <c r="G132" s="42">
        <v>0</v>
      </c>
      <c r="H132" s="23"/>
      <c r="I132" s="23"/>
      <c r="J132" s="99"/>
      <c r="K132" s="99"/>
      <c r="L132" s="99"/>
      <c r="M132" s="99"/>
      <c r="N132" s="43">
        <f t="shared" si="1"/>
        <v>128400.703125</v>
      </c>
      <c r="O132" s="43"/>
      <c r="P132" s="23"/>
      <c r="Q132" s="23"/>
    </row>
    <row r="133" spans="1:17">
      <c r="A133" s="23"/>
      <c r="B133" s="53">
        <v>123</v>
      </c>
      <c r="C133" s="58">
        <v>137260.890625</v>
      </c>
      <c r="D133" s="59">
        <v>226020.203125</v>
      </c>
      <c r="E133" s="59">
        <v>0</v>
      </c>
      <c r="F133" s="59">
        <v>-89.350753784179688</v>
      </c>
      <c r="G133" s="42">
        <v>0</v>
      </c>
      <c r="H133" s="23"/>
      <c r="I133" s="23"/>
      <c r="J133" s="99"/>
      <c r="K133" s="99"/>
      <c r="L133" s="99"/>
      <c r="M133" s="99"/>
      <c r="N133" s="43">
        <f t="shared" si="1"/>
        <v>137260.890625</v>
      </c>
      <c r="O133" s="43"/>
      <c r="P133" s="23"/>
      <c r="Q133" s="23"/>
    </row>
    <row r="134" spans="1:17">
      <c r="A134" s="23"/>
      <c r="B134" s="53">
        <v>124</v>
      </c>
      <c r="C134" s="58">
        <v>146732.46875</v>
      </c>
      <c r="D134" s="59">
        <v>211518.203125</v>
      </c>
      <c r="E134" s="59">
        <v>0</v>
      </c>
      <c r="F134" s="59">
        <v>-89.351142883300781</v>
      </c>
      <c r="G134" s="42">
        <v>0</v>
      </c>
      <c r="H134" s="23"/>
      <c r="I134" s="23"/>
      <c r="J134" s="99"/>
      <c r="K134" s="99"/>
      <c r="L134" s="99"/>
      <c r="M134" s="99"/>
      <c r="N134" s="43">
        <f t="shared" si="1"/>
        <v>146732.46875</v>
      </c>
      <c r="O134" s="43"/>
      <c r="P134" s="23"/>
      <c r="Q134" s="23"/>
    </row>
    <row r="135" spans="1:17">
      <c r="A135" s="23"/>
      <c r="B135" s="53">
        <v>125</v>
      </c>
      <c r="C135" s="58">
        <v>156857.609375</v>
      </c>
      <c r="D135" s="59">
        <v>197968.703125</v>
      </c>
      <c r="E135" s="59">
        <v>0</v>
      </c>
      <c r="F135" s="59">
        <v>-89.344451904296875</v>
      </c>
      <c r="G135" s="42">
        <v>0</v>
      </c>
      <c r="H135" s="23"/>
      <c r="I135" s="23"/>
      <c r="J135" s="99"/>
      <c r="K135" s="99"/>
      <c r="L135" s="99"/>
      <c r="M135" s="99"/>
      <c r="N135" s="43">
        <f t="shared" si="1"/>
        <v>156857.609375</v>
      </c>
      <c r="O135" s="43"/>
      <c r="P135" s="23"/>
      <c r="Q135" s="23"/>
    </row>
    <row r="136" spans="1:17">
      <c r="A136" s="23"/>
      <c r="B136" s="53">
        <v>126</v>
      </c>
      <c r="C136" s="58">
        <v>167681.4375</v>
      </c>
      <c r="D136" s="59">
        <v>185302.796875</v>
      </c>
      <c r="E136" s="59">
        <v>0</v>
      </c>
      <c r="F136" s="59">
        <v>-89.344017028808594</v>
      </c>
      <c r="G136" s="42">
        <v>0</v>
      </c>
      <c r="H136" s="23"/>
      <c r="I136" s="23"/>
      <c r="J136" s="99"/>
      <c r="K136" s="99"/>
      <c r="L136" s="99"/>
      <c r="M136" s="99"/>
      <c r="N136" s="43">
        <f t="shared" si="1"/>
        <v>167681.4375</v>
      </c>
      <c r="O136" s="43"/>
      <c r="P136" s="23"/>
      <c r="Q136" s="23"/>
    </row>
    <row r="137" spans="1:17">
      <c r="A137" s="23"/>
      <c r="B137" s="53">
        <v>127</v>
      </c>
      <c r="C137" s="58">
        <v>179252.15625</v>
      </c>
      <c r="D137" s="59">
        <v>173439.296875</v>
      </c>
      <c r="E137" s="59">
        <v>0</v>
      </c>
      <c r="F137" s="59">
        <v>-89.350852966308594</v>
      </c>
      <c r="G137" s="42">
        <v>0</v>
      </c>
      <c r="H137" s="23"/>
      <c r="I137" s="23"/>
      <c r="J137" s="99"/>
      <c r="K137" s="99"/>
      <c r="L137" s="99"/>
      <c r="M137" s="99"/>
      <c r="N137" s="43">
        <f t="shared" si="1"/>
        <v>179252.15625</v>
      </c>
      <c r="O137" s="43"/>
      <c r="P137" s="23"/>
      <c r="Q137" s="23"/>
    </row>
    <row r="138" spans="1:17">
      <c r="A138" s="23"/>
      <c r="B138" s="53">
        <v>128</v>
      </c>
      <c r="C138" s="58">
        <v>191621.3125</v>
      </c>
      <c r="D138" s="59">
        <v>162334.203125</v>
      </c>
      <c r="E138" s="59">
        <v>0</v>
      </c>
      <c r="F138" s="59">
        <v>-89.351509094238281</v>
      </c>
      <c r="G138" s="42">
        <v>0</v>
      </c>
      <c r="H138" s="23"/>
      <c r="I138" s="23"/>
      <c r="J138" s="99"/>
      <c r="K138" s="99"/>
      <c r="L138" s="99"/>
      <c r="M138" s="99"/>
      <c r="N138" s="43">
        <f t="shared" si="1"/>
        <v>191621.3125</v>
      </c>
      <c r="O138" s="43"/>
      <c r="P138" s="23"/>
      <c r="Q138" s="23"/>
    </row>
    <row r="139" spans="1:17">
      <c r="A139" s="23"/>
      <c r="B139" s="53">
        <v>129</v>
      </c>
      <c r="C139" s="58">
        <v>204843.984375</v>
      </c>
      <c r="D139" s="59">
        <v>151934</v>
      </c>
      <c r="E139" s="59">
        <v>0</v>
      </c>
      <c r="F139" s="59">
        <v>-89.346488952636719</v>
      </c>
      <c r="G139" s="42">
        <v>0</v>
      </c>
      <c r="H139" s="23"/>
      <c r="I139" s="23"/>
      <c r="J139" s="99"/>
      <c r="K139" s="99"/>
      <c r="L139" s="99"/>
      <c r="M139" s="99"/>
      <c r="N139" s="43">
        <f t="shared" ref="N139:N202" si="2">IF($L$4=$C$10,C139,IF(D139="","",B139))</f>
        <v>204843.984375</v>
      </c>
      <c r="O139" s="43"/>
      <c r="P139" s="23"/>
      <c r="Q139" s="23"/>
    </row>
    <row r="140" spans="1:17">
      <c r="A140" s="23"/>
      <c r="B140" s="53">
        <v>130</v>
      </c>
      <c r="C140" s="58">
        <v>218979.0625</v>
      </c>
      <c r="D140" s="59">
        <v>142197.703125</v>
      </c>
      <c r="E140" s="59">
        <v>0</v>
      </c>
      <c r="F140" s="59">
        <v>-89.342681884765625</v>
      </c>
      <c r="G140" s="42">
        <v>0</v>
      </c>
      <c r="H140" s="23"/>
      <c r="I140" s="23"/>
      <c r="J140" s="99"/>
      <c r="K140" s="99"/>
      <c r="L140" s="99"/>
      <c r="M140" s="99"/>
      <c r="N140" s="43">
        <f t="shared" si="2"/>
        <v>218979.0625</v>
      </c>
      <c r="O140" s="43"/>
      <c r="P140" s="23"/>
      <c r="Q140" s="23"/>
    </row>
    <row r="141" spans="1:17">
      <c r="A141" s="23"/>
      <c r="B141" s="53">
        <v>131</v>
      </c>
      <c r="C141" s="58">
        <v>234089.53125</v>
      </c>
      <c r="D141" s="59">
        <v>133092.5</v>
      </c>
      <c r="E141" s="59">
        <v>0</v>
      </c>
      <c r="F141" s="59">
        <v>-89.339202880859375</v>
      </c>
      <c r="G141" s="42">
        <v>0</v>
      </c>
      <c r="H141" s="23"/>
      <c r="I141" s="23"/>
      <c r="J141" s="99"/>
      <c r="K141" s="99"/>
      <c r="L141" s="99"/>
      <c r="M141" s="99"/>
      <c r="N141" s="43">
        <f t="shared" si="2"/>
        <v>234089.53125</v>
      </c>
      <c r="O141" s="43"/>
      <c r="P141" s="23"/>
      <c r="Q141" s="23"/>
    </row>
    <row r="142" spans="1:17">
      <c r="A142" s="23"/>
      <c r="B142" s="53">
        <v>132</v>
      </c>
      <c r="C142" s="58">
        <v>250242.6875</v>
      </c>
      <c r="D142" s="59">
        <v>124579.703125</v>
      </c>
      <c r="E142" s="59">
        <v>0</v>
      </c>
      <c r="F142" s="59">
        <v>-89.337272644042969</v>
      </c>
      <c r="G142" s="42">
        <v>0</v>
      </c>
      <c r="H142" s="23"/>
      <c r="I142" s="23"/>
      <c r="J142" s="99"/>
      <c r="K142" s="99"/>
      <c r="L142" s="99"/>
      <c r="M142" s="99"/>
      <c r="N142" s="43">
        <f t="shared" si="2"/>
        <v>250242.6875</v>
      </c>
      <c r="O142" s="43"/>
      <c r="P142" s="23"/>
      <c r="Q142" s="23"/>
    </row>
    <row r="143" spans="1:17">
      <c r="A143" s="23"/>
      <c r="B143" s="53">
        <v>133</v>
      </c>
      <c r="C143" s="58">
        <v>267510.46875</v>
      </c>
      <c r="D143" s="59">
        <v>116604.5</v>
      </c>
      <c r="E143" s="59">
        <v>0</v>
      </c>
      <c r="F143" s="59">
        <v>-89.33544921875</v>
      </c>
      <c r="G143" s="42">
        <v>0</v>
      </c>
      <c r="H143" s="23"/>
      <c r="I143" s="23"/>
      <c r="J143" s="99"/>
      <c r="K143" s="99"/>
      <c r="L143" s="99"/>
      <c r="M143" s="99"/>
      <c r="N143" s="43">
        <f t="shared" si="2"/>
        <v>267510.46875</v>
      </c>
      <c r="O143" s="43"/>
      <c r="P143" s="23"/>
      <c r="Q143" s="23"/>
    </row>
    <row r="144" spans="1:17">
      <c r="A144" s="23"/>
      <c r="B144" s="53">
        <v>134</v>
      </c>
      <c r="C144" s="58">
        <v>285969.8125</v>
      </c>
      <c r="D144" s="59">
        <v>109134.6015625</v>
      </c>
      <c r="E144" s="59">
        <v>0</v>
      </c>
      <c r="F144" s="59">
        <v>-89.32611083984375</v>
      </c>
      <c r="G144" s="42">
        <v>0</v>
      </c>
      <c r="H144" s="23"/>
      <c r="I144" s="23"/>
      <c r="J144" s="99"/>
      <c r="K144" s="99"/>
      <c r="L144" s="99"/>
      <c r="M144" s="99"/>
      <c r="N144" s="43">
        <f t="shared" si="2"/>
        <v>285969.8125</v>
      </c>
      <c r="O144" s="43"/>
      <c r="P144" s="23"/>
      <c r="Q144" s="23"/>
    </row>
    <row r="145" spans="1:17">
      <c r="A145" s="23"/>
      <c r="B145" s="53">
        <v>135</v>
      </c>
      <c r="C145" s="58">
        <v>305702.9375</v>
      </c>
      <c r="D145" s="59">
        <v>102146.296875</v>
      </c>
      <c r="E145" s="59">
        <v>0</v>
      </c>
      <c r="F145" s="59">
        <v>-89.32916259765625</v>
      </c>
      <c r="G145" s="42">
        <v>0</v>
      </c>
      <c r="H145" s="23"/>
      <c r="I145" s="23"/>
      <c r="J145" s="99"/>
      <c r="K145" s="99"/>
      <c r="L145" s="99"/>
      <c r="M145" s="99"/>
      <c r="N145" s="43">
        <f t="shared" si="2"/>
        <v>305702.9375</v>
      </c>
      <c r="O145" s="43"/>
      <c r="P145" s="23"/>
      <c r="Q145" s="23"/>
    </row>
    <row r="146" spans="1:17">
      <c r="A146" s="23"/>
      <c r="B146" s="53">
        <v>136</v>
      </c>
      <c r="C146" s="58">
        <v>326797.71875</v>
      </c>
      <c r="D146" s="59">
        <v>95623.15625</v>
      </c>
      <c r="E146" s="59">
        <v>0</v>
      </c>
      <c r="F146" s="59">
        <v>-89.322952270507813</v>
      </c>
      <c r="G146" s="42">
        <v>0</v>
      </c>
      <c r="H146" s="23"/>
      <c r="I146" s="23"/>
      <c r="J146" s="99"/>
      <c r="K146" s="99"/>
      <c r="L146" s="99"/>
      <c r="M146" s="99"/>
      <c r="N146" s="43">
        <f t="shared" si="2"/>
        <v>326797.71875</v>
      </c>
      <c r="O146" s="43"/>
      <c r="P146" s="23"/>
      <c r="Q146" s="23"/>
    </row>
    <row r="147" spans="1:17">
      <c r="A147" s="23"/>
      <c r="B147" s="53">
        <v>137</v>
      </c>
      <c r="C147" s="58">
        <v>349348.125</v>
      </c>
      <c r="D147" s="59">
        <v>89507.5234375</v>
      </c>
      <c r="E147" s="59">
        <v>0</v>
      </c>
      <c r="F147" s="59">
        <v>-89.323226928710938</v>
      </c>
      <c r="G147" s="42">
        <v>0</v>
      </c>
      <c r="H147" s="23"/>
      <c r="I147" s="23"/>
      <c r="J147" s="99"/>
      <c r="K147" s="99"/>
      <c r="L147" s="99"/>
      <c r="M147" s="99"/>
      <c r="N147" s="43">
        <f t="shared" si="2"/>
        <v>349348.125</v>
      </c>
      <c r="O147" s="43"/>
      <c r="P147" s="23"/>
      <c r="Q147" s="23"/>
    </row>
    <row r="148" spans="1:17">
      <c r="A148" s="23"/>
      <c r="B148" s="53">
        <v>138</v>
      </c>
      <c r="C148" s="58">
        <v>373454.59375</v>
      </c>
      <c r="D148" s="59">
        <v>83780.9765625</v>
      </c>
      <c r="E148" s="59">
        <v>0</v>
      </c>
      <c r="F148" s="59">
        <v>-89.323173522949219</v>
      </c>
      <c r="G148" s="42">
        <v>0</v>
      </c>
      <c r="H148" s="23"/>
      <c r="I148" s="23"/>
      <c r="J148" s="99"/>
      <c r="K148" s="99"/>
      <c r="L148" s="99"/>
      <c r="M148" s="99"/>
      <c r="N148" s="43">
        <f t="shared" si="2"/>
        <v>373454.59375</v>
      </c>
      <c r="O148" s="43"/>
      <c r="P148" s="23"/>
      <c r="Q148" s="23"/>
    </row>
    <row r="149" spans="1:17">
      <c r="A149" s="23"/>
      <c r="B149" s="53">
        <v>139</v>
      </c>
      <c r="C149" s="58">
        <v>399224.53125</v>
      </c>
      <c r="D149" s="59">
        <v>78412.59375</v>
      </c>
      <c r="E149" s="59">
        <v>0</v>
      </c>
      <c r="F149" s="59">
        <v>-89.320411682128906</v>
      </c>
      <c r="G149" s="42">
        <v>0</v>
      </c>
      <c r="H149" s="23"/>
      <c r="I149" s="23"/>
      <c r="J149" s="99"/>
      <c r="K149" s="99"/>
      <c r="L149" s="99"/>
      <c r="M149" s="99"/>
      <c r="N149" s="43">
        <f t="shared" si="2"/>
        <v>399224.53125</v>
      </c>
      <c r="O149" s="43"/>
      <c r="P149" s="23"/>
      <c r="Q149" s="23"/>
    </row>
    <row r="150" spans="1:17">
      <c r="A150" s="23"/>
      <c r="B150" s="53">
        <v>140</v>
      </c>
      <c r="C150" s="58">
        <v>426772.6875</v>
      </c>
      <c r="D150" s="59">
        <v>73398.5234375</v>
      </c>
      <c r="E150" s="59">
        <v>0</v>
      </c>
      <c r="F150" s="59">
        <v>-89.317436218261719</v>
      </c>
      <c r="G150" s="42">
        <v>0</v>
      </c>
      <c r="H150" s="23"/>
      <c r="I150" s="23"/>
      <c r="J150" s="99"/>
      <c r="K150" s="99"/>
      <c r="L150" s="99"/>
      <c r="M150" s="99"/>
      <c r="N150" s="43">
        <f t="shared" si="2"/>
        <v>426772.6875</v>
      </c>
      <c r="O150" s="43"/>
      <c r="P150" s="23"/>
      <c r="Q150" s="23"/>
    </row>
    <row r="151" spans="1:17">
      <c r="A151" s="23"/>
      <c r="B151" s="53">
        <v>141</v>
      </c>
      <c r="C151" s="58">
        <v>456221.78125</v>
      </c>
      <c r="D151" s="59">
        <v>68704.8828125</v>
      </c>
      <c r="E151" s="59">
        <v>0</v>
      </c>
      <c r="F151" s="59">
        <v>-89.316253662109375</v>
      </c>
      <c r="G151" s="42">
        <v>0</v>
      </c>
      <c r="H151" s="23"/>
      <c r="I151" s="23"/>
      <c r="J151" s="99"/>
      <c r="K151" s="99"/>
      <c r="L151" s="99"/>
      <c r="M151" s="99"/>
      <c r="N151" s="43">
        <f t="shared" si="2"/>
        <v>456221.78125</v>
      </c>
      <c r="O151" s="43"/>
      <c r="P151" s="23"/>
      <c r="Q151" s="23"/>
    </row>
    <row r="152" spans="1:17">
      <c r="A152" s="23"/>
      <c r="B152" s="53">
        <v>142</v>
      </c>
      <c r="C152" s="58">
        <v>487702.96875</v>
      </c>
      <c r="D152" s="59">
        <v>64317.6484375</v>
      </c>
      <c r="E152" s="59">
        <v>0</v>
      </c>
      <c r="F152" s="59">
        <v>-89.315460205078125</v>
      </c>
      <c r="G152" s="42">
        <v>0</v>
      </c>
      <c r="H152" s="23"/>
      <c r="I152" s="23"/>
      <c r="J152" s="99"/>
      <c r="K152" s="99"/>
      <c r="L152" s="99"/>
      <c r="M152" s="99"/>
      <c r="N152" s="43">
        <f t="shared" si="2"/>
        <v>487702.96875</v>
      </c>
      <c r="O152" s="43"/>
      <c r="P152" s="23"/>
      <c r="Q152" s="23"/>
    </row>
    <row r="153" spans="1:17">
      <c r="A153" s="23"/>
      <c r="B153" s="53">
        <v>143</v>
      </c>
      <c r="C153" s="58">
        <v>521356.5</v>
      </c>
      <c r="D153" s="59">
        <v>60205.87109375</v>
      </c>
      <c r="E153" s="59">
        <v>0</v>
      </c>
      <c r="F153" s="59">
        <v>-89.314811706542969</v>
      </c>
      <c r="G153" s="42">
        <v>0</v>
      </c>
      <c r="H153" s="23"/>
      <c r="I153" s="23"/>
      <c r="J153" s="99"/>
      <c r="K153" s="99"/>
      <c r="L153" s="99"/>
      <c r="M153" s="99"/>
      <c r="N153" s="43">
        <f t="shared" si="2"/>
        <v>521356.5</v>
      </c>
      <c r="O153" s="43"/>
      <c r="P153" s="23"/>
      <c r="Q153" s="23"/>
    </row>
    <row r="154" spans="1:17">
      <c r="A154" s="23"/>
      <c r="B154" s="53">
        <v>144</v>
      </c>
      <c r="C154" s="58">
        <v>557332.3125</v>
      </c>
      <c r="D154" s="59">
        <v>56366.80078125</v>
      </c>
      <c r="E154" s="59">
        <v>0</v>
      </c>
      <c r="F154" s="59">
        <v>-89.313316345214844</v>
      </c>
      <c r="G154" s="42">
        <v>0</v>
      </c>
      <c r="H154" s="23"/>
      <c r="I154" s="23"/>
      <c r="J154" s="99"/>
      <c r="K154" s="99"/>
      <c r="L154" s="99"/>
      <c r="M154" s="99"/>
      <c r="N154" s="43">
        <f t="shared" si="2"/>
        <v>557332.3125</v>
      </c>
      <c r="O154" s="43"/>
      <c r="P154" s="23"/>
      <c r="Q154" s="23"/>
    </row>
    <row r="155" spans="1:17">
      <c r="A155" s="23"/>
      <c r="B155" s="53">
        <v>145</v>
      </c>
      <c r="C155" s="58">
        <v>595790.5625</v>
      </c>
      <c r="D155" s="59">
        <v>52768.2890625</v>
      </c>
      <c r="E155" s="59">
        <v>0</v>
      </c>
      <c r="F155" s="59">
        <v>-89.315292358398438</v>
      </c>
      <c r="G155" s="42">
        <v>0</v>
      </c>
      <c r="H155" s="23"/>
      <c r="I155" s="23"/>
      <c r="J155" s="99"/>
      <c r="K155" s="99"/>
      <c r="L155" s="99"/>
      <c r="M155" s="99"/>
      <c r="N155" s="43">
        <f t="shared" si="2"/>
        <v>595790.5625</v>
      </c>
      <c r="O155" s="43"/>
      <c r="P155" s="23"/>
      <c r="Q155" s="23"/>
    </row>
    <row r="156" spans="1:17">
      <c r="A156" s="23"/>
      <c r="B156" s="53">
        <v>146</v>
      </c>
      <c r="C156" s="58">
        <v>636902.5625</v>
      </c>
      <c r="D156" s="59">
        <v>49405.890625</v>
      </c>
      <c r="E156" s="59">
        <v>0</v>
      </c>
      <c r="F156" s="59">
        <v>-89.319038391113281</v>
      </c>
      <c r="G156" s="42">
        <v>0</v>
      </c>
      <c r="H156" s="23"/>
      <c r="I156" s="23"/>
      <c r="J156" s="99"/>
      <c r="K156" s="99"/>
      <c r="L156" s="99"/>
      <c r="M156" s="99"/>
      <c r="N156" s="43">
        <f t="shared" si="2"/>
        <v>636902.5625</v>
      </c>
      <c r="O156" s="43"/>
      <c r="P156" s="23"/>
      <c r="Q156" s="23"/>
    </row>
    <row r="157" spans="1:17">
      <c r="A157" s="23"/>
      <c r="B157" s="53">
        <v>147</v>
      </c>
      <c r="C157" s="58">
        <v>680851.5</v>
      </c>
      <c r="D157" s="59">
        <v>46255.390625</v>
      </c>
      <c r="E157" s="59">
        <v>0</v>
      </c>
      <c r="F157" s="59">
        <v>-89.316879272460938</v>
      </c>
      <c r="G157" s="42">
        <v>0</v>
      </c>
      <c r="H157" s="23"/>
      <c r="I157" s="23"/>
      <c r="J157" s="99"/>
      <c r="K157" s="99"/>
      <c r="L157" s="99"/>
      <c r="M157" s="99"/>
      <c r="N157" s="43">
        <f t="shared" si="2"/>
        <v>680851.5</v>
      </c>
      <c r="O157" s="43"/>
      <c r="P157" s="23"/>
      <c r="Q157" s="23"/>
    </row>
    <row r="158" spans="1:17">
      <c r="A158" s="23"/>
      <c r="B158" s="53">
        <v>148</v>
      </c>
      <c r="C158" s="58">
        <v>727833.125</v>
      </c>
      <c r="D158" s="59">
        <v>43311.9296875</v>
      </c>
      <c r="E158" s="59">
        <v>0</v>
      </c>
      <c r="F158" s="59">
        <v>-89.31915283203125</v>
      </c>
      <c r="G158" s="42">
        <v>0</v>
      </c>
      <c r="H158" s="23"/>
      <c r="I158" s="23"/>
      <c r="J158" s="99"/>
      <c r="K158" s="99"/>
      <c r="L158" s="99"/>
      <c r="M158" s="99"/>
      <c r="N158" s="43">
        <f t="shared" si="2"/>
        <v>727833.125</v>
      </c>
      <c r="O158" s="43"/>
      <c r="P158" s="23"/>
      <c r="Q158" s="23"/>
    </row>
    <row r="159" spans="1:17">
      <c r="A159" s="23"/>
      <c r="B159" s="53">
        <v>149</v>
      </c>
      <c r="C159" s="58">
        <v>778056.625</v>
      </c>
      <c r="D159" s="59">
        <v>40555.05859375</v>
      </c>
      <c r="E159" s="59">
        <v>0</v>
      </c>
      <c r="F159" s="59">
        <v>-89.321632385253906</v>
      </c>
      <c r="G159" s="42">
        <v>0</v>
      </c>
      <c r="H159" s="23"/>
      <c r="I159" s="23"/>
      <c r="J159" s="99"/>
      <c r="K159" s="99"/>
      <c r="L159" s="99"/>
      <c r="M159" s="99"/>
      <c r="N159" s="43">
        <f t="shared" si="2"/>
        <v>778056.625</v>
      </c>
      <c r="O159" s="43"/>
      <c r="P159" s="23"/>
      <c r="Q159" s="23"/>
    </row>
    <row r="160" spans="1:17">
      <c r="A160" s="23"/>
      <c r="B160" s="53">
        <v>150</v>
      </c>
      <c r="C160" s="58">
        <v>831745.75</v>
      </c>
      <c r="D160" s="59">
        <v>37977.30078125</v>
      </c>
      <c r="E160" s="59">
        <v>0</v>
      </c>
      <c r="F160" s="59">
        <v>-89.326263427734375</v>
      </c>
      <c r="G160" s="42">
        <v>0</v>
      </c>
      <c r="H160" s="23"/>
      <c r="I160" s="23"/>
      <c r="J160" s="99"/>
      <c r="K160" s="99"/>
      <c r="L160" s="99"/>
      <c r="M160" s="99"/>
      <c r="N160" s="43">
        <f t="shared" si="2"/>
        <v>831745.75</v>
      </c>
      <c r="O160" s="43"/>
      <c r="P160" s="23"/>
      <c r="Q160" s="23"/>
    </row>
    <row r="161" spans="1:17">
      <c r="A161" s="23"/>
      <c r="B161" s="53">
        <v>151</v>
      </c>
      <c r="C161" s="58">
        <v>889139.6875</v>
      </c>
      <c r="D161" s="59">
        <v>35564.12109375</v>
      </c>
      <c r="E161" s="59">
        <v>0</v>
      </c>
      <c r="F161" s="59">
        <v>-89.328582763671875</v>
      </c>
      <c r="G161" s="42">
        <v>0</v>
      </c>
      <c r="H161" s="23"/>
      <c r="I161" s="23"/>
      <c r="J161" s="99"/>
      <c r="K161" s="99"/>
      <c r="L161" s="99"/>
      <c r="M161" s="99"/>
      <c r="N161" s="43">
        <f t="shared" si="2"/>
        <v>889139.6875</v>
      </c>
      <c r="O161" s="43"/>
      <c r="P161" s="23"/>
      <c r="Q161" s="23"/>
    </row>
    <row r="162" spans="1:17">
      <c r="A162" s="23"/>
      <c r="B162" s="53">
        <v>152</v>
      </c>
      <c r="C162" s="58">
        <v>950494.0625</v>
      </c>
      <c r="D162" s="59">
        <v>33306.75</v>
      </c>
      <c r="E162" s="59">
        <v>0</v>
      </c>
      <c r="F162" s="59">
        <v>-89.338798522949219</v>
      </c>
      <c r="G162" s="42">
        <v>0</v>
      </c>
      <c r="H162" s="23"/>
      <c r="I162" s="23"/>
      <c r="J162" s="99"/>
      <c r="K162" s="99"/>
      <c r="L162" s="99"/>
      <c r="M162" s="99"/>
      <c r="N162" s="43">
        <f t="shared" si="2"/>
        <v>950494.0625</v>
      </c>
      <c r="O162" s="43"/>
      <c r="P162" s="23"/>
      <c r="Q162" s="23"/>
    </row>
    <row r="163" spans="1:17">
      <c r="A163" s="23"/>
      <c r="B163" s="53">
        <v>153</v>
      </c>
      <c r="C163" s="58">
        <v>1016082.125</v>
      </c>
      <c r="D163" s="59">
        <v>31191.970703125</v>
      </c>
      <c r="E163" s="59">
        <v>0</v>
      </c>
      <c r="F163" s="59">
        <v>-89.328857421875</v>
      </c>
      <c r="G163" s="42">
        <v>0</v>
      </c>
      <c r="H163" s="23"/>
      <c r="I163" s="23"/>
      <c r="J163" s="99"/>
      <c r="K163" s="99"/>
      <c r="L163" s="99"/>
      <c r="M163" s="99"/>
      <c r="N163" s="43">
        <f t="shared" si="2"/>
        <v>1016082.125</v>
      </c>
      <c r="O163" s="43"/>
      <c r="P163" s="23"/>
      <c r="Q163" s="23"/>
    </row>
    <row r="164" spans="1:17">
      <c r="A164" s="23"/>
      <c r="B164" s="53">
        <v>154</v>
      </c>
      <c r="C164" s="58">
        <v>1086196</v>
      </c>
      <c r="D164" s="59">
        <v>29215.609375</v>
      </c>
      <c r="E164" s="59">
        <v>0</v>
      </c>
      <c r="F164" s="59">
        <v>-89.338577270507813</v>
      </c>
      <c r="G164" s="42">
        <v>0</v>
      </c>
      <c r="H164" s="23"/>
      <c r="I164" s="23"/>
      <c r="J164" s="99"/>
      <c r="K164" s="99"/>
      <c r="L164" s="99"/>
      <c r="M164" s="99"/>
      <c r="N164" s="43">
        <f t="shared" si="2"/>
        <v>1086196</v>
      </c>
      <c r="O164" s="43"/>
      <c r="P164" s="23"/>
      <c r="Q164" s="23"/>
    </row>
    <row r="165" spans="1:17">
      <c r="A165" s="23"/>
      <c r="B165" s="53">
        <v>155</v>
      </c>
      <c r="C165" s="58">
        <v>1161148.125</v>
      </c>
      <c r="D165" s="59">
        <v>27370.6796875</v>
      </c>
      <c r="E165" s="59">
        <v>0</v>
      </c>
      <c r="F165" s="59">
        <v>-89.334388732910156</v>
      </c>
      <c r="G165" s="42">
        <v>0</v>
      </c>
      <c r="H165" s="23"/>
      <c r="I165" s="23"/>
      <c r="J165" s="99"/>
      <c r="K165" s="99"/>
      <c r="L165" s="99"/>
      <c r="M165" s="99"/>
      <c r="N165" s="43">
        <f t="shared" si="2"/>
        <v>1161148.125</v>
      </c>
      <c r="O165" s="43"/>
      <c r="P165" s="23"/>
      <c r="Q165" s="23"/>
    </row>
    <row r="166" spans="1:17">
      <c r="A166" s="23"/>
      <c r="B166" s="53">
        <v>156</v>
      </c>
      <c r="C166" s="58">
        <v>1241272.125</v>
      </c>
      <c r="D166" s="59">
        <v>25644.720703125</v>
      </c>
      <c r="E166" s="59">
        <v>0</v>
      </c>
      <c r="F166" s="59">
        <v>-89.343856811523438</v>
      </c>
      <c r="G166" s="42">
        <v>0</v>
      </c>
      <c r="H166" s="23"/>
      <c r="I166" s="23"/>
      <c r="J166" s="99"/>
      <c r="K166" s="99"/>
      <c r="L166" s="99"/>
      <c r="M166" s="99"/>
      <c r="N166" s="43">
        <f t="shared" si="2"/>
        <v>1241272.125</v>
      </c>
      <c r="O166" s="43"/>
      <c r="P166" s="23"/>
      <c r="Q166" s="23"/>
    </row>
    <row r="167" spans="1:17">
      <c r="A167" s="23"/>
      <c r="B167" s="53">
        <v>157</v>
      </c>
      <c r="C167" s="58">
        <v>1326925.125</v>
      </c>
      <c r="D167" s="59">
        <v>24029.26953125</v>
      </c>
      <c r="E167" s="59">
        <v>0</v>
      </c>
      <c r="F167" s="59">
        <v>-89.3494873046875</v>
      </c>
      <c r="G167" s="42">
        <v>0</v>
      </c>
      <c r="H167" s="23"/>
      <c r="I167" s="23"/>
      <c r="J167" s="99"/>
      <c r="K167" s="99"/>
      <c r="L167" s="99"/>
      <c r="M167" s="99"/>
      <c r="N167" s="43">
        <f t="shared" si="2"/>
        <v>1326925.125</v>
      </c>
      <c r="O167" s="43"/>
      <c r="P167" s="23"/>
      <c r="Q167" s="23"/>
    </row>
    <row r="168" spans="1:17">
      <c r="A168" s="23"/>
      <c r="B168" s="53">
        <v>158</v>
      </c>
      <c r="C168" s="58">
        <v>1418488.5</v>
      </c>
      <c r="D168" s="59">
        <v>22522.83984375</v>
      </c>
      <c r="E168" s="59">
        <v>0</v>
      </c>
      <c r="F168" s="59">
        <v>-89.358833312988281</v>
      </c>
      <c r="G168" s="42">
        <v>0</v>
      </c>
      <c r="H168" s="23"/>
      <c r="I168" s="23"/>
      <c r="J168" s="99"/>
      <c r="K168" s="99"/>
      <c r="L168" s="99"/>
      <c r="M168" s="99"/>
      <c r="N168" s="43">
        <f t="shared" si="2"/>
        <v>1418488.5</v>
      </c>
      <c r="O168" s="43"/>
      <c r="P168" s="23"/>
      <c r="Q168" s="23"/>
    </row>
    <row r="169" spans="1:17">
      <c r="A169" s="23"/>
      <c r="B169" s="53">
        <v>159</v>
      </c>
      <c r="C169" s="58">
        <v>1516370.125</v>
      </c>
      <c r="D169" s="59">
        <v>21115.080078125</v>
      </c>
      <c r="E169" s="59">
        <v>0</v>
      </c>
      <c r="F169" s="59">
        <v>-89.368637084960938</v>
      </c>
      <c r="G169" s="42">
        <v>0</v>
      </c>
      <c r="H169" s="23"/>
      <c r="I169" s="23"/>
      <c r="J169" s="99"/>
      <c r="K169" s="99"/>
      <c r="L169" s="99"/>
      <c r="M169" s="99"/>
      <c r="N169" s="43">
        <f t="shared" si="2"/>
        <v>1516370.125</v>
      </c>
      <c r="O169" s="43"/>
      <c r="P169" s="23"/>
      <c r="Q169" s="23"/>
    </row>
    <row r="170" spans="1:17">
      <c r="A170" s="23"/>
      <c r="B170" s="53">
        <v>160</v>
      </c>
      <c r="C170" s="58">
        <v>1621005.875</v>
      </c>
      <c r="D170" s="59">
        <v>19800.859375</v>
      </c>
      <c r="E170" s="59">
        <v>0</v>
      </c>
      <c r="F170" s="59">
        <v>-89.391067504882813</v>
      </c>
      <c r="G170" s="42">
        <v>0</v>
      </c>
      <c r="H170" s="23"/>
      <c r="I170" s="23"/>
      <c r="J170" s="99"/>
      <c r="K170" s="99"/>
      <c r="L170" s="99"/>
      <c r="M170" s="99"/>
      <c r="N170" s="43">
        <f t="shared" si="2"/>
        <v>1621005.875</v>
      </c>
      <c r="O170" s="43"/>
      <c r="P170" s="23"/>
      <c r="Q170" s="23"/>
    </row>
    <row r="171" spans="1:17">
      <c r="A171" s="23"/>
      <c r="B171" s="53">
        <v>161</v>
      </c>
      <c r="C171" s="58">
        <v>1732862.125</v>
      </c>
      <c r="D171" s="59">
        <v>18570.630859375</v>
      </c>
      <c r="E171" s="59">
        <v>0</v>
      </c>
      <c r="F171" s="59">
        <v>-89.405357360839844</v>
      </c>
      <c r="G171" s="42">
        <v>0</v>
      </c>
      <c r="H171" s="23"/>
      <c r="I171" s="23"/>
      <c r="J171" s="99"/>
      <c r="K171" s="99"/>
      <c r="L171" s="99"/>
      <c r="M171" s="99"/>
      <c r="N171" s="43">
        <f t="shared" si="2"/>
        <v>1732862.125</v>
      </c>
      <c r="O171" s="43"/>
      <c r="P171" s="23"/>
      <c r="Q171" s="23"/>
    </row>
    <row r="172" spans="1:17">
      <c r="A172" s="23"/>
      <c r="B172" s="53">
        <v>162</v>
      </c>
      <c r="C172" s="58">
        <v>1852436.875</v>
      </c>
      <c r="D172" s="59">
        <v>17423.169921875</v>
      </c>
      <c r="E172" s="59">
        <v>0</v>
      </c>
      <c r="F172" s="59">
        <v>-89.416961669921875</v>
      </c>
      <c r="G172" s="42">
        <v>0</v>
      </c>
      <c r="H172" s="23"/>
      <c r="I172" s="23"/>
      <c r="J172" s="99"/>
      <c r="K172" s="99"/>
      <c r="L172" s="99"/>
      <c r="M172" s="99"/>
      <c r="N172" s="43">
        <f t="shared" si="2"/>
        <v>1852436.875</v>
      </c>
      <c r="O172" s="43"/>
      <c r="P172" s="23"/>
      <c r="Q172" s="23"/>
    </row>
    <row r="173" spans="1:17">
      <c r="A173" s="23"/>
      <c r="B173" s="53">
        <v>163</v>
      </c>
      <c r="C173" s="58">
        <v>1980262.75</v>
      </c>
      <c r="D173" s="59">
        <v>16350.150390625</v>
      </c>
      <c r="E173" s="59">
        <v>0</v>
      </c>
      <c r="F173" s="59">
        <v>-89.444358825683594</v>
      </c>
      <c r="G173" s="42">
        <v>0</v>
      </c>
      <c r="H173" s="23"/>
      <c r="I173" s="23"/>
      <c r="J173" s="99"/>
      <c r="K173" s="99"/>
      <c r="L173" s="99"/>
      <c r="M173" s="99"/>
      <c r="N173" s="43">
        <f t="shared" si="2"/>
        <v>1980262.75</v>
      </c>
      <c r="O173" s="43"/>
      <c r="P173" s="23"/>
      <c r="Q173" s="23"/>
    </row>
    <row r="174" spans="1:17">
      <c r="A174" s="23"/>
      <c r="B174" s="53">
        <v>164</v>
      </c>
      <c r="C174" s="58">
        <v>2116909</v>
      </c>
      <c r="D174" s="59">
        <v>15350.240234375</v>
      </c>
      <c r="E174" s="59">
        <v>0</v>
      </c>
      <c r="F174" s="59">
        <v>-89.463623046875</v>
      </c>
      <c r="G174" s="42">
        <v>0</v>
      </c>
      <c r="H174" s="23"/>
      <c r="I174" s="23"/>
      <c r="J174" s="99"/>
      <c r="K174" s="99"/>
      <c r="L174" s="99"/>
      <c r="M174" s="99"/>
      <c r="N174" s="43">
        <f t="shared" si="2"/>
        <v>2116909</v>
      </c>
      <c r="O174" s="43"/>
      <c r="P174" s="23"/>
      <c r="Q174" s="23"/>
    </row>
    <row r="175" spans="1:17">
      <c r="A175" s="23"/>
      <c r="B175" s="53">
        <v>165</v>
      </c>
      <c r="C175" s="58">
        <v>2262984.75</v>
      </c>
      <c r="D175" s="59">
        <v>14417.4697265625</v>
      </c>
      <c r="E175" s="59">
        <v>0</v>
      </c>
      <c r="F175" s="59">
        <v>-89.493843078613281</v>
      </c>
      <c r="G175" s="42">
        <v>0</v>
      </c>
      <c r="H175" s="23"/>
      <c r="I175" s="23"/>
      <c r="J175" s="99"/>
      <c r="K175" s="99"/>
      <c r="L175" s="99"/>
      <c r="M175" s="99"/>
      <c r="N175" s="43">
        <f t="shared" si="2"/>
        <v>2262984.75</v>
      </c>
      <c r="O175" s="43"/>
      <c r="P175" s="23"/>
      <c r="Q175" s="23"/>
    </row>
    <row r="176" spans="1:17">
      <c r="A176" s="23"/>
      <c r="B176" s="53">
        <v>166</v>
      </c>
      <c r="C176" s="58">
        <v>2419140</v>
      </c>
      <c r="D176" s="59">
        <v>13548.8896484375</v>
      </c>
      <c r="E176" s="59">
        <v>0</v>
      </c>
      <c r="F176" s="59">
        <v>-89.523162841796875</v>
      </c>
      <c r="G176" s="42">
        <v>0</v>
      </c>
      <c r="H176" s="23"/>
      <c r="I176" s="23"/>
      <c r="J176" s="99"/>
      <c r="K176" s="99"/>
      <c r="L176" s="99"/>
      <c r="M176" s="99"/>
      <c r="N176" s="43">
        <f t="shared" si="2"/>
        <v>2419140</v>
      </c>
      <c r="O176" s="43"/>
      <c r="P176" s="23"/>
      <c r="Q176" s="23"/>
    </row>
    <row r="177" spans="1:17">
      <c r="A177" s="23"/>
      <c r="B177" s="53">
        <v>167</v>
      </c>
      <c r="C177" s="58">
        <v>2586070.75</v>
      </c>
      <c r="D177" s="59">
        <v>12739.900390625</v>
      </c>
      <c r="E177" s="59">
        <v>0</v>
      </c>
      <c r="F177" s="59">
        <v>-89.558921813964844</v>
      </c>
      <c r="G177" s="42">
        <v>0</v>
      </c>
      <c r="H177" s="23"/>
      <c r="I177" s="23"/>
      <c r="J177" s="99"/>
      <c r="K177" s="99"/>
      <c r="L177" s="99"/>
      <c r="M177" s="99"/>
      <c r="N177" s="43">
        <f t="shared" si="2"/>
        <v>2586070.75</v>
      </c>
      <c r="O177" s="43"/>
      <c r="P177" s="23"/>
      <c r="Q177" s="23"/>
    </row>
    <row r="178" spans="1:17">
      <c r="A178" s="23"/>
      <c r="B178" s="53">
        <v>168</v>
      </c>
      <c r="C178" s="58">
        <v>2764520.5</v>
      </c>
      <c r="D178" s="59">
        <v>11987.7802734375</v>
      </c>
      <c r="E178" s="59">
        <v>0</v>
      </c>
      <c r="F178" s="59">
        <v>-89.597503662109375</v>
      </c>
      <c r="G178" s="42">
        <v>0</v>
      </c>
      <c r="H178" s="23"/>
      <c r="I178" s="23"/>
      <c r="J178" s="99"/>
      <c r="K178" s="99"/>
      <c r="L178" s="99"/>
      <c r="M178" s="99"/>
      <c r="N178" s="43">
        <f t="shared" si="2"/>
        <v>2764520.5</v>
      </c>
      <c r="O178" s="43"/>
      <c r="P178" s="23"/>
      <c r="Q178" s="23"/>
    </row>
    <row r="179" spans="1:17">
      <c r="A179" s="23"/>
      <c r="B179" s="53">
        <v>169</v>
      </c>
      <c r="C179" s="58">
        <v>2955284</v>
      </c>
      <c r="D179" s="59">
        <v>11288.8896484375</v>
      </c>
      <c r="E179" s="59">
        <v>0</v>
      </c>
      <c r="F179" s="59">
        <v>-89.643402099609375</v>
      </c>
      <c r="G179" s="42">
        <v>0</v>
      </c>
      <c r="H179" s="23"/>
      <c r="I179" s="23"/>
      <c r="J179" s="99"/>
      <c r="K179" s="99"/>
      <c r="L179" s="99"/>
      <c r="M179" s="99"/>
      <c r="N179" s="43">
        <f t="shared" si="2"/>
        <v>2955284</v>
      </c>
      <c r="O179" s="43"/>
      <c r="P179" s="23"/>
      <c r="Q179" s="23"/>
    </row>
    <row r="180" spans="1:17">
      <c r="A180" s="23"/>
      <c r="B180" s="53">
        <v>170</v>
      </c>
      <c r="C180" s="58">
        <v>3159210.75</v>
      </c>
      <c r="D180" s="59">
        <v>10639.330078125</v>
      </c>
      <c r="E180" s="59">
        <v>0</v>
      </c>
      <c r="F180" s="59">
        <v>-89.70220947265625</v>
      </c>
      <c r="G180" s="42">
        <v>0</v>
      </c>
      <c r="H180" s="23"/>
      <c r="I180" s="23"/>
      <c r="J180" s="99"/>
      <c r="K180" s="99"/>
      <c r="L180" s="99"/>
      <c r="M180" s="99"/>
      <c r="N180" s="43">
        <f t="shared" si="2"/>
        <v>3159210.75</v>
      </c>
      <c r="O180" s="43"/>
      <c r="P180" s="23"/>
      <c r="Q180" s="23"/>
    </row>
    <row r="181" spans="1:17">
      <c r="A181" s="23"/>
      <c r="B181" s="53">
        <v>171</v>
      </c>
      <c r="C181" s="58">
        <v>3377209.5</v>
      </c>
      <c r="D181" s="59">
        <v>10038.759765625</v>
      </c>
      <c r="E181" s="59">
        <v>0</v>
      </c>
      <c r="F181" s="59">
        <v>-89.772071838378906</v>
      </c>
      <c r="G181" s="42">
        <v>0</v>
      </c>
      <c r="H181" s="23"/>
      <c r="I181" s="23"/>
      <c r="J181" s="99"/>
      <c r="K181" s="99"/>
      <c r="L181" s="99"/>
      <c r="M181" s="99"/>
      <c r="N181" s="43">
        <f t="shared" si="2"/>
        <v>3377209.5</v>
      </c>
      <c r="O181" s="43"/>
      <c r="P181" s="23"/>
      <c r="Q181" s="23"/>
    </row>
    <row r="182" spans="1:17">
      <c r="A182" s="23"/>
      <c r="B182" s="53">
        <v>172</v>
      </c>
      <c r="C182" s="58">
        <v>3610251</v>
      </c>
      <c r="D182" s="59">
        <v>9484.013671875</v>
      </c>
      <c r="E182" s="59">
        <v>0</v>
      </c>
      <c r="F182" s="59">
        <v>-89.85321044921875</v>
      </c>
      <c r="G182" s="42">
        <v>0</v>
      </c>
      <c r="H182" s="23"/>
      <c r="I182" s="23"/>
      <c r="J182" s="99"/>
      <c r="K182" s="99"/>
      <c r="L182" s="99"/>
      <c r="M182" s="99"/>
      <c r="N182" s="43">
        <f t="shared" si="2"/>
        <v>3610251</v>
      </c>
      <c r="O182" s="43"/>
      <c r="P182" s="23"/>
      <c r="Q182" s="23"/>
    </row>
    <row r="183" spans="1:17">
      <c r="A183" s="23"/>
      <c r="B183" s="53">
        <v>173</v>
      </c>
      <c r="C183" s="58">
        <v>3859373.5</v>
      </c>
      <c r="D183" s="59">
        <v>8972.4033203125</v>
      </c>
      <c r="E183" s="59">
        <v>0</v>
      </c>
      <c r="F183" s="59">
        <v>-89.952583312988281</v>
      </c>
      <c r="G183" s="42">
        <v>0</v>
      </c>
      <c r="H183" s="23"/>
      <c r="I183" s="23"/>
      <c r="J183" s="99"/>
      <c r="K183" s="99"/>
      <c r="L183" s="99"/>
      <c r="M183" s="99"/>
      <c r="N183" s="43">
        <f t="shared" si="2"/>
        <v>3859373.5</v>
      </c>
      <c r="O183" s="43"/>
      <c r="P183" s="23"/>
      <c r="Q183" s="23"/>
    </row>
    <row r="184" spans="1:17">
      <c r="A184" s="23"/>
      <c r="B184" s="53">
        <v>174</v>
      </c>
      <c r="C184" s="58">
        <v>4125686.25</v>
      </c>
      <c r="D184" s="59">
        <v>8503.904296875</v>
      </c>
      <c r="E184" s="59">
        <v>0</v>
      </c>
      <c r="F184" s="59">
        <v>-90.069847106933594</v>
      </c>
      <c r="G184" s="42">
        <v>0</v>
      </c>
      <c r="H184" s="23"/>
      <c r="I184" s="23"/>
      <c r="J184" s="99"/>
      <c r="K184" s="99"/>
      <c r="L184" s="99"/>
      <c r="M184" s="99"/>
      <c r="N184" s="43">
        <f t="shared" si="2"/>
        <v>4125686.25</v>
      </c>
      <c r="O184" s="43"/>
      <c r="P184" s="23"/>
      <c r="Q184" s="23"/>
    </row>
    <row r="185" spans="1:17">
      <c r="A185" s="23"/>
      <c r="B185" s="53">
        <v>175</v>
      </c>
      <c r="C185" s="58">
        <v>4410376</v>
      </c>
      <c r="D185" s="59">
        <v>8075.02099609375</v>
      </c>
      <c r="E185" s="59">
        <v>0</v>
      </c>
      <c r="F185" s="59">
        <v>-90.22772216796875</v>
      </c>
      <c r="G185" s="42">
        <v>0</v>
      </c>
      <c r="H185" s="23"/>
      <c r="I185" s="23"/>
      <c r="J185" s="99"/>
      <c r="K185" s="99"/>
      <c r="L185" s="99"/>
      <c r="M185" s="99"/>
      <c r="N185" s="43">
        <f t="shared" si="2"/>
        <v>4410376</v>
      </c>
      <c r="O185" s="43"/>
      <c r="P185" s="23"/>
      <c r="Q185" s="23"/>
    </row>
    <row r="186" spans="1:17">
      <c r="A186" s="23"/>
      <c r="B186" s="53">
        <v>176</v>
      </c>
      <c r="C186" s="58">
        <v>4714710</v>
      </c>
      <c r="D186" s="59">
        <v>7683.4580078125</v>
      </c>
      <c r="E186" s="59">
        <v>0</v>
      </c>
      <c r="F186" s="59">
        <v>-90.416351318359375</v>
      </c>
      <c r="G186" s="42">
        <v>0</v>
      </c>
      <c r="H186" s="23"/>
      <c r="I186" s="23"/>
      <c r="J186" s="99"/>
      <c r="K186" s="99"/>
      <c r="L186" s="99"/>
      <c r="M186" s="99"/>
      <c r="N186" s="43">
        <f t="shared" si="2"/>
        <v>4714710</v>
      </c>
      <c r="O186" s="43"/>
      <c r="P186" s="23"/>
      <c r="Q186" s="23"/>
    </row>
    <row r="187" spans="1:17">
      <c r="A187" s="23"/>
      <c r="B187" s="53">
        <v>177</v>
      </c>
      <c r="C187" s="58">
        <v>5040045</v>
      </c>
      <c r="D187" s="59">
        <v>7330.81103515625</v>
      </c>
      <c r="E187" s="59">
        <v>0</v>
      </c>
      <c r="F187" s="59">
        <v>-90.639068603515625</v>
      </c>
      <c r="G187" s="42">
        <v>0</v>
      </c>
      <c r="H187" s="23"/>
      <c r="I187" s="23"/>
      <c r="J187" s="99"/>
      <c r="K187" s="99"/>
      <c r="L187" s="99"/>
      <c r="M187" s="99"/>
      <c r="N187" s="43">
        <f t="shared" si="2"/>
        <v>5040045</v>
      </c>
      <c r="O187" s="43"/>
      <c r="P187" s="23"/>
      <c r="Q187" s="23"/>
    </row>
    <row r="188" spans="1:17">
      <c r="A188" s="23"/>
      <c r="B188" s="53">
        <v>178</v>
      </c>
      <c r="C188" s="58">
        <v>5387829</v>
      </c>
      <c r="D188" s="59">
        <v>7018.68212890625</v>
      </c>
      <c r="E188" s="59">
        <v>0</v>
      </c>
      <c r="F188" s="59">
        <v>-90.914482116699219</v>
      </c>
      <c r="G188" s="42">
        <v>0</v>
      </c>
      <c r="H188" s="23"/>
      <c r="I188" s="23"/>
      <c r="J188" s="99"/>
      <c r="K188" s="99"/>
      <c r="L188" s="99"/>
      <c r="M188" s="99"/>
      <c r="N188" s="43">
        <f t="shared" si="2"/>
        <v>5387829</v>
      </c>
      <c r="O188" s="43"/>
      <c r="P188" s="23"/>
      <c r="Q188" s="23"/>
    </row>
    <row r="189" spans="1:17">
      <c r="A189" s="23"/>
      <c r="B189" s="53">
        <v>179</v>
      </c>
      <c r="C189" s="58">
        <v>5759611.5</v>
      </c>
      <c r="D189" s="59">
        <v>6747.80615234375</v>
      </c>
      <c r="E189" s="59">
        <v>0</v>
      </c>
      <c r="F189" s="59">
        <v>-91.268722534179688</v>
      </c>
      <c r="G189" s="42">
        <v>0</v>
      </c>
      <c r="H189" s="23"/>
      <c r="I189" s="23"/>
      <c r="J189" s="99"/>
      <c r="K189" s="99"/>
      <c r="L189" s="99"/>
      <c r="M189" s="99"/>
      <c r="N189" s="43">
        <f t="shared" si="2"/>
        <v>5759611.5</v>
      </c>
      <c r="O189" s="43"/>
      <c r="P189" s="23"/>
      <c r="Q189" s="23"/>
    </row>
    <row r="190" spans="1:17">
      <c r="A190" s="23"/>
      <c r="B190" s="53">
        <v>180</v>
      </c>
      <c r="C190" s="58">
        <v>6157049</v>
      </c>
      <c r="D190" s="59">
        <v>6517.0341796875</v>
      </c>
      <c r="E190" s="59">
        <v>0</v>
      </c>
      <c r="F190" s="59">
        <v>-91.744438171386719</v>
      </c>
      <c r="G190" s="42">
        <v>0</v>
      </c>
      <c r="H190" s="23"/>
      <c r="I190" s="23"/>
      <c r="J190" s="99"/>
      <c r="K190" s="99"/>
      <c r="L190" s="99"/>
      <c r="M190" s="99"/>
      <c r="N190" s="43">
        <f t="shared" si="2"/>
        <v>6157049</v>
      </c>
      <c r="O190" s="43"/>
      <c r="P190" s="23"/>
      <c r="Q190" s="23"/>
    </row>
    <row r="191" spans="1:17">
      <c r="A191" s="23"/>
      <c r="B191" s="53">
        <v>181</v>
      </c>
      <c r="C191" s="58">
        <v>6581911</v>
      </c>
      <c r="D191" s="59">
        <v>6329.1220703125</v>
      </c>
      <c r="E191" s="59">
        <v>0</v>
      </c>
      <c r="F191" s="59">
        <v>-92.387863159179688</v>
      </c>
      <c r="G191" s="42">
        <v>0</v>
      </c>
      <c r="H191" s="23"/>
      <c r="I191" s="23"/>
      <c r="J191" s="99"/>
      <c r="K191" s="99"/>
      <c r="L191" s="99"/>
      <c r="M191" s="99"/>
      <c r="N191" s="43">
        <f t="shared" si="2"/>
        <v>6581911</v>
      </c>
      <c r="O191" s="43"/>
      <c r="P191" s="23"/>
      <c r="Q191" s="23"/>
    </row>
    <row r="192" spans="1:17">
      <c r="A192" s="23"/>
      <c r="B192" s="53">
        <v>182</v>
      </c>
      <c r="C192" s="58">
        <v>7036090.5</v>
      </c>
      <c r="D192" s="59">
        <v>6183.64013671875</v>
      </c>
      <c r="E192" s="59">
        <v>0</v>
      </c>
      <c r="F192" s="59">
        <v>-93.262176513671875</v>
      </c>
      <c r="G192" s="42">
        <v>0</v>
      </c>
      <c r="H192" s="23"/>
      <c r="I192" s="23"/>
      <c r="J192" s="99"/>
      <c r="K192" s="99"/>
      <c r="L192" s="99"/>
      <c r="M192" s="99"/>
      <c r="N192" s="43">
        <f t="shared" si="2"/>
        <v>7036090.5</v>
      </c>
      <c r="O192" s="43"/>
      <c r="P192" s="23"/>
      <c r="Q192" s="23"/>
    </row>
    <row r="193" spans="1:17">
      <c r="A193" s="23"/>
      <c r="B193" s="53">
        <v>183</v>
      </c>
      <c r="C193" s="58">
        <v>7521610</v>
      </c>
      <c r="D193" s="59">
        <v>6082.66015625</v>
      </c>
      <c r="E193" s="59">
        <v>0</v>
      </c>
      <c r="F193" s="59">
        <v>-94.452392578125</v>
      </c>
      <c r="G193" s="42">
        <v>0</v>
      </c>
      <c r="H193" s="23"/>
      <c r="I193" s="23"/>
      <c r="J193" s="99"/>
      <c r="K193" s="99"/>
      <c r="L193" s="99"/>
      <c r="M193" s="99"/>
      <c r="N193" s="43">
        <f t="shared" si="2"/>
        <v>7521610</v>
      </c>
      <c r="O193" s="43"/>
      <c r="P193" s="23"/>
      <c r="Q193" s="23"/>
    </row>
    <row r="194" spans="1:17">
      <c r="A194" s="23"/>
      <c r="B194" s="53">
        <v>184</v>
      </c>
      <c r="C194" s="58">
        <v>8040632.5</v>
      </c>
      <c r="D194" s="59">
        <v>6026.57177734375</v>
      </c>
      <c r="E194" s="59">
        <v>0</v>
      </c>
      <c r="F194" s="59">
        <v>-96.025962829589844</v>
      </c>
      <c r="G194" s="42">
        <v>0</v>
      </c>
      <c r="H194" s="23"/>
      <c r="I194" s="23"/>
      <c r="J194" s="99"/>
      <c r="K194" s="99"/>
      <c r="L194" s="99"/>
      <c r="M194" s="99"/>
      <c r="N194" s="43">
        <f t="shared" si="2"/>
        <v>8040632.5</v>
      </c>
      <c r="O194" s="43"/>
      <c r="P194" s="23"/>
      <c r="Q194" s="23"/>
    </row>
    <row r="195" spans="1:17">
      <c r="A195" s="23"/>
      <c r="B195" s="53">
        <v>185</v>
      </c>
      <c r="C195" s="58">
        <v>8595470</v>
      </c>
      <c r="D195" s="59">
        <v>6016.419921875</v>
      </c>
      <c r="E195" s="59">
        <v>0</v>
      </c>
      <c r="F195" s="59">
        <v>-98.05133056640625</v>
      </c>
      <c r="G195" s="42">
        <v>0</v>
      </c>
      <c r="H195" s="23"/>
      <c r="I195" s="23"/>
      <c r="J195" s="99"/>
      <c r="K195" s="99"/>
      <c r="L195" s="99"/>
      <c r="M195" s="99"/>
      <c r="N195" s="43">
        <f t="shared" si="2"/>
        <v>8595470</v>
      </c>
      <c r="O195" s="43"/>
      <c r="P195" s="23"/>
      <c r="Q195" s="23"/>
    </row>
    <row r="196" spans="1:17">
      <c r="A196" s="23"/>
      <c r="B196" s="53">
        <v>186</v>
      </c>
      <c r="C196" s="58">
        <v>9188593</v>
      </c>
      <c r="D196" s="59">
        <v>6062.044921875</v>
      </c>
      <c r="E196" s="59">
        <v>0</v>
      </c>
      <c r="F196" s="59">
        <v>-100.54440307617188</v>
      </c>
      <c r="G196" s="42">
        <v>0</v>
      </c>
      <c r="H196" s="23"/>
      <c r="I196" s="23"/>
      <c r="J196" s="99"/>
      <c r="K196" s="99"/>
      <c r="L196" s="99"/>
      <c r="M196" s="99"/>
      <c r="N196" s="43">
        <f t="shared" si="2"/>
        <v>9188593</v>
      </c>
      <c r="O196" s="43"/>
      <c r="P196" s="23"/>
      <c r="Q196" s="23"/>
    </row>
    <row r="197" spans="1:17">
      <c r="A197" s="23"/>
      <c r="B197" s="53">
        <v>187</v>
      </c>
      <c r="C197" s="58">
        <v>9822644</v>
      </c>
      <c r="D197" s="59">
        <v>6189.7978515625</v>
      </c>
      <c r="E197" s="59">
        <v>0</v>
      </c>
      <c r="F197" s="59">
        <v>-103.56420135498047</v>
      </c>
      <c r="G197" s="42">
        <v>0</v>
      </c>
      <c r="H197" s="23"/>
      <c r="I197" s="23"/>
      <c r="J197" s="99"/>
      <c r="K197" s="99"/>
      <c r="L197" s="99"/>
      <c r="M197" s="99"/>
      <c r="N197" s="43">
        <f t="shared" si="2"/>
        <v>9822644</v>
      </c>
      <c r="O197" s="43"/>
      <c r="P197" s="23"/>
      <c r="Q197" s="23"/>
    </row>
    <row r="198" spans="1:17">
      <c r="A198" s="23"/>
      <c r="B198" s="53">
        <v>188</v>
      </c>
      <c r="C198" s="58">
        <v>10500447</v>
      </c>
      <c r="D198" s="59">
        <v>6460.44189453125</v>
      </c>
      <c r="E198" s="59">
        <v>0</v>
      </c>
      <c r="F198" s="59">
        <v>-107.34159851074219</v>
      </c>
      <c r="G198" s="42">
        <v>0</v>
      </c>
      <c r="H198" s="23"/>
      <c r="I198" s="23"/>
      <c r="J198" s="99"/>
      <c r="K198" s="99"/>
      <c r="L198" s="99"/>
      <c r="M198" s="99"/>
      <c r="N198" s="43">
        <f t="shared" si="2"/>
        <v>10500447</v>
      </c>
      <c r="O198" s="43"/>
      <c r="P198" s="23"/>
      <c r="Q198" s="23"/>
    </row>
    <row r="199" spans="1:17">
      <c r="A199" s="23"/>
      <c r="B199" s="53">
        <v>189</v>
      </c>
      <c r="C199" s="58">
        <v>11225022</v>
      </c>
      <c r="D199" s="59">
        <v>6975.2861328125</v>
      </c>
      <c r="E199" s="59">
        <v>0</v>
      </c>
      <c r="F199" s="59">
        <v>-112.70120239257813</v>
      </c>
      <c r="G199" s="42">
        <v>0</v>
      </c>
      <c r="H199" s="23"/>
      <c r="I199" s="23"/>
      <c r="J199" s="99"/>
      <c r="K199" s="99"/>
      <c r="L199" s="99"/>
      <c r="M199" s="99"/>
      <c r="N199" s="43">
        <f t="shared" si="2"/>
        <v>11225022</v>
      </c>
      <c r="O199" s="43"/>
      <c r="P199" s="23"/>
      <c r="Q199" s="23"/>
    </row>
    <row r="200" spans="1:17">
      <c r="A200" s="23"/>
      <c r="B200" s="53">
        <v>190</v>
      </c>
      <c r="C200" s="58">
        <v>11999596</v>
      </c>
      <c r="D200" s="59">
        <v>7874.40576171875</v>
      </c>
      <c r="E200" s="59">
        <v>0</v>
      </c>
      <c r="F200" s="59">
        <v>-121.29840087890625</v>
      </c>
      <c r="G200" s="42">
        <v>0</v>
      </c>
      <c r="H200" s="23"/>
      <c r="I200" s="23"/>
      <c r="J200" s="99"/>
      <c r="K200" s="99"/>
      <c r="L200" s="99"/>
      <c r="M200" s="99"/>
      <c r="N200" s="43">
        <f t="shared" si="2"/>
        <v>11999596</v>
      </c>
      <c r="O200" s="43"/>
      <c r="P200" s="23"/>
      <c r="Q200" s="23"/>
    </row>
    <row r="201" spans="1:17">
      <c r="A201" s="23"/>
      <c r="B201" s="53">
        <v>191</v>
      </c>
      <c r="C201" s="58">
        <v>12827618</v>
      </c>
      <c r="D201" s="59">
        <v>9266.5078125</v>
      </c>
      <c r="E201" s="59">
        <v>0</v>
      </c>
      <c r="F201" s="59">
        <v>-136.90159606933594</v>
      </c>
      <c r="G201" s="42">
        <v>0</v>
      </c>
      <c r="H201" s="23"/>
      <c r="I201" s="23"/>
      <c r="J201" s="99"/>
      <c r="K201" s="99"/>
      <c r="L201" s="99"/>
      <c r="M201" s="99"/>
      <c r="N201" s="43">
        <f t="shared" si="2"/>
        <v>12827618</v>
      </c>
      <c r="O201" s="43"/>
      <c r="P201" s="23"/>
      <c r="Q201" s="23"/>
    </row>
    <row r="202" spans="1:17">
      <c r="A202" s="23"/>
      <c r="B202" s="53">
        <v>192</v>
      </c>
      <c r="C202" s="58">
        <v>13712777</v>
      </c>
      <c r="D202" s="59">
        <v>10190.650390625</v>
      </c>
      <c r="E202" s="59">
        <v>0</v>
      </c>
      <c r="F202" s="59">
        <v>-165.23379516601563</v>
      </c>
      <c r="G202" s="42">
        <v>0</v>
      </c>
      <c r="H202" s="23"/>
      <c r="I202" s="23"/>
      <c r="J202" s="99"/>
      <c r="K202" s="99"/>
      <c r="L202" s="99"/>
      <c r="M202" s="99"/>
      <c r="N202" s="43">
        <f t="shared" si="2"/>
        <v>13712777</v>
      </c>
      <c r="O202" s="43"/>
      <c r="P202" s="23"/>
      <c r="Q202" s="23"/>
    </row>
    <row r="203" spans="1:17">
      <c r="A203" s="23"/>
      <c r="B203" s="53">
        <v>193</v>
      </c>
      <c r="C203" s="58">
        <v>14659016</v>
      </c>
      <c r="D203" s="59">
        <v>8195.6123046875</v>
      </c>
      <c r="E203" s="59">
        <v>0</v>
      </c>
      <c r="F203" s="59">
        <v>158.985107421875</v>
      </c>
      <c r="G203" s="42">
        <v>0</v>
      </c>
      <c r="H203" s="23"/>
      <c r="I203" s="23"/>
      <c r="J203" s="99"/>
      <c r="K203" s="99"/>
      <c r="L203" s="99"/>
      <c r="M203" s="99"/>
      <c r="N203" s="43">
        <f t="shared" ref="N203:N266" si="3">IF($L$4=$C$10,C203,IF(D203="","",B203))</f>
        <v>14659016</v>
      </c>
      <c r="O203" s="43"/>
      <c r="P203" s="23"/>
      <c r="Q203" s="23"/>
    </row>
    <row r="204" spans="1:17">
      <c r="A204" s="23"/>
      <c r="B204" s="53">
        <v>194</v>
      </c>
      <c r="C204" s="58">
        <v>15670549</v>
      </c>
      <c r="D204" s="59">
        <v>1236.718994140625</v>
      </c>
      <c r="E204" s="59">
        <v>0</v>
      </c>
      <c r="F204" s="59">
        <v>-150.12510681152344</v>
      </c>
      <c r="G204" s="42">
        <v>0</v>
      </c>
      <c r="H204" s="23"/>
      <c r="I204" s="23"/>
      <c r="J204" s="99"/>
      <c r="K204" s="99"/>
      <c r="L204" s="99"/>
      <c r="M204" s="99"/>
      <c r="N204" s="43">
        <f t="shared" si="3"/>
        <v>15670549</v>
      </c>
      <c r="O204" s="43"/>
      <c r="P204" s="23"/>
      <c r="Q204" s="23"/>
    </row>
    <row r="205" spans="1:17">
      <c r="A205" s="23"/>
      <c r="B205" s="53">
        <v>195</v>
      </c>
      <c r="C205" s="58">
        <v>16751882</v>
      </c>
      <c r="D205" s="59">
        <v>1101.699951171875</v>
      </c>
      <c r="E205" s="59">
        <v>0</v>
      </c>
      <c r="F205" s="59">
        <v>-153.46009826660156</v>
      </c>
      <c r="G205" s="42">
        <v>0</v>
      </c>
      <c r="H205" s="23"/>
      <c r="I205" s="23"/>
      <c r="J205" s="99"/>
      <c r="K205" s="99"/>
      <c r="L205" s="99"/>
      <c r="M205" s="99"/>
      <c r="N205" s="43">
        <f t="shared" si="3"/>
        <v>16751882</v>
      </c>
      <c r="O205" s="43"/>
      <c r="P205" s="23"/>
      <c r="Q205" s="23"/>
    </row>
    <row r="206" spans="1:17">
      <c r="A206" s="23"/>
      <c r="B206" s="53">
        <v>196</v>
      </c>
      <c r="C206" s="58">
        <v>17907832</v>
      </c>
      <c r="D206" s="59">
        <v>977.31768798828125</v>
      </c>
      <c r="E206" s="59">
        <v>0</v>
      </c>
      <c r="F206" s="59">
        <v>-157.28860473632813</v>
      </c>
      <c r="G206" s="42">
        <v>0</v>
      </c>
      <c r="H206" s="23"/>
      <c r="I206" s="23"/>
      <c r="J206" s="99"/>
      <c r="K206" s="99"/>
      <c r="L206" s="99"/>
      <c r="M206" s="99"/>
      <c r="N206" s="43">
        <f t="shared" si="3"/>
        <v>17907832</v>
      </c>
      <c r="O206" s="43"/>
      <c r="P206" s="23"/>
      <c r="Q206" s="23"/>
    </row>
    <row r="207" spans="1:17">
      <c r="A207" s="23"/>
      <c r="B207" s="53">
        <v>197</v>
      </c>
      <c r="C207" s="58">
        <v>19143546</v>
      </c>
      <c r="D207" s="59">
        <v>857.077392578125</v>
      </c>
      <c r="E207" s="59">
        <v>0</v>
      </c>
      <c r="F207" s="59">
        <v>-161.32200622558594</v>
      </c>
      <c r="G207" s="42">
        <v>0</v>
      </c>
      <c r="H207" s="23"/>
      <c r="I207" s="23"/>
      <c r="J207" s="99"/>
      <c r="K207" s="99"/>
      <c r="L207" s="99"/>
      <c r="M207" s="99"/>
      <c r="N207" s="43">
        <f t="shared" si="3"/>
        <v>19143546</v>
      </c>
      <c r="O207" s="43"/>
      <c r="P207" s="23"/>
      <c r="Q207" s="23"/>
    </row>
    <row r="208" spans="1:17">
      <c r="A208" s="23"/>
      <c r="B208" s="53">
        <v>198</v>
      </c>
      <c r="C208" s="58">
        <v>20464532</v>
      </c>
      <c r="D208" s="59">
        <v>742.31201171875</v>
      </c>
      <c r="E208" s="59">
        <v>0</v>
      </c>
      <c r="F208" s="59">
        <v>-165.5238037109375</v>
      </c>
      <c r="G208" s="42">
        <v>0</v>
      </c>
      <c r="H208" s="23"/>
      <c r="I208" s="23"/>
      <c r="J208" s="99"/>
      <c r="K208" s="99"/>
      <c r="L208" s="99"/>
      <c r="M208" s="99"/>
      <c r="N208" s="43">
        <f t="shared" si="3"/>
        <v>20464532</v>
      </c>
      <c r="O208" s="43"/>
      <c r="P208" s="23"/>
      <c r="Q208" s="23"/>
    </row>
    <row r="209" spans="1:17">
      <c r="A209" s="23"/>
      <c r="B209" s="53">
        <v>199</v>
      </c>
      <c r="C209" s="58">
        <v>21876670</v>
      </c>
      <c r="D209" s="59">
        <v>636.12359619140625</v>
      </c>
      <c r="E209" s="59">
        <v>0</v>
      </c>
      <c r="F209" s="59">
        <v>-169.50450134277344</v>
      </c>
      <c r="G209" s="42">
        <v>0</v>
      </c>
      <c r="H209" s="23"/>
      <c r="I209" s="23"/>
      <c r="J209" s="99"/>
      <c r="K209" s="99"/>
      <c r="L209" s="99"/>
      <c r="M209" s="99"/>
      <c r="N209" s="43">
        <f t="shared" si="3"/>
        <v>21876670</v>
      </c>
      <c r="O209" s="43"/>
      <c r="P209" s="23"/>
      <c r="Q209" s="23"/>
    </row>
    <row r="210" spans="1:17">
      <c r="A210" s="23"/>
      <c r="B210" s="54">
        <v>200</v>
      </c>
      <c r="C210" s="58">
        <v>23386252</v>
      </c>
      <c r="D210" s="60">
        <v>541.15802001953125</v>
      </c>
      <c r="E210" s="59">
        <v>0</v>
      </c>
      <c r="F210" s="59">
        <v>-173.92289733886719</v>
      </c>
      <c r="G210" s="42">
        <v>0</v>
      </c>
      <c r="H210" s="23"/>
      <c r="I210" s="23"/>
      <c r="J210" s="99"/>
      <c r="K210" s="99"/>
      <c r="L210" s="99"/>
      <c r="M210" s="99"/>
      <c r="N210" s="43">
        <f t="shared" si="3"/>
        <v>23386252</v>
      </c>
      <c r="O210" s="43"/>
      <c r="P210" s="23"/>
      <c r="Q210" s="23"/>
    </row>
    <row r="211" spans="1:17">
      <c r="A211" s="23"/>
      <c r="B211" s="55">
        <v>201</v>
      </c>
      <c r="C211" s="61">
        <v>25000000</v>
      </c>
      <c r="D211" s="61">
        <v>451.91119384765625</v>
      </c>
      <c r="E211" s="61">
        <v>0</v>
      </c>
      <c r="F211" s="61">
        <v>-178.41229248046875</v>
      </c>
      <c r="G211" s="62">
        <v>0</v>
      </c>
      <c r="H211" s="23"/>
      <c r="I211" s="23"/>
      <c r="J211" s="99"/>
      <c r="K211" s="99"/>
      <c r="L211" s="99"/>
      <c r="M211" s="99"/>
      <c r="N211" s="43">
        <f t="shared" si="3"/>
        <v>25000000</v>
      </c>
      <c r="O211" s="43"/>
      <c r="P211" s="23"/>
      <c r="Q211" s="23"/>
    </row>
    <row r="212" spans="1:17">
      <c r="A212" s="23"/>
      <c r="B212" s="56"/>
      <c r="C212" s="63"/>
      <c r="D212" s="63"/>
      <c r="E212" s="63"/>
      <c r="F212" s="64"/>
      <c r="G212" s="64"/>
      <c r="H212" s="23"/>
      <c r="I212" s="23"/>
      <c r="J212" s="99"/>
      <c r="K212" s="99"/>
      <c r="L212" s="99"/>
      <c r="M212" s="99"/>
      <c r="N212" s="43">
        <f t="shared" si="3"/>
        <v>0</v>
      </c>
      <c r="O212" s="43"/>
      <c r="P212" s="23"/>
      <c r="Q212" s="23"/>
    </row>
    <row r="213" spans="1:17">
      <c r="A213" s="23"/>
      <c r="B213" s="56"/>
      <c r="C213" s="63"/>
      <c r="D213" s="63"/>
      <c r="E213" s="63"/>
      <c r="F213" s="63"/>
      <c r="G213" s="63"/>
      <c r="H213" s="23"/>
      <c r="I213" s="23"/>
      <c r="J213" s="99"/>
      <c r="K213" s="99"/>
      <c r="L213" s="99"/>
      <c r="M213" s="99"/>
      <c r="N213" s="43">
        <f t="shared" si="3"/>
        <v>0</v>
      </c>
      <c r="O213" s="48"/>
      <c r="P213" s="23"/>
      <c r="Q213" s="23"/>
    </row>
    <row r="214" spans="1:17">
      <c r="A214" s="23"/>
      <c r="B214" s="56"/>
      <c r="C214" s="63"/>
      <c r="D214" s="63"/>
      <c r="E214" s="63"/>
      <c r="F214" s="63"/>
      <c r="G214" s="63"/>
      <c r="H214" s="23"/>
      <c r="I214" s="23"/>
      <c r="J214" s="99"/>
      <c r="K214" s="99"/>
      <c r="L214" s="99"/>
      <c r="M214" s="99"/>
      <c r="N214" s="43">
        <f t="shared" si="3"/>
        <v>0</v>
      </c>
      <c r="O214" s="48"/>
      <c r="P214" s="23"/>
      <c r="Q214" s="23"/>
    </row>
    <row r="215" spans="1:17">
      <c r="A215" s="23"/>
      <c r="B215" s="56"/>
      <c r="C215" s="63"/>
      <c r="D215" s="63"/>
      <c r="E215" s="63"/>
      <c r="F215" s="63"/>
      <c r="G215" s="63"/>
      <c r="H215" s="23"/>
      <c r="I215" s="23"/>
      <c r="J215" s="99"/>
      <c r="K215" s="99"/>
      <c r="L215" s="99"/>
      <c r="M215" s="99"/>
      <c r="N215" s="43">
        <f t="shared" si="3"/>
        <v>0</v>
      </c>
      <c r="O215" s="48"/>
      <c r="P215" s="23"/>
      <c r="Q215" s="23"/>
    </row>
    <row r="216" spans="1:17">
      <c r="A216" s="23"/>
      <c r="B216" s="56"/>
      <c r="C216" s="63"/>
      <c r="D216" s="63"/>
      <c r="E216" s="63"/>
      <c r="F216" s="63"/>
      <c r="G216" s="63"/>
      <c r="H216" s="23"/>
      <c r="I216" s="23"/>
      <c r="J216" s="99"/>
      <c r="K216" s="99"/>
      <c r="L216" s="99"/>
      <c r="M216" s="99"/>
      <c r="N216" s="43">
        <f t="shared" si="3"/>
        <v>0</v>
      </c>
      <c r="O216" s="48"/>
      <c r="P216" s="23"/>
      <c r="Q216" s="23"/>
    </row>
    <row r="217" spans="1:17">
      <c r="A217" s="23"/>
      <c r="B217" s="56"/>
      <c r="C217" s="63"/>
      <c r="D217" s="63"/>
      <c r="E217" s="63"/>
      <c r="F217" s="63"/>
      <c r="G217" s="63"/>
      <c r="H217" s="23"/>
      <c r="I217" s="23"/>
      <c r="J217" s="99"/>
      <c r="K217" s="99"/>
      <c r="L217" s="99"/>
      <c r="M217" s="99"/>
      <c r="N217" s="43">
        <f t="shared" si="3"/>
        <v>0</v>
      </c>
      <c r="O217" s="48"/>
      <c r="P217" s="23"/>
      <c r="Q217" s="23"/>
    </row>
    <row r="218" spans="1:17">
      <c r="A218" s="23"/>
      <c r="B218" s="56"/>
      <c r="C218" s="63"/>
      <c r="D218" s="63"/>
      <c r="E218" s="63"/>
      <c r="F218" s="63"/>
      <c r="G218" s="63"/>
      <c r="H218" s="23"/>
      <c r="I218" s="23"/>
      <c r="J218" s="99"/>
      <c r="K218" s="99"/>
      <c r="L218" s="99"/>
      <c r="M218" s="99"/>
      <c r="N218" s="43">
        <f t="shared" si="3"/>
        <v>0</v>
      </c>
      <c r="O218" s="48"/>
      <c r="P218" s="23"/>
      <c r="Q218" s="23"/>
    </row>
    <row r="219" spans="1:17">
      <c r="A219" s="23"/>
      <c r="B219" s="56"/>
      <c r="C219" s="63"/>
      <c r="D219" s="63"/>
      <c r="E219" s="63"/>
      <c r="F219" s="63"/>
      <c r="G219" s="63"/>
      <c r="H219" s="23"/>
      <c r="I219" s="23"/>
      <c r="J219" s="99"/>
      <c r="K219" s="99"/>
      <c r="L219" s="99"/>
      <c r="M219" s="99"/>
      <c r="N219" s="43">
        <f t="shared" si="3"/>
        <v>0</v>
      </c>
      <c r="O219" s="48"/>
      <c r="P219" s="23"/>
      <c r="Q219" s="23"/>
    </row>
    <row r="220" spans="1:17">
      <c r="A220" s="23"/>
      <c r="B220" s="56"/>
      <c r="C220" s="63"/>
      <c r="D220" s="63"/>
      <c r="E220" s="63"/>
      <c r="F220" s="63"/>
      <c r="G220" s="63"/>
      <c r="H220" s="23"/>
      <c r="I220" s="23"/>
      <c r="J220" s="99"/>
      <c r="K220" s="99"/>
      <c r="L220" s="99"/>
      <c r="M220" s="99"/>
      <c r="N220" s="43">
        <f t="shared" si="3"/>
        <v>0</v>
      </c>
      <c r="O220" s="48"/>
      <c r="P220" s="23"/>
      <c r="Q220" s="23"/>
    </row>
    <row r="221" spans="1:17">
      <c r="A221" s="23"/>
      <c r="B221" s="56"/>
      <c r="C221" s="63"/>
      <c r="D221" s="63"/>
      <c r="E221" s="63"/>
      <c r="F221" s="63"/>
      <c r="G221" s="63"/>
      <c r="H221" s="23"/>
      <c r="I221" s="23"/>
      <c r="J221" s="99"/>
      <c r="K221" s="99"/>
      <c r="L221" s="99"/>
      <c r="M221" s="99"/>
      <c r="N221" s="43">
        <f t="shared" si="3"/>
        <v>0</v>
      </c>
      <c r="O221" s="48"/>
      <c r="P221" s="23"/>
      <c r="Q221" s="23"/>
    </row>
    <row r="222" spans="1:17">
      <c r="A222" s="23"/>
      <c r="B222" s="56"/>
      <c r="C222" s="63"/>
      <c r="D222" s="63"/>
      <c r="E222" s="63"/>
      <c r="F222" s="63"/>
      <c r="G222" s="63"/>
      <c r="H222" s="23"/>
      <c r="I222" s="23"/>
      <c r="J222" s="99"/>
      <c r="K222" s="99"/>
      <c r="L222" s="99"/>
      <c r="M222" s="99"/>
      <c r="N222" s="43">
        <f t="shared" si="3"/>
        <v>0</v>
      </c>
      <c r="O222" s="48"/>
      <c r="P222" s="23"/>
      <c r="Q222" s="23"/>
    </row>
    <row r="223" spans="1:17">
      <c r="A223" s="23"/>
      <c r="B223" s="56"/>
      <c r="C223" s="63"/>
      <c r="D223" s="63"/>
      <c r="E223" s="63"/>
      <c r="F223" s="63"/>
      <c r="G223" s="63"/>
      <c r="H223" s="23"/>
      <c r="I223" s="23"/>
      <c r="J223" s="99"/>
      <c r="K223" s="99"/>
      <c r="L223" s="99"/>
      <c r="M223" s="99"/>
      <c r="N223" s="43">
        <f t="shared" si="3"/>
        <v>0</v>
      </c>
      <c r="O223" s="48"/>
      <c r="P223" s="23"/>
      <c r="Q223" s="23"/>
    </row>
    <row r="224" spans="1:17">
      <c r="A224" s="23"/>
      <c r="B224" s="56"/>
      <c r="C224" s="63"/>
      <c r="D224" s="63"/>
      <c r="E224" s="63"/>
      <c r="F224" s="63"/>
      <c r="G224" s="63"/>
      <c r="H224" s="23"/>
      <c r="I224" s="23"/>
      <c r="J224" s="99"/>
      <c r="K224" s="99"/>
      <c r="L224" s="99"/>
      <c r="M224" s="99"/>
      <c r="N224" s="43">
        <f t="shared" si="3"/>
        <v>0</v>
      </c>
      <c r="O224" s="48"/>
      <c r="P224" s="23"/>
      <c r="Q224" s="23"/>
    </row>
    <row r="225" spans="1:17">
      <c r="A225" s="23"/>
      <c r="B225" s="56"/>
      <c r="C225" s="63"/>
      <c r="D225" s="63"/>
      <c r="E225" s="63"/>
      <c r="F225" s="63"/>
      <c r="G225" s="63"/>
      <c r="H225" s="23"/>
      <c r="I225" s="23"/>
      <c r="J225" s="99"/>
      <c r="K225" s="99"/>
      <c r="L225" s="99"/>
      <c r="M225" s="99"/>
      <c r="N225" s="43">
        <f t="shared" si="3"/>
        <v>0</v>
      </c>
      <c r="O225" s="48"/>
      <c r="P225" s="23"/>
      <c r="Q225" s="23"/>
    </row>
    <row r="226" spans="1:17">
      <c r="A226" s="23"/>
      <c r="B226" s="56"/>
      <c r="C226" s="63"/>
      <c r="D226" s="63"/>
      <c r="E226" s="63"/>
      <c r="F226" s="63"/>
      <c r="G226" s="63"/>
      <c r="H226" s="23"/>
      <c r="I226" s="23"/>
      <c r="J226" s="99"/>
      <c r="K226" s="99"/>
      <c r="L226" s="99"/>
      <c r="M226" s="99"/>
      <c r="N226" s="43">
        <f t="shared" si="3"/>
        <v>0</v>
      </c>
      <c r="O226" s="48"/>
      <c r="P226" s="23"/>
      <c r="Q226" s="23"/>
    </row>
    <row r="227" spans="1:17">
      <c r="B227" s="57"/>
      <c r="C227" s="60"/>
      <c r="D227" s="60"/>
      <c r="E227" s="60"/>
      <c r="F227" s="60"/>
      <c r="G227" s="60"/>
      <c r="J227" s="99"/>
      <c r="K227" s="99"/>
      <c r="L227" s="99"/>
      <c r="M227" s="99"/>
      <c r="N227" s="43">
        <f t="shared" si="3"/>
        <v>0</v>
      </c>
    </row>
    <row r="228" spans="1:17">
      <c r="B228" s="57"/>
      <c r="C228" s="60"/>
      <c r="D228" s="60"/>
      <c r="E228" s="60"/>
      <c r="F228" s="60"/>
      <c r="G228" s="60"/>
      <c r="J228" s="99"/>
      <c r="K228" s="99"/>
      <c r="L228" s="99"/>
      <c r="M228" s="99"/>
      <c r="N228" s="43">
        <f t="shared" si="3"/>
        <v>0</v>
      </c>
    </row>
    <row r="229" spans="1:17">
      <c r="B229" s="57"/>
      <c r="C229" s="60"/>
      <c r="D229" s="60"/>
      <c r="E229" s="60"/>
      <c r="F229" s="60"/>
      <c r="G229" s="60"/>
      <c r="J229" s="99"/>
      <c r="K229" s="99"/>
      <c r="L229" s="99"/>
      <c r="M229" s="99"/>
      <c r="N229" s="43">
        <f t="shared" si="3"/>
        <v>0</v>
      </c>
    </row>
    <row r="230" spans="1:17">
      <c r="B230" s="57"/>
      <c r="C230" s="60"/>
      <c r="D230" s="60"/>
      <c r="E230" s="60"/>
      <c r="F230" s="60"/>
      <c r="G230" s="60"/>
      <c r="J230" s="99"/>
      <c r="K230" s="99"/>
      <c r="L230" s="99"/>
      <c r="M230" s="99"/>
      <c r="N230" s="43">
        <f t="shared" si="3"/>
        <v>0</v>
      </c>
    </row>
    <row r="231" spans="1:17">
      <c r="B231" s="57"/>
      <c r="C231" s="60"/>
      <c r="D231" s="60"/>
      <c r="E231" s="60"/>
      <c r="F231" s="60"/>
      <c r="G231" s="60"/>
      <c r="J231" s="99"/>
      <c r="K231" s="99"/>
      <c r="L231" s="99"/>
      <c r="M231" s="99"/>
      <c r="N231" s="43">
        <f t="shared" si="3"/>
        <v>0</v>
      </c>
    </row>
    <row r="232" spans="1:17">
      <c r="B232" s="57"/>
      <c r="C232" s="60"/>
      <c r="D232" s="60"/>
      <c r="E232" s="60"/>
      <c r="F232" s="60"/>
      <c r="G232" s="60"/>
      <c r="J232" s="99"/>
      <c r="K232" s="99"/>
      <c r="L232" s="99"/>
      <c r="M232" s="99"/>
      <c r="N232" s="43">
        <f t="shared" si="3"/>
        <v>0</v>
      </c>
    </row>
    <row r="233" spans="1:17">
      <c r="B233" s="57"/>
      <c r="C233" s="60"/>
      <c r="D233" s="60"/>
      <c r="E233" s="60"/>
      <c r="F233" s="60"/>
      <c r="G233" s="60"/>
      <c r="J233" s="99"/>
      <c r="K233" s="99"/>
      <c r="L233" s="99"/>
      <c r="M233" s="99"/>
      <c r="N233" s="43">
        <f t="shared" si="3"/>
        <v>0</v>
      </c>
    </row>
    <row r="234" spans="1:17">
      <c r="B234" s="57"/>
      <c r="C234" s="60"/>
      <c r="D234" s="60"/>
      <c r="E234" s="60"/>
      <c r="F234" s="60"/>
      <c r="G234" s="60"/>
      <c r="J234" s="99"/>
      <c r="K234" s="99"/>
      <c r="L234" s="99"/>
      <c r="M234" s="99"/>
      <c r="N234" s="43">
        <f t="shared" si="3"/>
        <v>0</v>
      </c>
    </row>
    <row r="235" spans="1:17">
      <c r="B235" s="57"/>
      <c r="C235" s="60"/>
      <c r="D235" s="60"/>
      <c r="E235" s="60"/>
      <c r="F235" s="60"/>
      <c r="G235" s="60"/>
      <c r="J235" s="99"/>
      <c r="K235" s="99"/>
      <c r="L235" s="99"/>
      <c r="M235" s="99"/>
      <c r="N235" s="43">
        <f t="shared" si="3"/>
        <v>0</v>
      </c>
    </row>
    <row r="236" spans="1:17">
      <c r="B236" s="57"/>
      <c r="C236" s="60"/>
      <c r="D236" s="60"/>
      <c r="E236" s="60"/>
      <c r="F236" s="60"/>
      <c r="G236" s="60"/>
      <c r="J236" s="99"/>
      <c r="K236" s="99"/>
      <c r="L236" s="99"/>
      <c r="M236" s="99"/>
      <c r="N236" s="43">
        <f t="shared" si="3"/>
        <v>0</v>
      </c>
    </row>
    <row r="237" spans="1:17">
      <c r="B237" s="57"/>
      <c r="C237" s="60"/>
      <c r="D237" s="60"/>
      <c r="E237" s="60"/>
      <c r="F237" s="60"/>
      <c r="G237" s="60"/>
      <c r="J237" s="99"/>
      <c r="K237" s="99"/>
      <c r="L237" s="99"/>
      <c r="M237" s="99"/>
      <c r="N237" s="43">
        <f t="shared" si="3"/>
        <v>0</v>
      </c>
    </row>
    <row r="238" spans="1:17">
      <c r="B238" s="57"/>
      <c r="C238" s="60"/>
      <c r="D238" s="60"/>
      <c r="E238" s="60"/>
      <c r="F238" s="60"/>
      <c r="G238" s="60"/>
      <c r="J238" s="99"/>
      <c r="K238" s="99"/>
      <c r="L238" s="99"/>
      <c r="M238" s="99"/>
      <c r="N238" s="43">
        <f t="shared" si="3"/>
        <v>0</v>
      </c>
    </row>
    <row r="239" spans="1:17">
      <c r="B239" s="57"/>
      <c r="C239" s="60"/>
      <c r="D239" s="60"/>
      <c r="E239" s="60"/>
      <c r="F239" s="60"/>
      <c r="G239" s="60"/>
      <c r="J239" s="99"/>
      <c r="K239" s="99"/>
      <c r="L239" s="99"/>
      <c r="M239" s="99"/>
      <c r="N239" s="43">
        <f t="shared" si="3"/>
        <v>0</v>
      </c>
    </row>
    <row r="240" spans="1:17">
      <c r="B240" s="57"/>
      <c r="C240" s="60"/>
      <c r="D240" s="60"/>
      <c r="E240" s="60"/>
      <c r="F240" s="60"/>
      <c r="G240" s="60"/>
      <c r="J240" s="99"/>
      <c r="K240" s="99"/>
      <c r="L240" s="99"/>
      <c r="M240" s="99"/>
      <c r="N240" s="43">
        <f t="shared" si="3"/>
        <v>0</v>
      </c>
    </row>
    <row r="241" spans="2:14">
      <c r="B241" s="57"/>
      <c r="C241" s="60"/>
      <c r="D241" s="60"/>
      <c r="E241" s="60"/>
      <c r="F241" s="60"/>
      <c r="G241" s="60"/>
      <c r="J241" s="99"/>
      <c r="K241" s="99"/>
      <c r="L241" s="99"/>
      <c r="M241" s="99"/>
      <c r="N241" s="43">
        <f t="shared" si="3"/>
        <v>0</v>
      </c>
    </row>
    <row r="242" spans="2:14">
      <c r="B242" s="57"/>
      <c r="C242" s="60"/>
      <c r="D242" s="60"/>
      <c r="E242" s="60"/>
      <c r="F242" s="60"/>
      <c r="G242" s="60"/>
      <c r="J242" s="99"/>
      <c r="K242" s="99"/>
      <c r="L242" s="99"/>
      <c r="M242" s="99"/>
      <c r="N242" s="43">
        <f t="shared" si="3"/>
        <v>0</v>
      </c>
    </row>
    <row r="243" spans="2:14">
      <c r="B243" s="57"/>
      <c r="C243" s="60"/>
      <c r="D243" s="60"/>
      <c r="E243" s="60"/>
      <c r="F243" s="60"/>
      <c r="G243" s="60"/>
      <c r="J243" s="99"/>
      <c r="K243" s="99"/>
      <c r="L243" s="99"/>
      <c r="M243" s="99"/>
      <c r="N243" s="43">
        <f t="shared" si="3"/>
        <v>0</v>
      </c>
    </row>
    <row r="244" spans="2:14">
      <c r="B244" s="57"/>
      <c r="C244" s="60"/>
      <c r="D244" s="60"/>
      <c r="E244" s="60"/>
      <c r="F244" s="60"/>
      <c r="G244" s="60"/>
      <c r="J244" s="99"/>
      <c r="K244" s="99"/>
      <c r="L244" s="99"/>
      <c r="M244" s="99"/>
      <c r="N244" s="43">
        <f t="shared" si="3"/>
        <v>0</v>
      </c>
    </row>
    <row r="245" spans="2:14">
      <c r="B245" s="57"/>
      <c r="C245" s="60"/>
      <c r="D245" s="60"/>
      <c r="E245" s="60"/>
      <c r="F245" s="60"/>
      <c r="G245" s="60"/>
      <c r="J245" s="99"/>
      <c r="K245" s="99"/>
      <c r="L245" s="99"/>
      <c r="M245" s="99"/>
      <c r="N245" s="43">
        <f t="shared" si="3"/>
        <v>0</v>
      </c>
    </row>
    <row r="246" spans="2:14">
      <c r="B246" s="57"/>
      <c r="C246" s="60"/>
      <c r="D246" s="60"/>
      <c r="E246" s="60"/>
      <c r="F246" s="60"/>
      <c r="G246" s="60"/>
      <c r="J246" s="99"/>
      <c r="K246" s="99"/>
      <c r="L246" s="99"/>
      <c r="M246" s="99"/>
      <c r="N246" s="43">
        <f t="shared" si="3"/>
        <v>0</v>
      </c>
    </row>
    <row r="247" spans="2:14">
      <c r="B247" s="57"/>
      <c r="C247" s="60"/>
      <c r="D247" s="60"/>
      <c r="E247" s="60"/>
      <c r="F247" s="60"/>
      <c r="G247" s="60"/>
      <c r="J247" s="99"/>
      <c r="K247" s="99"/>
      <c r="L247" s="99"/>
      <c r="M247" s="99"/>
      <c r="N247" s="43">
        <f t="shared" si="3"/>
        <v>0</v>
      </c>
    </row>
    <row r="248" spans="2:14">
      <c r="B248" s="57"/>
      <c r="C248" s="60"/>
      <c r="D248" s="60"/>
      <c r="E248" s="60"/>
      <c r="F248" s="60"/>
      <c r="G248" s="60"/>
      <c r="J248" s="99"/>
      <c r="K248" s="99"/>
      <c r="L248" s="99"/>
      <c r="M248" s="99"/>
      <c r="N248" s="43">
        <f t="shared" si="3"/>
        <v>0</v>
      </c>
    </row>
    <row r="249" spans="2:14">
      <c r="B249" s="57"/>
      <c r="C249" s="60"/>
      <c r="D249" s="60"/>
      <c r="E249" s="60"/>
      <c r="F249" s="60"/>
      <c r="G249" s="60"/>
      <c r="J249" s="99"/>
      <c r="K249" s="99"/>
      <c r="L249" s="99"/>
      <c r="M249" s="99"/>
      <c r="N249" s="43">
        <f t="shared" si="3"/>
        <v>0</v>
      </c>
    </row>
    <row r="250" spans="2:14">
      <c r="B250" s="57"/>
      <c r="C250" s="60"/>
      <c r="D250" s="60"/>
      <c r="E250" s="60"/>
      <c r="F250" s="60"/>
      <c r="G250" s="60"/>
      <c r="J250" s="99"/>
      <c r="K250" s="99"/>
      <c r="L250" s="99"/>
      <c r="M250" s="99"/>
      <c r="N250" s="43">
        <f t="shared" si="3"/>
        <v>0</v>
      </c>
    </row>
    <row r="251" spans="2:14">
      <c r="B251" s="57"/>
      <c r="C251" s="60"/>
      <c r="D251" s="60"/>
      <c r="E251" s="60"/>
      <c r="F251" s="60"/>
      <c r="G251" s="60"/>
      <c r="J251" s="99"/>
      <c r="K251" s="99"/>
      <c r="L251" s="99"/>
      <c r="M251" s="99"/>
      <c r="N251" s="43">
        <f t="shared" si="3"/>
        <v>0</v>
      </c>
    </row>
    <row r="252" spans="2:14">
      <c r="B252" s="57"/>
      <c r="C252" s="60"/>
      <c r="D252" s="60"/>
      <c r="E252" s="60"/>
      <c r="F252" s="60"/>
      <c r="G252" s="60"/>
      <c r="J252" s="99"/>
      <c r="K252" s="99"/>
      <c r="L252" s="99"/>
      <c r="M252" s="99"/>
      <c r="N252" s="43">
        <f t="shared" si="3"/>
        <v>0</v>
      </c>
    </row>
    <row r="253" spans="2:14">
      <c r="B253" s="57"/>
      <c r="C253" s="60"/>
      <c r="D253" s="60"/>
      <c r="E253" s="60"/>
      <c r="F253" s="60"/>
      <c r="G253" s="60"/>
      <c r="J253" s="99"/>
      <c r="K253" s="99"/>
      <c r="L253" s="99"/>
      <c r="M253" s="99"/>
      <c r="N253" s="43">
        <f t="shared" si="3"/>
        <v>0</v>
      </c>
    </row>
    <row r="254" spans="2:14">
      <c r="B254" s="57"/>
      <c r="C254" s="60"/>
      <c r="D254" s="60"/>
      <c r="E254" s="60"/>
      <c r="F254" s="60"/>
      <c r="G254" s="60"/>
      <c r="J254" s="99"/>
      <c r="K254" s="99"/>
      <c r="L254" s="99"/>
      <c r="M254" s="99"/>
      <c r="N254" s="43">
        <f t="shared" si="3"/>
        <v>0</v>
      </c>
    </row>
    <row r="255" spans="2:14">
      <c r="B255" s="57"/>
      <c r="C255" s="60"/>
      <c r="D255" s="60"/>
      <c r="E255" s="60"/>
      <c r="F255" s="60"/>
      <c r="G255" s="60"/>
      <c r="J255" s="99"/>
      <c r="K255" s="99"/>
      <c r="L255" s="99"/>
      <c r="M255" s="99"/>
      <c r="N255" s="43">
        <f t="shared" si="3"/>
        <v>0</v>
      </c>
    </row>
    <row r="256" spans="2:14">
      <c r="B256" s="57"/>
      <c r="C256" s="60"/>
      <c r="D256" s="60"/>
      <c r="E256" s="60"/>
      <c r="F256" s="60"/>
      <c r="G256" s="60"/>
      <c r="J256" s="99"/>
      <c r="K256" s="99"/>
      <c r="L256" s="99"/>
      <c r="M256" s="99"/>
      <c r="N256" s="43">
        <f t="shared" si="3"/>
        <v>0</v>
      </c>
    </row>
    <row r="257" spans="2:14">
      <c r="B257" s="57"/>
      <c r="C257" s="60"/>
      <c r="D257" s="60"/>
      <c r="E257" s="60"/>
      <c r="F257" s="60"/>
      <c r="G257" s="60"/>
      <c r="J257" s="99"/>
      <c r="K257" s="99"/>
      <c r="L257" s="99"/>
      <c r="M257" s="99"/>
      <c r="N257" s="43">
        <f t="shared" si="3"/>
        <v>0</v>
      </c>
    </row>
    <row r="258" spans="2:14">
      <c r="B258" s="57"/>
      <c r="C258" s="60"/>
      <c r="D258" s="60"/>
      <c r="E258" s="60"/>
      <c r="F258" s="60"/>
      <c r="G258" s="60"/>
      <c r="J258" s="99"/>
      <c r="K258" s="99"/>
      <c r="L258" s="99"/>
      <c r="M258" s="99"/>
      <c r="N258" s="43">
        <f t="shared" si="3"/>
        <v>0</v>
      </c>
    </row>
    <row r="259" spans="2:14">
      <c r="B259" s="57"/>
      <c r="C259" s="60"/>
      <c r="D259" s="60"/>
      <c r="E259" s="60"/>
      <c r="F259" s="60"/>
      <c r="G259" s="60"/>
      <c r="J259" s="99"/>
      <c r="K259" s="99"/>
      <c r="L259" s="99"/>
      <c r="M259" s="99"/>
      <c r="N259" s="43">
        <f t="shared" si="3"/>
        <v>0</v>
      </c>
    </row>
    <row r="260" spans="2:14">
      <c r="B260" s="57"/>
      <c r="C260" s="60"/>
      <c r="D260" s="60"/>
      <c r="E260" s="60"/>
      <c r="F260" s="60"/>
      <c r="G260" s="60"/>
      <c r="J260" s="99"/>
      <c r="K260" s="99"/>
      <c r="L260" s="99"/>
      <c r="M260" s="99"/>
      <c r="N260" s="43">
        <f t="shared" si="3"/>
        <v>0</v>
      </c>
    </row>
    <row r="261" spans="2:14">
      <c r="B261" s="57"/>
      <c r="C261" s="60"/>
      <c r="D261" s="60"/>
      <c r="E261" s="60"/>
      <c r="F261" s="60"/>
      <c r="G261" s="60"/>
      <c r="J261" s="99"/>
      <c r="K261" s="99"/>
      <c r="L261" s="99"/>
      <c r="M261" s="99"/>
      <c r="N261" s="43">
        <f t="shared" si="3"/>
        <v>0</v>
      </c>
    </row>
    <row r="262" spans="2:14">
      <c r="B262" s="57"/>
      <c r="C262" s="60"/>
      <c r="D262" s="60"/>
      <c r="E262" s="60"/>
      <c r="F262" s="60"/>
      <c r="G262" s="60"/>
      <c r="J262" s="99"/>
      <c r="K262" s="99"/>
      <c r="L262" s="99"/>
      <c r="M262" s="99"/>
      <c r="N262" s="43">
        <f t="shared" si="3"/>
        <v>0</v>
      </c>
    </row>
    <row r="263" spans="2:14">
      <c r="B263" s="57"/>
      <c r="C263" s="60"/>
      <c r="D263" s="60"/>
      <c r="E263" s="60"/>
      <c r="F263" s="60"/>
      <c r="G263" s="60"/>
      <c r="J263" s="99"/>
      <c r="K263" s="99"/>
      <c r="L263" s="99"/>
      <c r="M263" s="99"/>
      <c r="N263" s="43">
        <f t="shared" si="3"/>
        <v>0</v>
      </c>
    </row>
    <row r="264" spans="2:14">
      <c r="B264" s="57"/>
      <c r="C264" s="60"/>
      <c r="D264" s="60"/>
      <c r="E264" s="60"/>
      <c r="F264" s="60"/>
      <c r="G264" s="60"/>
      <c r="J264" s="99"/>
      <c r="K264" s="99"/>
      <c r="L264" s="99"/>
      <c r="M264" s="99"/>
      <c r="N264" s="43">
        <f t="shared" si="3"/>
        <v>0</v>
      </c>
    </row>
    <row r="265" spans="2:14">
      <c r="B265" s="57"/>
      <c r="C265" s="60"/>
      <c r="D265" s="60"/>
      <c r="E265" s="60"/>
      <c r="F265" s="60"/>
      <c r="G265" s="60"/>
      <c r="J265" s="99"/>
      <c r="K265" s="99"/>
      <c r="L265" s="99"/>
      <c r="M265" s="99"/>
      <c r="N265" s="43">
        <f t="shared" si="3"/>
        <v>0</v>
      </c>
    </row>
    <row r="266" spans="2:14">
      <c r="B266" s="57"/>
      <c r="C266" s="60"/>
      <c r="D266" s="60"/>
      <c r="E266" s="60"/>
      <c r="F266" s="60"/>
      <c r="G266" s="60"/>
      <c r="J266" s="99"/>
      <c r="K266" s="99"/>
      <c r="L266" s="99"/>
      <c r="M266" s="99"/>
      <c r="N266" s="43">
        <f t="shared" si="3"/>
        <v>0</v>
      </c>
    </row>
    <row r="267" spans="2:14">
      <c r="B267" s="57"/>
      <c r="C267" s="60"/>
      <c r="D267" s="60"/>
      <c r="E267" s="60"/>
      <c r="F267" s="60"/>
      <c r="G267" s="60"/>
      <c r="J267" s="99"/>
      <c r="K267" s="99"/>
      <c r="L267" s="99"/>
      <c r="M267" s="99"/>
      <c r="N267" s="43">
        <f t="shared" ref="N267:N330" si="4">IF($L$4=$C$10,C267,IF(D267="","",B267))</f>
        <v>0</v>
      </c>
    </row>
    <row r="268" spans="2:14">
      <c r="B268" s="57"/>
      <c r="C268" s="60"/>
      <c r="D268" s="60"/>
      <c r="E268" s="60"/>
      <c r="F268" s="60"/>
      <c r="G268" s="60"/>
      <c r="J268" s="99"/>
      <c r="K268" s="99"/>
      <c r="L268" s="99"/>
      <c r="M268" s="99"/>
      <c r="N268" s="43">
        <f t="shared" si="4"/>
        <v>0</v>
      </c>
    </row>
    <row r="269" spans="2:14">
      <c r="B269" s="57"/>
      <c r="C269" s="60"/>
      <c r="D269" s="60"/>
      <c r="E269" s="60"/>
      <c r="F269" s="60"/>
      <c r="G269" s="60"/>
      <c r="J269" s="99"/>
      <c r="K269" s="99"/>
      <c r="L269" s="99"/>
      <c r="M269" s="99"/>
      <c r="N269" s="43">
        <f t="shared" si="4"/>
        <v>0</v>
      </c>
    </row>
    <row r="270" spans="2:14">
      <c r="B270" s="57"/>
      <c r="C270" s="60"/>
      <c r="D270" s="60"/>
      <c r="E270" s="60"/>
      <c r="F270" s="60"/>
      <c r="G270" s="60"/>
      <c r="J270" s="99"/>
      <c r="K270" s="99"/>
      <c r="L270" s="99"/>
      <c r="M270" s="99"/>
      <c r="N270" s="43">
        <f t="shared" si="4"/>
        <v>0</v>
      </c>
    </row>
    <row r="271" spans="2:14">
      <c r="B271" s="57"/>
      <c r="C271" s="60"/>
      <c r="D271" s="60"/>
      <c r="E271" s="60"/>
      <c r="F271" s="60"/>
      <c r="G271" s="60"/>
      <c r="J271" s="99"/>
      <c r="K271" s="99"/>
      <c r="L271" s="99"/>
      <c r="M271" s="99"/>
      <c r="N271" s="43">
        <f t="shared" si="4"/>
        <v>0</v>
      </c>
    </row>
    <row r="272" spans="2:14">
      <c r="B272" s="57"/>
      <c r="C272" s="60"/>
      <c r="D272" s="60"/>
      <c r="E272" s="60"/>
      <c r="F272" s="60"/>
      <c r="G272" s="60"/>
      <c r="J272" s="99"/>
      <c r="K272" s="99"/>
      <c r="L272" s="99"/>
      <c r="M272" s="99"/>
      <c r="N272" s="43">
        <f t="shared" si="4"/>
        <v>0</v>
      </c>
    </row>
    <row r="273" spans="2:14">
      <c r="B273" s="57"/>
      <c r="C273" s="60"/>
      <c r="D273" s="60"/>
      <c r="E273" s="60"/>
      <c r="F273" s="60"/>
      <c r="G273" s="60"/>
      <c r="J273" s="99"/>
      <c r="K273" s="99"/>
      <c r="L273" s="99"/>
      <c r="M273" s="99"/>
      <c r="N273" s="43">
        <f t="shared" si="4"/>
        <v>0</v>
      </c>
    </row>
    <row r="274" spans="2:14">
      <c r="B274" s="57"/>
      <c r="C274" s="60"/>
      <c r="D274" s="60"/>
      <c r="E274" s="60"/>
      <c r="F274" s="60"/>
      <c r="G274" s="60"/>
      <c r="J274" s="99"/>
      <c r="K274" s="99"/>
      <c r="L274" s="99"/>
      <c r="M274" s="99"/>
      <c r="N274" s="43">
        <f t="shared" si="4"/>
        <v>0</v>
      </c>
    </row>
    <row r="275" spans="2:14">
      <c r="B275" s="57"/>
      <c r="C275" s="60"/>
      <c r="D275" s="60"/>
      <c r="E275" s="60"/>
      <c r="F275" s="60"/>
      <c r="G275" s="60"/>
      <c r="J275" s="99"/>
      <c r="K275" s="99"/>
      <c r="L275" s="99"/>
      <c r="M275" s="99"/>
      <c r="N275" s="43">
        <f t="shared" si="4"/>
        <v>0</v>
      </c>
    </row>
    <row r="276" spans="2:14">
      <c r="B276" s="57"/>
      <c r="C276" s="60"/>
      <c r="D276" s="60"/>
      <c r="E276" s="60"/>
      <c r="F276" s="60"/>
      <c r="G276" s="60"/>
      <c r="J276" s="99"/>
      <c r="K276" s="99"/>
      <c r="L276" s="99"/>
      <c r="M276" s="99"/>
      <c r="N276" s="43">
        <f t="shared" si="4"/>
        <v>0</v>
      </c>
    </row>
    <row r="277" spans="2:14">
      <c r="B277" s="57"/>
      <c r="C277" s="60"/>
      <c r="D277" s="60"/>
      <c r="E277" s="60"/>
      <c r="F277" s="60"/>
      <c r="G277" s="60"/>
      <c r="J277" s="99"/>
      <c r="K277" s="99"/>
      <c r="L277" s="99"/>
      <c r="M277" s="99"/>
      <c r="N277" s="43">
        <f t="shared" si="4"/>
        <v>0</v>
      </c>
    </row>
    <row r="278" spans="2:14">
      <c r="B278" s="57"/>
      <c r="C278" s="60"/>
      <c r="D278" s="60"/>
      <c r="E278" s="60"/>
      <c r="F278" s="60"/>
      <c r="G278" s="60"/>
      <c r="J278" s="99"/>
      <c r="K278" s="99"/>
      <c r="L278" s="99"/>
      <c r="M278" s="99"/>
      <c r="N278" s="43">
        <f t="shared" si="4"/>
        <v>0</v>
      </c>
    </row>
    <row r="279" spans="2:14">
      <c r="B279" s="57"/>
      <c r="C279" s="60"/>
      <c r="D279" s="60"/>
      <c r="E279" s="60"/>
      <c r="F279" s="60"/>
      <c r="G279" s="60"/>
      <c r="J279" s="99"/>
      <c r="K279" s="99"/>
      <c r="L279" s="99"/>
      <c r="M279" s="99"/>
      <c r="N279" s="43">
        <f t="shared" si="4"/>
        <v>0</v>
      </c>
    </row>
    <row r="280" spans="2:14">
      <c r="B280" s="57"/>
      <c r="C280" s="60"/>
      <c r="D280" s="60"/>
      <c r="E280" s="60"/>
      <c r="F280" s="60"/>
      <c r="G280" s="60"/>
      <c r="J280" s="99"/>
      <c r="K280" s="99"/>
      <c r="L280" s="99"/>
      <c r="M280" s="99"/>
      <c r="N280" s="43">
        <f t="shared" si="4"/>
        <v>0</v>
      </c>
    </row>
    <row r="281" spans="2:14">
      <c r="B281" s="57"/>
      <c r="C281" s="60"/>
      <c r="D281" s="60"/>
      <c r="E281" s="60"/>
      <c r="F281" s="60"/>
      <c r="G281" s="60"/>
      <c r="J281" s="99"/>
      <c r="K281" s="99"/>
      <c r="L281" s="99"/>
      <c r="M281" s="99"/>
      <c r="N281" s="43">
        <f t="shared" si="4"/>
        <v>0</v>
      </c>
    </row>
    <row r="282" spans="2:14">
      <c r="B282" s="57"/>
      <c r="C282" s="60"/>
      <c r="D282" s="60"/>
      <c r="E282" s="60"/>
      <c r="F282" s="60"/>
      <c r="G282" s="60"/>
      <c r="J282" s="99"/>
      <c r="K282" s="99"/>
      <c r="L282" s="99"/>
      <c r="M282" s="99"/>
      <c r="N282" s="43">
        <f t="shared" si="4"/>
        <v>0</v>
      </c>
    </row>
    <row r="283" spans="2:14">
      <c r="B283" s="57"/>
      <c r="C283" s="60"/>
      <c r="D283" s="60"/>
      <c r="E283" s="60"/>
      <c r="F283" s="60"/>
      <c r="G283" s="60"/>
      <c r="J283" s="99"/>
      <c r="K283" s="99"/>
      <c r="L283" s="99"/>
      <c r="M283" s="99"/>
      <c r="N283" s="43">
        <f t="shared" si="4"/>
        <v>0</v>
      </c>
    </row>
    <row r="284" spans="2:14">
      <c r="B284" s="57"/>
      <c r="C284" s="60"/>
      <c r="D284" s="60"/>
      <c r="E284" s="60"/>
      <c r="F284" s="60"/>
      <c r="G284" s="60"/>
      <c r="J284" s="99"/>
      <c r="K284" s="99"/>
      <c r="L284" s="99"/>
      <c r="M284" s="99"/>
      <c r="N284" s="43">
        <f t="shared" si="4"/>
        <v>0</v>
      </c>
    </row>
    <row r="285" spans="2:14">
      <c r="B285" s="57"/>
      <c r="C285" s="60"/>
      <c r="D285" s="60"/>
      <c r="E285" s="60"/>
      <c r="F285" s="60"/>
      <c r="G285" s="60"/>
      <c r="J285" s="99"/>
      <c r="K285" s="99"/>
      <c r="L285" s="99"/>
      <c r="M285" s="99"/>
      <c r="N285" s="43">
        <f t="shared" si="4"/>
        <v>0</v>
      </c>
    </row>
    <row r="286" spans="2:14">
      <c r="B286" s="57"/>
      <c r="C286" s="60"/>
      <c r="D286" s="60"/>
      <c r="E286" s="60"/>
      <c r="F286" s="60"/>
      <c r="G286" s="60"/>
      <c r="J286" s="99"/>
      <c r="K286" s="99"/>
      <c r="L286" s="99"/>
      <c r="M286" s="99"/>
      <c r="N286" s="43">
        <f t="shared" si="4"/>
        <v>0</v>
      </c>
    </row>
    <row r="287" spans="2:14">
      <c r="B287" s="57"/>
      <c r="C287" s="60"/>
      <c r="D287" s="60"/>
      <c r="E287" s="60"/>
      <c r="F287" s="60"/>
      <c r="G287" s="60"/>
      <c r="J287" s="99"/>
      <c r="K287" s="99"/>
      <c r="L287" s="99"/>
      <c r="M287" s="99"/>
      <c r="N287" s="43">
        <f t="shared" si="4"/>
        <v>0</v>
      </c>
    </row>
    <row r="288" spans="2:14">
      <c r="B288" s="57"/>
      <c r="C288" s="60"/>
      <c r="D288" s="60"/>
      <c r="E288" s="60"/>
      <c r="F288" s="60"/>
      <c r="G288" s="60"/>
      <c r="J288" s="99"/>
      <c r="K288" s="99"/>
      <c r="L288" s="99"/>
      <c r="M288" s="99"/>
      <c r="N288" s="43">
        <f t="shared" si="4"/>
        <v>0</v>
      </c>
    </row>
    <row r="289" spans="2:14">
      <c r="B289" s="57"/>
      <c r="C289" s="60"/>
      <c r="D289" s="60"/>
      <c r="E289" s="60"/>
      <c r="F289" s="60"/>
      <c r="G289" s="60"/>
      <c r="J289" s="99"/>
      <c r="K289" s="99"/>
      <c r="L289" s="99"/>
      <c r="M289" s="99"/>
      <c r="N289" s="43">
        <f t="shared" si="4"/>
        <v>0</v>
      </c>
    </row>
    <row r="290" spans="2:14">
      <c r="B290" s="57"/>
      <c r="C290" s="60"/>
      <c r="D290" s="60"/>
      <c r="E290" s="60"/>
      <c r="F290" s="60"/>
      <c r="G290" s="60"/>
      <c r="J290" s="99"/>
      <c r="K290" s="99"/>
      <c r="L290" s="99"/>
      <c r="M290" s="99"/>
      <c r="N290" s="43">
        <f t="shared" si="4"/>
        <v>0</v>
      </c>
    </row>
    <row r="291" spans="2:14">
      <c r="B291" s="57"/>
      <c r="C291" s="60"/>
      <c r="D291" s="60"/>
      <c r="E291" s="60"/>
      <c r="F291" s="60"/>
      <c r="G291" s="60"/>
      <c r="J291" s="99"/>
      <c r="K291" s="99"/>
      <c r="L291" s="99"/>
      <c r="M291" s="99"/>
      <c r="N291" s="43">
        <f t="shared" si="4"/>
        <v>0</v>
      </c>
    </row>
    <row r="292" spans="2:14">
      <c r="B292" s="57"/>
      <c r="C292" s="60"/>
      <c r="D292" s="60"/>
      <c r="E292" s="60"/>
      <c r="F292" s="60"/>
      <c r="G292" s="60"/>
      <c r="J292" s="99"/>
      <c r="K292" s="99"/>
      <c r="L292" s="99"/>
      <c r="M292" s="99"/>
      <c r="N292" s="43">
        <f t="shared" si="4"/>
        <v>0</v>
      </c>
    </row>
    <row r="293" spans="2:14">
      <c r="B293" s="57"/>
      <c r="C293" s="60"/>
      <c r="D293" s="60"/>
      <c r="E293" s="60"/>
      <c r="F293" s="60"/>
      <c r="G293" s="60"/>
      <c r="J293" s="99"/>
      <c r="K293" s="99"/>
      <c r="L293" s="99"/>
      <c r="M293" s="99"/>
      <c r="N293" s="43">
        <f t="shared" si="4"/>
        <v>0</v>
      </c>
    </row>
    <row r="294" spans="2:14">
      <c r="B294" s="57"/>
      <c r="C294" s="60"/>
      <c r="D294" s="60"/>
      <c r="E294" s="60"/>
      <c r="F294" s="60"/>
      <c r="G294" s="60"/>
      <c r="J294" s="99"/>
      <c r="K294" s="99"/>
      <c r="L294" s="99"/>
      <c r="M294" s="99"/>
      <c r="N294" s="43">
        <f t="shared" si="4"/>
        <v>0</v>
      </c>
    </row>
    <row r="295" spans="2:14">
      <c r="B295" s="57"/>
      <c r="C295" s="60"/>
      <c r="D295" s="60"/>
      <c r="E295" s="60"/>
      <c r="F295" s="60"/>
      <c r="G295" s="60"/>
      <c r="J295" s="99"/>
      <c r="K295" s="99"/>
      <c r="L295" s="99"/>
      <c r="M295" s="99"/>
      <c r="N295" s="43">
        <f t="shared" si="4"/>
        <v>0</v>
      </c>
    </row>
    <row r="296" spans="2:14">
      <c r="B296" s="57"/>
      <c r="C296" s="60"/>
      <c r="D296" s="60"/>
      <c r="E296" s="60"/>
      <c r="F296" s="60"/>
      <c r="G296" s="60"/>
      <c r="J296" s="99"/>
      <c r="K296" s="99"/>
      <c r="L296" s="99"/>
      <c r="M296" s="99"/>
      <c r="N296" s="43">
        <f t="shared" si="4"/>
        <v>0</v>
      </c>
    </row>
    <row r="297" spans="2:14">
      <c r="B297" s="57"/>
      <c r="C297" s="60"/>
      <c r="D297" s="60"/>
      <c r="E297" s="60"/>
      <c r="F297" s="60"/>
      <c r="G297" s="60"/>
      <c r="J297" s="99"/>
      <c r="K297" s="99"/>
      <c r="L297" s="99"/>
      <c r="M297" s="99"/>
      <c r="N297" s="43">
        <f t="shared" si="4"/>
        <v>0</v>
      </c>
    </row>
    <row r="298" spans="2:14">
      <c r="B298" s="57"/>
      <c r="C298" s="60"/>
      <c r="D298" s="60"/>
      <c r="E298" s="60"/>
      <c r="F298" s="60"/>
      <c r="G298" s="60"/>
      <c r="J298" s="99"/>
      <c r="K298" s="99"/>
      <c r="L298" s="99"/>
      <c r="M298" s="99"/>
      <c r="N298" s="43">
        <f t="shared" si="4"/>
        <v>0</v>
      </c>
    </row>
    <row r="299" spans="2:14">
      <c r="B299" s="57"/>
      <c r="C299" s="60"/>
      <c r="D299" s="60"/>
      <c r="E299" s="60"/>
      <c r="F299" s="60"/>
      <c r="G299" s="60"/>
      <c r="J299" s="99"/>
      <c r="K299" s="99"/>
      <c r="L299" s="99"/>
      <c r="M299" s="99"/>
      <c r="N299" s="43">
        <f t="shared" si="4"/>
        <v>0</v>
      </c>
    </row>
    <row r="300" spans="2:14">
      <c r="B300" s="57"/>
      <c r="C300" s="60"/>
      <c r="D300" s="60"/>
      <c r="E300" s="60"/>
      <c r="F300" s="60"/>
      <c r="G300" s="60"/>
      <c r="J300" s="99"/>
      <c r="K300" s="99"/>
      <c r="L300" s="99"/>
      <c r="M300" s="99"/>
      <c r="N300" s="43">
        <f t="shared" si="4"/>
        <v>0</v>
      </c>
    </row>
    <row r="301" spans="2:14">
      <c r="B301" s="57"/>
      <c r="C301" s="60"/>
      <c r="D301" s="60"/>
      <c r="E301" s="60"/>
      <c r="F301" s="60"/>
      <c r="G301" s="60"/>
      <c r="J301" s="99"/>
      <c r="K301" s="99"/>
      <c r="L301" s="99"/>
      <c r="M301" s="99"/>
      <c r="N301" s="43">
        <f t="shared" si="4"/>
        <v>0</v>
      </c>
    </row>
    <row r="302" spans="2:14">
      <c r="B302" s="57"/>
      <c r="C302" s="60"/>
      <c r="D302" s="60"/>
      <c r="E302" s="60"/>
      <c r="F302" s="60"/>
      <c r="G302" s="60"/>
      <c r="J302" s="99"/>
      <c r="K302" s="99"/>
      <c r="L302" s="99"/>
      <c r="M302" s="99"/>
      <c r="N302" s="43">
        <f t="shared" si="4"/>
        <v>0</v>
      </c>
    </row>
    <row r="303" spans="2:14">
      <c r="B303" s="57"/>
      <c r="C303" s="60"/>
      <c r="D303" s="60"/>
      <c r="E303" s="60"/>
      <c r="F303" s="60"/>
      <c r="G303" s="60"/>
      <c r="J303" s="99"/>
      <c r="K303" s="99"/>
      <c r="L303" s="99"/>
      <c r="M303" s="99"/>
      <c r="N303" s="43">
        <f t="shared" si="4"/>
        <v>0</v>
      </c>
    </row>
    <row r="304" spans="2:14">
      <c r="B304" s="57"/>
      <c r="C304" s="60"/>
      <c r="D304" s="60"/>
      <c r="E304" s="60"/>
      <c r="F304" s="60"/>
      <c r="G304" s="60"/>
      <c r="J304" s="99"/>
      <c r="K304" s="99"/>
      <c r="L304" s="99"/>
      <c r="M304" s="99"/>
      <c r="N304" s="43">
        <f t="shared" si="4"/>
        <v>0</v>
      </c>
    </row>
    <row r="305" spans="2:14">
      <c r="B305" s="57"/>
      <c r="C305" s="60"/>
      <c r="D305" s="60"/>
      <c r="E305" s="60"/>
      <c r="F305" s="60"/>
      <c r="G305" s="60"/>
      <c r="J305" s="99"/>
      <c r="K305" s="99"/>
      <c r="L305" s="99"/>
      <c r="M305" s="99"/>
      <c r="N305" s="43">
        <f t="shared" si="4"/>
        <v>0</v>
      </c>
    </row>
    <row r="306" spans="2:14">
      <c r="B306" s="57"/>
      <c r="C306" s="60"/>
      <c r="D306" s="60"/>
      <c r="E306" s="60"/>
      <c r="F306" s="60"/>
      <c r="G306" s="60"/>
      <c r="J306" s="99"/>
      <c r="K306" s="99"/>
      <c r="L306" s="99"/>
      <c r="M306" s="99"/>
      <c r="N306" s="43">
        <f t="shared" si="4"/>
        <v>0</v>
      </c>
    </row>
    <row r="307" spans="2:14">
      <c r="B307" s="57"/>
      <c r="C307" s="60"/>
      <c r="D307" s="60"/>
      <c r="E307" s="60"/>
      <c r="F307" s="60"/>
      <c r="G307" s="60"/>
      <c r="J307" s="99"/>
      <c r="K307" s="99"/>
      <c r="L307" s="99"/>
      <c r="M307" s="99"/>
      <c r="N307" s="43">
        <f t="shared" si="4"/>
        <v>0</v>
      </c>
    </row>
    <row r="308" spans="2:14">
      <c r="B308" s="57"/>
      <c r="C308" s="60"/>
      <c r="D308" s="60"/>
      <c r="E308" s="60"/>
      <c r="F308" s="60"/>
      <c r="G308" s="60"/>
      <c r="J308" s="99"/>
      <c r="K308" s="99"/>
      <c r="L308" s="99"/>
      <c r="M308" s="99"/>
      <c r="N308" s="43">
        <f t="shared" si="4"/>
        <v>0</v>
      </c>
    </row>
    <row r="309" spans="2:14">
      <c r="B309" s="57"/>
      <c r="C309" s="60"/>
      <c r="D309" s="60"/>
      <c r="E309" s="60"/>
      <c r="F309" s="60"/>
      <c r="G309" s="60"/>
      <c r="J309" s="99"/>
      <c r="K309" s="99"/>
      <c r="L309" s="99"/>
      <c r="M309" s="99"/>
      <c r="N309" s="43">
        <f t="shared" si="4"/>
        <v>0</v>
      </c>
    </row>
    <row r="310" spans="2:14">
      <c r="B310" s="57"/>
      <c r="C310" s="60"/>
      <c r="D310" s="60"/>
      <c r="E310" s="60"/>
      <c r="F310" s="60"/>
      <c r="G310" s="60"/>
      <c r="J310" s="99"/>
      <c r="K310" s="99"/>
      <c r="L310" s="99"/>
      <c r="M310" s="99"/>
      <c r="N310" s="43">
        <f t="shared" si="4"/>
        <v>0</v>
      </c>
    </row>
    <row r="311" spans="2:14">
      <c r="B311" s="57"/>
      <c r="C311" s="60"/>
      <c r="D311" s="60"/>
      <c r="E311" s="60"/>
      <c r="F311" s="60"/>
      <c r="G311" s="60"/>
      <c r="J311" s="99"/>
      <c r="K311" s="99"/>
      <c r="L311" s="99"/>
      <c r="M311" s="99"/>
      <c r="N311" s="43">
        <f t="shared" si="4"/>
        <v>0</v>
      </c>
    </row>
    <row r="312" spans="2:14">
      <c r="B312" s="57"/>
      <c r="C312" s="60"/>
      <c r="D312" s="60"/>
      <c r="E312" s="60"/>
      <c r="F312" s="60"/>
      <c r="G312" s="60"/>
      <c r="J312" s="99"/>
      <c r="K312" s="99"/>
      <c r="L312" s="99"/>
      <c r="M312" s="99"/>
      <c r="N312" s="43">
        <f t="shared" si="4"/>
        <v>0</v>
      </c>
    </row>
    <row r="313" spans="2:14">
      <c r="B313" s="57"/>
      <c r="C313" s="60"/>
      <c r="D313" s="60"/>
      <c r="E313" s="60"/>
      <c r="F313" s="60"/>
      <c r="G313" s="60"/>
      <c r="J313" s="99"/>
      <c r="K313" s="99"/>
      <c r="L313" s="99"/>
      <c r="M313" s="99"/>
      <c r="N313" s="43">
        <f t="shared" si="4"/>
        <v>0</v>
      </c>
    </row>
    <row r="314" spans="2:14">
      <c r="B314" s="57"/>
      <c r="C314" s="60"/>
      <c r="D314" s="60"/>
      <c r="E314" s="60"/>
      <c r="F314" s="60"/>
      <c r="G314" s="60"/>
      <c r="J314" s="99"/>
      <c r="K314" s="99"/>
      <c r="L314" s="99"/>
      <c r="M314" s="99"/>
      <c r="N314" s="43">
        <f t="shared" si="4"/>
        <v>0</v>
      </c>
    </row>
    <row r="315" spans="2:14">
      <c r="B315" s="57"/>
      <c r="C315" s="60"/>
      <c r="D315" s="60"/>
      <c r="E315" s="60"/>
      <c r="F315" s="60"/>
      <c r="G315" s="60"/>
      <c r="J315" s="99"/>
      <c r="K315" s="99"/>
      <c r="L315" s="99"/>
      <c r="M315" s="99"/>
      <c r="N315" s="43">
        <f t="shared" si="4"/>
        <v>0</v>
      </c>
    </row>
    <row r="316" spans="2:14">
      <c r="B316" s="57"/>
      <c r="C316" s="60"/>
      <c r="D316" s="60"/>
      <c r="E316" s="60"/>
      <c r="F316" s="60"/>
      <c r="G316" s="60"/>
      <c r="J316" s="99"/>
      <c r="K316" s="99"/>
      <c r="L316" s="99"/>
      <c r="M316" s="99"/>
      <c r="N316" s="43">
        <f t="shared" si="4"/>
        <v>0</v>
      </c>
    </row>
    <row r="317" spans="2:14">
      <c r="B317" s="57"/>
      <c r="C317" s="60"/>
      <c r="D317" s="60"/>
      <c r="E317" s="60"/>
      <c r="F317" s="60"/>
      <c r="G317" s="60"/>
      <c r="J317" s="99"/>
      <c r="K317" s="99"/>
      <c r="L317" s="99"/>
      <c r="M317" s="99"/>
      <c r="N317" s="43">
        <f t="shared" si="4"/>
        <v>0</v>
      </c>
    </row>
    <row r="318" spans="2:14">
      <c r="B318" s="57"/>
      <c r="C318" s="60"/>
      <c r="D318" s="60"/>
      <c r="E318" s="60"/>
      <c r="F318" s="60"/>
      <c r="G318" s="60"/>
      <c r="J318" s="99"/>
      <c r="K318" s="99"/>
      <c r="L318" s="99"/>
      <c r="M318" s="99"/>
      <c r="N318" s="43">
        <f t="shared" si="4"/>
        <v>0</v>
      </c>
    </row>
    <row r="319" spans="2:14">
      <c r="B319" s="57"/>
      <c r="C319" s="60"/>
      <c r="D319" s="60"/>
      <c r="E319" s="60"/>
      <c r="F319" s="60"/>
      <c r="G319" s="60"/>
      <c r="J319" s="99"/>
      <c r="K319" s="99"/>
      <c r="L319" s="99"/>
      <c r="M319" s="99"/>
      <c r="N319" s="43">
        <f t="shared" si="4"/>
        <v>0</v>
      </c>
    </row>
    <row r="320" spans="2:14">
      <c r="B320" s="57"/>
      <c r="C320" s="60"/>
      <c r="D320" s="60"/>
      <c r="E320" s="60"/>
      <c r="F320" s="60"/>
      <c r="G320" s="60"/>
      <c r="J320" s="99"/>
      <c r="K320" s="99"/>
      <c r="L320" s="99"/>
      <c r="M320" s="99"/>
      <c r="N320" s="43">
        <f t="shared" si="4"/>
        <v>0</v>
      </c>
    </row>
    <row r="321" spans="2:14">
      <c r="B321" s="57"/>
      <c r="C321" s="60"/>
      <c r="D321" s="60"/>
      <c r="E321" s="60"/>
      <c r="F321" s="60"/>
      <c r="G321" s="60"/>
      <c r="J321" s="99"/>
      <c r="K321" s="99"/>
      <c r="L321" s="99"/>
      <c r="M321" s="99"/>
      <c r="N321" s="43">
        <f t="shared" si="4"/>
        <v>0</v>
      </c>
    </row>
    <row r="322" spans="2:14">
      <c r="B322" s="57"/>
      <c r="C322" s="60"/>
      <c r="D322" s="60"/>
      <c r="E322" s="60"/>
      <c r="F322" s="60"/>
      <c r="G322" s="60"/>
      <c r="J322" s="99"/>
      <c r="K322" s="99"/>
      <c r="L322" s="99"/>
      <c r="M322" s="99"/>
      <c r="N322" s="43">
        <f t="shared" si="4"/>
        <v>0</v>
      </c>
    </row>
    <row r="323" spans="2:14">
      <c r="B323" s="57"/>
      <c r="C323" s="60"/>
      <c r="D323" s="60"/>
      <c r="E323" s="60"/>
      <c r="F323" s="60"/>
      <c r="G323" s="60"/>
      <c r="J323" s="99"/>
      <c r="K323" s="99"/>
      <c r="L323" s="99"/>
      <c r="M323" s="99"/>
      <c r="N323" s="43">
        <f t="shared" si="4"/>
        <v>0</v>
      </c>
    </row>
    <row r="324" spans="2:14">
      <c r="B324" s="57"/>
      <c r="C324" s="60"/>
      <c r="D324" s="60"/>
      <c r="E324" s="60"/>
      <c r="F324" s="60"/>
      <c r="G324" s="60"/>
      <c r="J324" s="99"/>
      <c r="K324" s="99"/>
      <c r="L324" s="99"/>
      <c r="M324" s="99"/>
      <c r="N324" s="43">
        <f t="shared" si="4"/>
        <v>0</v>
      </c>
    </row>
    <row r="325" spans="2:14">
      <c r="B325" s="57"/>
      <c r="C325" s="60"/>
      <c r="D325" s="60"/>
      <c r="E325" s="60"/>
      <c r="F325" s="60"/>
      <c r="G325" s="60"/>
      <c r="J325" s="99"/>
      <c r="K325" s="99"/>
      <c r="L325" s="99"/>
      <c r="M325" s="99"/>
      <c r="N325" s="43">
        <f t="shared" si="4"/>
        <v>0</v>
      </c>
    </row>
    <row r="326" spans="2:14">
      <c r="B326" s="57"/>
      <c r="C326" s="60"/>
      <c r="D326" s="60"/>
      <c r="E326" s="60"/>
      <c r="F326" s="60"/>
      <c r="G326" s="60"/>
      <c r="J326" s="99"/>
      <c r="K326" s="99"/>
      <c r="L326" s="99"/>
      <c r="M326" s="99"/>
      <c r="N326" s="43">
        <f t="shared" si="4"/>
        <v>0</v>
      </c>
    </row>
    <row r="327" spans="2:14">
      <c r="B327" s="57"/>
      <c r="C327" s="60"/>
      <c r="D327" s="60"/>
      <c r="E327" s="60"/>
      <c r="F327" s="60"/>
      <c r="G327" s="60"/>
      <c r="J327" s="99"/>
      <c r="K327" s="99"/>
      <c r="L327" s="99"/>
      <c r="M327" s="99"/>
      <c r="N327" s="43">
        <f t="shared" si="4"/>
        <v>0</v>
      </c>
    </row>
    <row r="328" spans="2:14">
      <c r="B328" s="57"/>
      <c r="C328" s="60"/>
      <c r="D328" s="60"/>
      <c r="E328" s="60"/>
      <c r="F328" s="60"/>
      <c r="G328" s="60"/>
      <c r="J328" s="99"/>
      <c r="K328" s="99"/>
      <c r="L328" s="99"/>
      <c r="M328" s="99"/>
      <c r="N328" s="43">
        <f t="shared" si="4"/>
        <v>0</v>
      </c>
    </row>
    <row r="329" spans="2:14">
      <c r="B329" s="57"/>
      <c r="C329" s="60"/>
      <c r="D329" s="60"/>
      <c r="E329" s="60"/>
      <c r="F329" s="60"/>
      <c r="G329" s="60"/>
      <c r="J329" s="99"/>
      <c r="K329" s="99"/>
      <c r="L329" s="99"/>
      <c r="M329" s="99"/>
      <c r="N329" s="43">
        <f t="shared" si="4"/>
        <v>0</v>
      </c>
    </row>
    <row r="330" spans="2:14">
      <c r="B330" s="57"/>
      <c r="C330" s="60"/>
      <c r="D330" s="60"/>
      <c r="E330" s="60"/>
      <c r="F330" s="60"/>
      <c r="G330" s="60"/>
      <c r="J330" s="99"/>
      <c r="K330" s="99"/>
      <c r="L330" s="99"/>
      <c r="M330" s="99"/>
      <c r="N330" s="43">
        <f t="shared" si="4"/>
        <v>0</v>
      </c>
    </row>
    <row r="331" spans="2:14">
      <c r="B331" s="57"/>
      <c r="C331" s="60"/>
      <c r="D331" s="60"/>
      <c r="E331" s="60"/>
      <c r="F331" s="60"/>
      <c r="G331" s="60"/>
      <c r="J331" s="99"/>
      <c r="K331" s="99"/>
      <c r="L331" s="99"/>
      <c r="M331" s="99"/>
      <c r="N331" s="43">
        <f t="shared" ref="N331:N394" si="5">IF($L$4=$C$10,C331,IF(D331="","",B331))</f>
        <v>0</v>
      </c>
    </row>
    <row r="332" spans="2:14">
      <c r="B332" s="57"/>
      <c r="C332" s="60"/>
      <c r="D332" s="60"/>
      <c r="E332" s="60"/>
      <c r="F332" s="60"/>
      <c r="G332" s="60"/>
      <c r="J332" s="99"/>
      <c r="K332" s="99"/>
      <c r="L332" s="99"/>
      <c r="M332" s="99"/>
      <c r="N332" s="43">
        <f t="shared" si="5"/>
        <v>0</v>
      </c>
    </row>
    <row r="333" spans="2:14">
      <c r="B333" s="57"/>
      <c r="C333" s="60"/>
      <c r="D333" s="60"/>
      <c r="E333" s="60"/>
      <c r="F333" s="60"/>
      <c r="G333" s="60"/>
      <c r="J333" s="99"/>
      <c r="K333" s="99"/>
      <c r="L333" s="99"/>
      <c r="M333" s="99"/>
      <c r="N333" s="43">
        <f t="shared" si="5"/>
        <v>0</v>
      </c>
    </row>
    <row r="334" spans="2:14">
      <c r="B334" s="57"/>
      <c r="C334" s="60"/>
      <c r="D334" s="60"/>
      <c r="E334" s="60"/>
      <c r="F334" s="60"/>
      <c r="G334" s="60"/>
      <c r="J334" s="99"/>
      <c r="K334" s="99"/>
      <c r="L334" s="99"/>
      <c r="M334" s="99"/>
      <c r="N334" s="43">
        <f t="shared" si="5"/>
        <v>0</v>
      </c>
    </row>
    <row r="335" spans="2:14">
      <c r="B335" s="57"/>
      <c r="C335" s="60"/>
      <c r="D335" s="60"/>
      <c r="E335" s="60"/>
      <c r="F335" s="60"/>
      <c r="G335" s="60"/>
      <c r="J335" s="99"/>
      <c r="K335" s="99"/>
      <c r="L335" s="99"/>
      <c r="M335" s="99"/>
      <c r="N335" s="43">
        <f t="shared" si="5"/>
        <v>0</v>
      </c>
    </row>
    <row r="336" spans="2:14">
      <c r="B336" s="57"/>
      <c r="C336" s="60"/>
      <c r="D336" s="60"/>
      <c r="E336" s="60"/>
      <c r="F336" s="60"/>
      <c r="G336" s="60"/>
      <c r="J336" s="99"/>
      <c r="K336" s="99"/>
      <c r="L336" s="99"/>
      <c r="M336" s="99"/>
      <c r="N336" s="43">
        <f t="shared" si="5"/>
        <v>0</v>
      </c>
    </row>
    <row r="337" spans="2:14">
      <c r="B337" s="57"/>
      <c r="C337" s="60"/>
      <c r="D337" s="60"/>
      <c r="E337" s="60"/>
      <c r="F337" s="60"/>
      <c r="G337" s="60"/>
      <c r="J337" s="99"/>
      <c r="K337" s="99"/>
      <c r="L337" s="99"/>
      <c r="M337" s="99"/>
      <c r="N337" s="43">
        <f t="shared" si="5"/>
        <v>0</v>
      </c>
    </row>
    <row r="338" spans="2:14">
      <c r="B338" s="57"/>
      <c r="C338" s="60"/>
      <c r="D338" s="60"/>
      <c r="E338" s="60"/>
      <c r="F338" s="60"/>
      <c r="G338" s="60"/>
      <c r="J338" s="99"/>
      <c r="K338" s="99"/>
      <c r="L338" s="99"/>
      <c r="M338" s="99"/>
      <c r="N338" s="43">
        <f t="shared" si="5"/>
        <v>0</v>
      </c>
    </row>
    <row r="339" spans="2:14">
      <c r="B339" s="57"/>
      <c r="C339" s="60"/>
      <c r="D339" s="60"/>
      <c r="E339" s="60"/>
      <c r="F339" s="60"/>
      <c r="G339" s="60"/>
      <c r="J339" s="99"/>
      <c r="K339" s="99"/>
      <c r="L339" s="99"/>
      <c r="M339" s="99"/>
      <c r="N339" s="43">
        <f t="shared" si="5"/>
        <v>0</v>
      </c>
    </row>
    <row r="340" spans="2:14">
      <c r="B340" s="57"/>
      <c r="C340" s="60"/>
      <c r="D340" s="60"/>
      <c r="E340" s="60"/>
      <c r="F340" s="60"/>
      <c r="G340" s="60"/>
      <c r="J340" s="99"/>
      <c r="K340" s="99"/>
      <c r="L340" s="99"/>
      <c r="M340" s="99"/>
      <c r="N340" s="43">
        <f t="shared" si="5"/>
        <v>0</v>
      </c>
    </row>
    <row r="341" spans="2:14">
      <c r="B341" s="57"/>
      <c r="C341" s="60"/>
      <c r="D341" s="60"/>
      <c r="E341" s="60"/>
      <c r="F341" s="60"/>
      <c r="G341" s="60"/>
      <c r="J341" s="99"/>
      <c r="K341" s="99"/>
      <c r="L341" s="99"/>
      <c r="M341" s="99"/>
      <c r="N341" s="43">
        <f t="shared" si="5"/>
        <v>0</v>
      </c>
    </row>
    <row r="342" spans="2:14">
      <c r="B342" s="57"/>
      <c r="C342" s="60"/>
      <c r="D342" s="60"/>
      <c r="E342" s="60"/>
      <c r="F342" s="60"/>
      <c r="G342" s="60"/>
      <c r="J342" s="99"/>
      <c r="K342" s="99"/>
      <c r="L342" s="99"/>
      <c r="M342" s="99"/>
      <c r="N342" s="43">
        <f t="shared" si="5"/>
        <v>0</v>
      </c>
    </row>
    <row r="343" spans="2:14">
      <c r="B343" s="57"/>
      <c r="C343" s="60"/>
      <c r="D343" s="60"/>
      <c r="E343" s="60"/>
      <c r="F343" s="60"/>
      <c r="G343" s="60"/>
      <c r="J343" s="99"/>
      <c r="K343" s="99"/>
      <c r="L343" s="99"/>
      <c r="M343" s="99"/>
      <c r="N343" s="43">
        <f t="shared" si="5"/>
        <v>0</v>
      </c>
    </row>
    <row r="344" spans="2:14">
      <c r="B344" s="57"/>
      <c r="C344" s="60"/>
      <c r="D344" s="60"/>
      <c r="E344" s="60"/>
      <c r="F344" s="60"/>
      <c r="G344" s="60"/>
      <c r="J344" s="99"/>
      <c r="K344" s="99"/>
      <c r="L344" s="99"/>
      <c r="M344" s="99"/>
      <c r="N344" s="43">
        <f t="shared" si="5"/>
        <v>0</v>
      </c>
    </row>
    <row r="345" spans="2:14">
      <c r="B345" s="57"/>
      <c r="C345" s="60"/>
      <c r="D345" s="60"/>
      <c r="E345" s="60"/>
      <c r="F345" s="60"/>
      <c r="G345" s="60"/>
      <c r="J345" s="99"/>
      <c r="K345" s="99"/>
      <c r="L345" s="99"/>
      <c r="M345" s="99"/>
      <c r="N345" s="43">
        <f t="shared" si="5"/>
        <v>0</v>
      </c>
    </row>
    <row r="346" spans="2:14">
      <c r="B346" s="57"/>
      <c r="C346" s="60"/>
      <c r="D346" s="60"/>
      <c r="E346" s="60"/>
      <c r="F346" s="60"/>
      <c r="G346" s="60"/>
      <c r="J346" s="99"/>
      <c r="K346" s="99"/>
      <c r="L346" s="99"/>
      <c r="M346" s="99"/>
      <c r="N346" s="43">
        <f t="shared" si="5"/>
        <v>0</v>
      </c>
    </row>
    <row r="347" spans="2:14">
      <c r="B347" s="57"/>
      <c r="C347" s="60"/>
      <c r="D347" s="60"/>
      <c r="E347" s="60"/>
      <c r="F347" s="60"/>
      <c r="G347" s="60"/>
      <c r="J347" s="99"/>
      <c r="K347" s="99"/>
      <c r="L347" s="99"/>
      <c r="M347" s="99"/>
      <c r="N347" s="43">
        <f t="shared" si="5"/>
        <v>0</v>
      </c>
    </row>
    <row r="348" spans="2:14">
      <c r="B348" s="57"/>
      <c r="C348" s="60"/>
      <c r="D348" s="60"/>
      <c r="E348" s="60"/>
      <c r="F348" s="60"/>
      <c r="G348" s="60"/>
      <c r="J348" s="99"/>
      <c r="K348" s="99"/>
      <c r="L348" s="99"/>
      <c r="M348" s="99"/>
      <c r="N348" s="43">
        <f t="shared" si="5"/>
        <v>0</v>
      </c>
    </row>
    <row r="349" spans="2:14">
      <c r="B349" s="57"/>
      <c r="C349" s="60"/>
      <c r="D349" s="60"/>
      <c r="E349" s="60"/>
      <c r="F349" s="60"/>
      <c r="G349" s="60"/>
      <c r="J349" s="99"/>
      <c r="K349" s="99"/>
      <c r="L349" s="99"/>
      <c r="M349" s="99"/>
      <c r="N349" s="43">
        <f t="shared" si="5"/>
        <v>0</v>
      </c>
    </row>
    <row r="350" spans="2:14">
      <c r="B350" s="57"/>
      <c r="C350" s="60"/>
      <c r="D350" s="60"/>
      <c r="E350" s="60"/>
      <c r="F350" s="60"/>
      <c r="G350" s="60"/>
      <c r="J350" s="99"/>
      <c r="K350" s="99"/>
      <c r="L350" s="99"/>
      <c r="M350" s="99"/>
      <c r="N350" s="43">
        <f t="shared" si="5"/>
        <v>0</v>
      </c>
    </row>
    <row r="351" spans="2:14">
      <c r="B351" s="57"/>
      <c r="C351" s="60"/>
      <c r="D351" s="60"/>
      <c r="E351" s="60"/>
      <c r="F351" s="60"/>
      <c r="G351" s="60"/>
      <c r="J351" s="99"/>
      <c r="K351" s="99"/>
      <c r="L351" s="99"/>
      <c r="M351" s="99"/>
      <c r="N351" s="43">
        <f t="shared" si="5"/>
        <v>0</v>
      </c>
    </row>
    <row r="352" spans="2:14">
      <c r="B352" s="57"/>
      <c r="C352" s="60"/>
      <c r="D352" s="60"/>
      <c r="E352" s="60"/>
      <c r="F352" s="60"/>
      <c r="G352" s="60"/>
      <c r="J352" s="99"/>
      <c r="K352" s="99"/>
      <c r="L352" s="99"/>
      <c r="M352" s="99"/>
      <c r="N352" s="43">
        <f t="shared" si="5"/>
        <v>0</v>
      </c>
    </row>
    <row r="353" spans="2:14">
      <c r="B353" s="57"/>
      <c r="C353" s="60"/>
      <c r="D353" s="60"/>
      <c r="E353" s="60"/>
      <c r="F353" s="60"/>
      <c r="G353" s="60"/>
      <c r="J353" s="99"/>
      <c r="K353" s="99"/>
      <c r="L353" s="99"/>
      <c r="M353" s="99"/>
      <c r="N353" s="43">
        <f t="shared" si="5"/>
        <v>0</v>
      </c>
    </row>
    <row r="354" spans="2:14">
      <c r="B354" s="57"/>
      <c r="C354" s="60"/>
      <c r="D354" s="60"/>
      <c r="E354" s="60"/>
      <c r="F354" s="60"/>
      <c r="G354" s="60"/>
      <c r="J354" s="99"/>
      <c r="K354" s="99"/>
      <c r="L354" s="99"/>
      <c r="M354" s="99"/>
      <c r="N354" s="43">
        <f t="shared" si="5"/>
        <v>0</v>
      </c>
    </row>
    <row r="355" spans="2:14">
      <c r="B355" s="57"/>
      <c r="C355" s="60"/>
      <c r="D355" s="60"/>
      <c r="E355" s="60"/>
      <c r="F355" s="60"/>
      <c r="G355" s="60"/>
      <c r="J355" s="99"/>
      <c r="K355" s="99"/>
      <c r="L355" s="99"/>
      <c r="M355" s="99"/>
      <c r="N355" s="43">
        <f t="shared" si="5"/>
        <v>0</v>
      </c>
    </row>
    <row r="356" spans="2:14">
      <c r="B356" s="57"/>
      <c r="C356" s="60"/>
      <c r="D356" s="60"/>
      <c r="E356" s="60"/>
      <c r="F356" s="60"/>
      <c r="G356" s="60"/>
      <c r="J356" s="99"/>
      <c r="K356" s="99"/>
      <c r="L356" s="99"/>
      <c r="M356" s="99"/>
      <c r="N356" s="43">
        <f t="shared" si="5"/>
        <v>0</v>
      </c>
    </row>
    <row r="357" spans="2:14">
      <c r="B357" s="57"/>
      <c r="C357" s="60"/>
      <c r="D357" s="60"/>
      <c r="E357" s="60"/>
      <c r="F357" s="60"/>
      <c r="G357" s="60"/>
      <c r="J357" s="99"/>
      <c r="K357" s="99"/>
      <c r="L357" s="99"/>
      <c r="M357" s="99"/>
      <c r="N357" s="43">
        <f t="shared" si="5"/>
        <v>0</v>
      </c>
    </row>
    <row r="358" spans="2:14">
      <c r="B358" s="57"/>
      <c r="C358" s="60"/>
      <c r="D358" s="60"/>
      <c r="E358" s="60"/>
      <c r="F358" s="60"/>
      <c r="G358" s="60"/>
      <c r="J358" s="99"/>
      <c r="K358" s="99"/>
      <c r="L358" s="99"/>
      <c r="M358" s="99"/>
      <c r="N358" s="43">
        <f t="shared" si="5"/>
        <v>0</v>
      </c>
    </row>
    <row r="359" spans="2:14">
      <c r="B359" s="57"/>
      <c r="C359" s="60"/>
      <c r="D359" s="60"/>
      <c r="E359" s="60"/>
      <c r="F359" s="60"/>
      <c r="G359" s="60"/>
      <c r="J359" s="99"/>
      <c r="K359" s="99"/>
      <c r="L359" s="99"/>
      <c r="M359" s="99"/>
      <c r="N359" s="43">
        <f t="shared" si="5"/>
        <v>0</v>
      </c>
    </row>
    <row r="360" spans="2:14">
      <c r="B360" s="57"/>
      <c r="C360" s="60"/>
      <c r="D360" s="60"/>
      <c r="E360" s="60"/>
      <c r="F360" s="60"/>
      <c r="G360" s="60"/>
      <c r="J360" s="99"/>
      <c r="K360" s="99"/>
      <c r="L360" s="99"/>
      <c r="M360" s="99"/>
      <c r="N360" s="43">
        <f t="shared" si="5"/>
        <v>0</v>
      </c>
    </row>
    <row r="361" spans="2:14">
      <c r="B361" s="57"/>
      <c r="C361" s="60"/>
      <c r="D361" s="60"/>
      <c r="E361" s="60"/>
      <c r="F361" s="60"/>
      <c r="G361" s="60"/>
      <c r="J361" s="99"/>
      <c r="K361" s="99"/>
      <c r="L361" s="99"/>
      <c r="M361" s="99"/>
      <c r="N361" s="43">
        <f t="shared" si="5"/>
        <v>0</v>
      </c>
    </row>
    <row r="362" spans="2:14">
      <c r="B362" s="57"/>
      <c r="C362" s="60"/>
      <c r="D362" s="60"/>
      <c r="E362" s="60"/>
      <c r="F362" s="60"/>
      <c r="G362" s="60"/>
      <c r="J362" s="99"/>
      <c r="K362" s="99"/>
      <c r="L362" s="99"/>
      <c r="M362" s="99"/>
      <c r="N362" s="43">
        <f t="shared" si="5"/>
        <v>0</v>
      </c>
    </row>
    <row r="363" spans="2:14">
      <c r="B363" s="57"/>
      <c r="C363" s="60"/>
      <c r="D363" s="60"/>
      <c r="E363" s="60"/>
      <c r="F363" s="60"/>
      <c r="G363" s="60"/>
      <c r="J363" s="99"/>
      <c r="K363" s="99"/>
      <c r="L363" s="99"/>
      <c r="M363" s="99"/>
      <c r="N363" s="43">
        <f t="shared" si="5"/>
        <v>0</v>
      </c>
    </row>
    <row r="364" spans="2:14">
      <c r="B364" s="57"/>
      <c r="C364" s="60"/>
      <c r="D364" s="60"/>
      <c r="E364" s="60"/>
      <c r="F364" s="60"/>
      <c r="G364" s="60"/>
      <c r="J364" s="99"/>
      <c r="K364" s="99"/>
      <c r="L364" s="99"/>
      <c r="M364" s="99"/>
      <c r="N364" s="43">
        <f t="shared" si="5"/>
        <v>0</v>
      </c>
    </row>
    <row r="365" spans="2:14">
      <c r="B365" s="57"/>
      <c r="C365" s="60"/>
      <c r="D365" s="60"/>
      <c r="E365" s="60"/>
      <c r="F365" s="60"/>
      <c r="G365" s="60"/>
      <c r="J365" s="99"/>
      <c r="K365" s="99"/>
      <c r="L365" s="99"/>
      <c r="M365" s="99"/>
      <c r="N365" s="43">
        <f t="shared" si="5"/>
        <v>0</v>
      </c>
    </row>
    <row r="366" spans="2:14">
      <c r="B366" s="57"/>
      <c r="C366" s="60"/>
      <c r="D366" s="60"/>
      <c r="E366" s="60"/>
      <c r="F366" s="60"/>
      <c r="G366" s="60"/>
      <c r="J366" s="99"/>
      <c r="K366" s="99"/>
      <c r="L366" s="99"/>
      <c r="M366" s="99"/>
      <c r="N366" s="43">
        <f t="shared" si="5"/>
        <v>0</v>
      </c>
    </row>
    <row r="367" spans="2:14">
      <c r="B367" s="57"/>
      <c r="C367" s="60"/>
      <c r="D367" s="60"/>
      <c r="E367" s="60"/>
      <c r="F367" s="60"/>
      <c r="G367" s="60"/>
      <c r="J367" s="99"/>
      <c r="K367" s="99"/>
      <c r="L367" s="99"/>
      <c r="M367" s="99"/>
      <c r="N367" s="43">
        <f t="shared" si="5"/>
        <v>0</v>
      </c>
    </row>
    <row r="368" spans="2:14">
      <c r="B368" s="57"/>
      <c r="C368" s="60"/>
      <c r="D368" s="60"/>
      <c r="E368" s="60"/>
      <c r="F368" s="60"/>
      <c r="G368" s="60"/>
      <c r="J368" s="99"/>
      <c r="K368" s="99"/>
      <c r="L368" s="99"/>
      <c r="M368" s="99"/>
      <c r="N368" s="43">
        <f t="shared" si="5"/>
        <v>0</v>
      </c>
    </row>
    <row r="369" spans="2:14">
      <c r="B369" s="57"/>
      <c r="C369" s="60"/>
      <c r="D369" s="60"/>
      <c r="E369" s="60"/>
      <c r="F369" s="60"/>
      <c r="G369" s="60"/>
      <c r="J369" s="99"/>
      <c r="K369" s="99"/>
      <c r="L369" s="99"/>
      <c r="M369" s="99"/>
      <c r="N369" s="43">
        <f t="shared" si="5"/>
        <v>0</v>
      </c>
    </row>
    <row r="370" spans="2:14">
      <c r="B370" s="57"/>
      <c r="C370" s="60"/>
      <c r="D370" s="60"/>
      <c r="E370" s="60"/>
      <c r="F370" s="60"/>
      <c r="G370" s="60"/>
      <c r="J370" s="99"/>
      <c r="K370" s="99"/>
      <c r="L370" s="99"/>
      <c r="M370" s="99"/>
      <c r="N370" s="43">
        <f t="shared" si="5"/>
        <v>0</v>
      </c>
    </row>
    <row r="371" spans="2:14">
      <c r="B371" s="57"/>
      <c r="C371" s="60"/>
      <c r="D371" s="60"/>
      <c r="E371" s="60"/>
      <c r="F371" s="60"/>
      <c r="G371" s="60"/>
      <c r="J371" s="99"/>
      <c r="K371" s="99"/>
      <c r="L371" s="99"/>
      <c r="M371" s="99"/>
      <c r="N371" s="43">
        <f t="shared" si="5"/>
        <v>0</v>
      </c>
    </row>
    <row r="372" spans="2:14">
      <c r="B372" s="57"/>
      <c r="C372" s="60"/>
      <c r="D372" s="60"/>
      <c r="E372" s="60"/>
      <c r="F372" s="60"/>
      <c r="G372" s="60"/>
      <c r="J372" s="99"/>
      <c r="K372" s="99"/>
      <c r="L372" s="99"/>
      <c r="M372" s="99"/>
      <c r="N372" s="43">
        <f t="shared" si="5"/>
        <v>0</v>
      </c>
    </row>
    <row r="373" spans="2:14">
      <c r="B373" s="57"/>
      <c r="C373" s="60"/>
      <c r="D373" s="60"/>
      <c r="E373" s="60"/>
      <c r="F373" s="60"/>
      <c r="G373" s="60"/>
      <c r="J373" s="99"/>
      <c r="K373" s="99"/>
      <c r="L373" s="99"/>
      <c r="M373" s="99"/>
      <c r="N373" s="43">
        <f t="shared" si="5"/>
        <v>0</v>
      </c>
    </row>
    <row r="374" spans="2:14">
      <c r="B374" s="57"/>
      <c r="C374" s="60"/>
      <c r="D374" s="60"/>
      <c r="E374" s="60"/>
      <c r="F374" s="60"/>
      <c r="G374" s="60"/>
      <c r="J374" s="99"/>
      <c r="K374" s="99"/>
      <c r="L374" s="99"/>
      <c r="M374" s="99"/>
      <c r="N374" s="43">
        <f t="shared" si="5"/>
        <v>0</v>
      </c>
    </row>
    <row r="375" spans="2:14">
      <c r="B375" s="57"/>
      <c r="C375" s="60"/>
      <c r="D375" s="60"/>
      <c r="E375" s="60"/>
      <c r="F375" s="60"/>
      <c r="G375" s="60"/>
      <c r="J375" s="99"/>
      <c r="K375" s="99"/>
      <c r="L375" s="99"/>
      <c r="M375" s="99"/>
      <c r="N375" s="43">
        <f t="shared" si="5"/>
        <v>0</v>
      </c>
    </row>
    <row r="376" spans="2:14">
      <c r="B376" s="57"/>
      <c r="C376" s="60"/>
      <c r="D376" s="60"/>
      <c r="E376" s="60"/>
      <c r="F376" s="60"/>
      <c r="G376" s="60"/>
      <c r="J376" s="99"/>
      <c r="K376" s="99"/>
      <c r="L376" s="99"/>
      <c r="M376" s="99"/>
      <c r="N376" s="43">
        <f t="shared" si="5"/>
        <v>0</v>
      </c>
    </row>
    <row r="377" spans="2:14">
      <c r="B377" s="57"/>
      <c r="C377" s="60"/>
      <c r="D377" s="60"/>
      <c r="E377" s="60"/>
      <c r="F377" s="60"/>
      <c r="G377" s="60"/>
      <c r="J377" s="99"/>
      <c r="K377" s="99"/>
      <c r="L377" s="99"/>
      <c r="M377" s="99"/>
      <c r="N377" s="43">
        <f t="shared" si="5"/>
        <v>0</v>
      </c>
    </row>
    <row r="378" spans="2:14">
      <c r="B378" s="57"/>
      <c r="C378" s="60"/>
      <c r="D378" s="60"/>
      <c r="E378" s="60"/>
      <c r="F378" s="60"/>
      <c r="G378" s="60"/>
      <c r="J378" s="99"/>
      <c r="K378" s="99"/>
      <c r="L378" s="99"/>
      <c r="M378" s="99"/>
      <c r="N378" s="43">
        <f t="shared" si="5"/>
        <v>0</v>
      </c>
    </row>
    <row r="379" spans="2:14">
      <c r="B379" s="57"/>
      <c r="C379" s="60"/>
      <c r="D379" s="60"/>
      <c r="E379" s="60"/>
      <c r="F379" s="60"/>
      <c r="G379" s="60"/>
      <c r="J379" s="99"/>
      <c r="K379" s="99"/>
      <c r="L379" s="99"/>
      <c r="M379" s="99"/>
      <c r="N379" s="43">
        <f t="shared" si="5"/>
        <v>0</v>
      </c>
    </row>
    <row r="380" spans="2:14">
      <c r="B380" s="57"/>
      <c r="C380" s="60"/>
      <c r="D380" s="60"/>
      <c r="E380" s="60"/>
      <c r="F380" s="60"/>
      <c r="G380" s="60"/>
      <c r="J380" s="99"/>
      <c r="K380" s="99"/>
      <c r="L380" s="99"/>
      <c r="M380" s="99"/>
      <c r="N380" s="43">
        <f t="shared" si="5"/>
        <v>0</v>
      </c>
    </row>
    <row r="381" spans="2:14">
      <c r="B381" s="57"/>
      <c r="C381" s="60"/>
      <c r="D381" s="60"/>
      <c r="E381" s="60"/>
      <c r="F381" s="60"/>
      <c r="G381" s="60"/>
      <c r="J381" s="99"/>
      <c r="K381" s="99"/>
      <c r="L381" s="99"/>
      <c r="M381" s="99"/>
      <c r="N381" s="43">
        <f t="shared" si="5"/>
        <v>0</v>
      </c>
    </row>
    <row r="382" spans="2:14">
      <c r="B382" s="57"/>
      <c r="C382" s="60"/>
      <c r="D382" s="60"/>
      <c r="E382" s="60"/>
      <c r="F382" s="60"/>
      <c r="G382" s="60"/>
      <c r="J382" s="99"/>
      <c r="K382" s="99"/>
      <c r="L382" s="99"/>
      <c r="M382" s="99"/>
      <c r="N382" s="43">
        <f t="shared" si="5"/>
        <v>0</v>
      </c>
    </row>
    <row r="383" spans="2:14">
      <c r="B383" s="57"/>
      <c r="C383" s="60"/>
      <c r="D383" s="60"/>
      <c r="E383" s="60"/>
      <c r="F383" s="60"/>
      <c r="G383" s="60"/>
      <c r="J383" s="99"/>
      <c r="K383" s="99"/>
      <c r="L383" s="99"/>
      <c r="M383" s="99"/>
      <c r="N383" s="43">
        <f t="shared" si="5"/>
        <v>0</v>
      </c>
    </row>
    <row r="384" spans="2:14">
      <c r="B384" s="57"/>
      <c r="C384" s="60"/>
      <c r="D384" s="60"/>
      <c r="E384" s="60"/>
      <c r="F384" s="60"/>
      <c r="G384" s="60"/>
      <c r="J384" s="99"/>
      <c r="K384" s="99"/>
      <c r="L384" s="99"/>
      <c r="M384" s="99"/>
      <c r="N384" s="43">
        <f t="shared" si="5"/>
        <v>0</v>
      </c>
    </row>
    <row r="385" spans="2:14">
      <c r="B385" s="57"/>
      <c r="C385" s="60"/>
      <c r="D385" s="60"/>
      <c r="E385" s="60"/>
      <c r="F385" s="60"/>
      <c r="G385" s="60"/>
      <c r="J385" s="99"/>
      <c r="K385" s="99"/>
      <c r="L385" s="99"/>
      <c r="M385" s="99"/>
      <c r="N385" s="43">
        <f t="shared" si="5"/>
        <v>0</v>
      </c>
    </row>
    <row r="386" spans="2:14">
      <c r="B386" s="57"/>
      <c r="C386" s="60"/>
      <c r="D386" s="60"/>
      <c r="E386" s="60"/>
      <c r="F386" s="60"/>
      <c r="G386" s="60"/>
      <c r="J386" s="99"/>
      <c r="K386" s="99"/>
      <c r="L386" s="99"/>
      <c r="M386" s="99"/>
      <c r="N386" s="43">
        <f t="shared" si="5"/>
        <v>0</v>
      </c>
    </row>
    <row r="387" spans="2:14">
      <c r="B387" s="57"/>
      <c r="C387" s="60"/>
      <c r="D387" s="60"/>
      <c r="E387" s="60"/>
      <c r="F387" s="60"/>
      <c r="G387" s="60"/>
      <c r="J387" s="99"/>
      <c r="K387" s="99"/>
      <c r="L387" s="99"/>
      <c r="M387" s="99"/>
      <c r="N387" s="43">
        <f t="shared" si="5"/>
        <v>0</v>
      </c>
    </row>
    <row r="388" spans="2:14">
      <c r="B388" s="57"/>
      <c r="C388" s="60"/>
      <c r="D388" s="60"/>
      <c r="E388" s="60"/>
      <c r="F388" s="60"/>
      <c r="G388" s="60"/>
      <c r="J388" s="99"/>
      <c r="K388" s="99"/>
      <c r="L388" s="99"/>
      <c r="M388" s="99"/>
      <c r="N388" s="43">
        <f t="shared" si="5"/>
        <v>0</v>
      </c>
    </row>
    <row r="389" spans="2:14">
      <c r="B389" s="57"/>
      <c r="C389" s="60"/>
      <c r="D389" s="60"/>
      <c r="E389" s="60"/>
      <c r="F389" s="60"/>
      <c r="G389" s="60"/>
      <c r="J389" s="99"/>
      <c r="K389" s="99"/>
      <c r="L389" s="99"/>
      <c r="M389" s="99"/>
      <c r="N389" s="43">
        <f t="shared" si="5"/>
        <v>0</v>
      </c>
    </row>
    <row r="390" spans="2:14">
      <c r="B390" s="57"/>
      <c r="C390" s="60"/>
      <c r="D390" s="60"/>
      <c r="E390" s="60"/>
      <c r="F390" s="60"/>
      <c r="G390" s="60"/>
      <c r="J390" s="99"/>
      <c r="K390" s="99"/>
      <c r="L390" s="99"/>
      <c r="M390" s="99"/>
      <c r="N390" s="43">
        <f t="shared" si="5"/>
        <v>0</v>
      </c>
    </row>
    <row r="391" spans="2:14">
      <c r="B391" s="57"/>
      <c r="C391" s="60"/>
      <c r="D391" s="60"/>
      <c r="E391" s="60"/>
      <c r="F391" s="60"/>
      <c r="G391" s="60"/>
      <c r="J391" s="99"/>
      <c r="K391" s="99"/>
      <c r="L391" s="99"/>
      <c r="M391" s="99"/>
      <c r="N391" s="43">
        <f t="shared" si="5"/>
        <v>0</v>
      </c>
    </row>
    <row r="392" spans="2:14">
      <c r="B392" s="57"/>
      <c r="C392" s="60"/>
      <c r="D392" s="60"/>
      <c r="E392" s="60"/>
      <c r="F392" s="60"/>
      <c r="G392" s="60"/>
      <c r="J392" s="99"/>
      <c r="K392" s="99"/>
      <c r="L392" s="99"/>
      <c r="M392" s="99"/>
      <c r="N392" s="43">
        <f t="shared" si="5"/>
        <v>0</v>
      </c>
    </row>
    <row r="393" spans="2:14">
      <c r="B393" s="57"/>
      <c r="C393" s="60"/>
      <c r="D393" s="60"/>
      <c r="E393" s="60"/>
      <c r="F393" s="60"/>
      <c r="G393" s="60"/>
      <c r="J393" s="99"/>
      <c r="K393" s="99"/>
      <c r="L393" s="99"/>
      <c r="M393" s="99"/>
      <c r="N393" s="43">
        <f t="shared" si="5"/>
        <v>0</v>
      </c>
    </row>
    <row r="394" spans="2:14">
      <c r="B394" s="57"/>
      <c r="C394" s="60"/>
      <c r="D394" s="60"/>
      <c r="E394" s="60"/>
      <c r="F394" s="60"/>
      <c r="G394" s="60"/>
      <c r="J394" s="99"/>
      <c r="K394" s="99"/>
      <c r="L394" s="99"/>
      <c r="M394" s="99"/>
      <c r="N394" s="43">
        <f t="shared" si="5"/>
        <v>0</v>
      </c>
    </row>
    <row r="395" spans="2:14">
      <c r="B395" s="57"/>
      <c r="C395" s="60"/>
      <c r="D395" s="60"/>
      <c r="E395" s="60"/>
      <c r="F395" s="60"/>
      <c r="G395" s="60"/>
      <c r="J395" s="99"/>
      <c r="K395" s="99"/>
      <c r="L395" s="99"/>
      <c r="M395" s="99"/>
      <c r="N395" s="43">
        <f t="shared" ref="N395:N458" si="6">IF($L$4=$C$10,C395,IF(D395="","",B395))</f>
        <v>0</v>
      </c>
    </row>
    <row r="396" spans="2:14">
      <c r="B396" s="57"/>
      <c r="C396" s="60"/>
      <c r="D396" s="60"/>
      <c r="E396" s="60"/>
      <c r="F396" s="60"/>
      <c r="G396" s="60"/>
      <c r="J396" s="99"/>
      <c r="K396" s="99"/>
      <c r="L396" s="99"/>
      <c r="M396" s="99"/>
      <c r="N396" s="43">
        <f t="shared" si="6"/>
        <v>0</v>
      </c>
    </row>
    <row r="397" spans="2:14">
      <c r="B397" s="57"/>
      <c r="C397" s="60"/>
      <c r="D397" s="60"/>
      <c r="E397" s="60"/>
      <c r="F397" s="60"/>
      <c r="G397" s="60"/>
      <c r="J397" s="99"/>
      <c r="K397" s="99"/>
      <c r="L397" s="99"/>
      <c r="M397" s="99"/>
      <c r="N397" s="43">
        <f t="shared" si="6"/>
        <v>0</v>
      </c>
    </row>
    <row r="398" spans="2:14">
      <c r="B398" s="57"/>
      <c r="C398" s="60"/>
      <c r="D398" s="60"/>
      <c r="E398" s="60"/>
      <c r="F398" s="60"/>
      <c r="G398" s="60"/>
      <c r="J398" s="99"/>
      <c r="K398" s="99"/>
      <c r="L398" s="99"/>
      <c r="M398" s="99"/>
      <c r="N398" s="43">
        <f t="shared" si="6"/>
        <v>0</v>
      </c>
    </row>
    <row r="399" spans="2:14">
      <c r="B399" s="57"/>
      <c r="C399" s="60"/>
      <c r="D399" s="60"/>
      <c r="E399" s="60"/>
      <c r="F399" s="60"/>
      <c r="G399" s="60"/>
      <c r="J399" s="99"/>
      <c r="K399" s="99"/>
      <c r="L399" s="99"/>
      <c r="M399" s="99"/>
      <c r="N399" s="43">
        <f t="shared" si="6"/>
        <v>0</v>
      </c>
    </row>
    <row r="400" spans="2:14">
      <c r="B400" s="57"/>
      <c r="C400" s="60"/>
      <c r="D400" s="60"/>
      <c r="E400" s="60"/>
      <c r="F400" s="60"/>
      <c r="G400" s="60"/>
      <c r="J400" s="99"/>
      <c r="K400" s="99"/>
      <c r="L400" s="99"/>
      <c r="M400" s="99"/>
      <c r="N400" s="43">
        <f t="shared" si="6"/>
        <v>0</v>
      </c>
    </row>
    <row r="401" spans="2:14">
      <c r="B401" s="57"/>
      <c r="C401" s="60"/>
      <c r="D401" s="60"/>
      <c r="E401" s="60"/>
      <c r="F401" s="60"/>
      <c r="G401" s="60"/>
      <c r="J401" s="99"/>
      <c r="K401" s="99"/>
      <c r="L401" s="99"/>
      <c r="M401" s="99"/>
      <c r="N401" s="43">
        <f t="shared" si="6"/>
        <v>0</v>
      </c>
    </row>
    <row r="402" spans="2:14">
      <c r="B402" s="57"/>
      <c r="C402" s="60"/>
      <c r="D402" s="60"/>
      <c r="E402" s="60"/>
      <c r="F402" s="60"/>
      <c r="G402" s="60"/>
      <c r="J402" s="99"/>
      <c r="K402" s="99"/>
      <c r="L402" s="99"/>
      <c r="M402" s="99"/>
      <c r="N402" s="43">
        <f t="shared" si="6"/>
        <v>0</v>
      </c>
    </row>
    <row r="403" spans="2:14">
      <c r="B403" s="57"/>
      <c r="C403" s="60"/>
      <c r="D403" s="60"/>
      <c r="E403" s="60"/>
      <c r="F403" s="60"/>
      <c r="G403" s="60"/>
      <c r="J403" s="99"/>
      <c r="K403" s="99"/>
      <c r="L403" s="99"/>
      <c r="M403" s="99"/>
      <c r="N403" s="43">
        <f t="shared" si="6"/>
        <v>0</v>
      </c>
    </row>
    <row r="404" spans="2:14">
      <c r="B404" s="57"/>
      <c r="C404" s="60"/>
      <c r="D404" s="60"/>
      <c r="E404" s="60"/>
      <c r="F404" s="60"/>
      <c r="G404" s="60"/>
      <c r="J404" s="99"/>
      <c r="K404" s="99"/>
      <c r="L404" s="99"/>
      <c r="M404" s="99"/>
      <c r="N404" s="43">
        <f t="shared" si="6"/>
        <v>0</v>
      </c>
    </row>
    <row r="405" spans="2:14">
      <c r="B405" s="57"/>
      <c r="C405" s="60"/>
      <c r="D405" s="60"/>
      <c r="E405" s="60"/>
      <c r="F405" s="60"/>
      <c r="G405" s="60"/>
      <c r="J405" s="99"/>
      <c r="K405" s="99"/>
      <c r="L405" s="99"/>
      <c r="M405" s="99"/>
      <c r="N405" s="43">
        <f t="shared" si="6"/>
        <v>0</v>
      </c>
    </row>
    <row r="406" spans="2:14">
      <c r="B406" s="57"/>
      <c r="C406" s="60"/>
      <c r="D406" s="60"/>
      <c r="E406" s="60"/>
      <c r="F406" s="60"/>
      <c r="G406" s="60"/>
      <c r="J406" s="99"/>
      <c r="K406" s="99"/>
      <c r="L406" s="99"/>
      <c r="M406" s="99"/>
      <c r="N406" s="43">
        <f t="shared" si="6"/>
        <v>0</v>
      </c>
    </row>
    <row r="407" spans="2:14">
      <c r="B407" s="57"/>
      <c r="C407" s="60"/>
      <c r="D407" s="60"/>
      <c r="E407" s="60"/>
      <c r="F407" s="60"/>
      <c r="G407" s="60"/>
      <c r="J407" s="99"/>
      <c r="K407" s="99"/>
      <c r="L407" s="99"/>
      <c r="M407" s="99"/>
      <c r="N407" s="43">
        <f t="shared" si="6"/>
        <v>0</v>
      </c>
    </row>
    <row r="408" spans="2:14">
      <c r="B408" s="57"/>
      <c r="C408" s="60"/>
      <c r="D408" s="60"/>
      <c r="E408" s="60"/>
      <c r="F408" s="60"/>
      <c r="G408" s="60"/>
      <c r="J408" s="99"/>
      <c r="K408" s="99"/>
      <c r="L408" s="99"/>
      <c r="M408" s="99"/>
      <c r="N408" s="43">
        <f t="shared" si="6"/>
        <v>0</v>
      </c>
    </row>
    <row r="409" spans="2:14">
      <c r="B409" s="57"/>
      <c r="C409" s="60"/>
      <c r="D409" s="60"/>
      <c r="E409" s="60"/>
      <c r="F409" s="60"/>
      <c r="G409" s="60"/>
      <c r="J409" s="99"/>
      <c r="K409" s="99"/>
      <c r="L409" s="99"/>
      <c r="M409" s="99"/>
      <c r="N409" s="43">
        <f t="shared" si="6"/>
        <v>0</v>
      </c>
    </row>
    <row r="410" spans="2:14">
      <c r="B410" s="57"/>
      <c r="C410" s="60"/>
      <c r="D410" s="60"/>
      <c r="E410" s="60"/>
      <c r="F410" s="60"/>
      <c r="G410" s="60"/>
      <c r="J410" s="99"/>
      <c r="K410" s="99"/>
      <c r="L410" s="99"/>
      <c r="M410" s="99"/>
      <c r="N410" s="43">
        <f t="shared" si="6"/>
        <v>0</v>
      </c>
    </row>
    <row r="411" spans="2:14">
      <c r="B411" s="57"/>
      <c r="C411" s="60"/>
      <c r="D411" s="60"/>
      <c r="E411" s="60"/>
      <c r="F411" s="60"/>
      <c r="G411" s="60"/>
      <c r="J411" s="99"/>
      <c r="K411" s="99"/>
      <c r="L411" s="99"/>
      <c r="M411" s="99"/>
      <c r="N411" s="43">
        <f t="shared" si="6"/>
        <v>0</v>
      </c>
    </row>
    <row r="412" spans="2:14">
      <c r="B412" s="57"/>
      <c r="C412" s="60"/>
      <c r="D412" s="60"/>
      <c r="E412" s="60"/>
      <c r="F412" s="60"/>
      <c r="G412" s="60"/>
      <c r="J412" s="99"/>
      <c r="K412" s="99"/>
      <c r="L412" s="99"/>
      <c r="M412" s="99"/>
      <c r="N412" s="43">
        <f t="shared" si="6"/>
        <v>0</v>
      </c>
    </row>
    <row r="413" spans="2:14">
      <c r="B413" s="57"/>
      <c r="C413" s="60"/>
      <c r="D413" s="60"/>
      <c r="E413" s="60"/>
      <c r="F413" s="60"/>
      <c r="G413" s="60"/>
      <c r="J413" s="99"/>
      <c r="K413" s="99"/>
      <c r="L413" s="99"/>
      <c r="M413" s="99"/>
      <c r="N413" s="43">
        <f t="shared" si="6"/>
        <v>0</v>
      </c>
    </row>
    <row r="414" spans="2:14">
      <c r="B414" s="57"/>
      <c r="C414" s="60"/>
      <c r="D414" s="60"/>
      <c r="E414" s="60"/>
      <c r="F414" s="60"/>
      <c r="G414" s="60"/>
      <c r="J414" s="99"/>
      <c r="K414" s="99"/>
      <c r="L414" s="99"/>
      <c r="M414" s="99"/>
      <c r="N414" s="43">
        <f t="shared" si="6"/>
        <v>0</v>
      </c>
    </row>
    <row r="415" spans="2:14">
      <c r="B415" s="57"/>
      <c r="C415" s="60"/>
      <c r="D415" s="60"/>
      <c r="E415" s="60"/>
      <c r="F415" s="60"/>
      <c r="G415" s="60"/>
      <c r="J415" s="99"/>
      <c r="K415" s="99"/>
      <c r="L415" s="99"/>
      <c r="M415" s="99"/>
      <c r="N415" s="43">
        <f t="shared" si="6"/>
        <v>0</v>
      </c>
    </row>
    <row r="416" spans="2:14">
      <c r="B416" s="57"/>
      <c r="C416" s="60"/>
      <c r="D416" s="60"/>
      <c r="E416" s="60"/>
      <c r="F416" s="60"/>
      <c r="G416" s="60"/>
      <c r="J416" s="99"/>
      <c r="K416" s="99"/>
      <c r="L416" s="99"/>
      <c r="M416" s="99"/>
      <c r="N416" s="43">
        <f t="shared" si="6"/>
        <v>0</v>
      </c>
    </row>
    <row r="417" spans="2:14">
      <c r="B417" s="57"/>
      <c r="C417" s="60"/>
      <c r="D417" s="60"/>
      <c r="E417" s="60"/>
      <c r="F417" s="60"/>
      <c r="G417" s="60"/>
      <c r="J417" s="99"/>
      <c r="K417" s="99"/>
      <c r="L417" s="99"/>
      <c r="M417" s="99"/>
      <c r="N417" s="43">
        <f t="shared" si="6"/>
        <v>0</v>
      </c>
    </row>
    <row r="418" spans="2:14">
      <c r="B418" s="57"/>
      <c r="C418" s="60"/>
      <c r="D418" s="60"/>
      <c r="E418" s="60"/>
      <c r="F418" s="60"/>
      <c r="G418" s="60"/>
      <c r="J418" s="99"/>
      <c r="K418" s="99"/>
      <c r="L418" s="99"/>
      <c r="M418" s="99"/>
      <c r="N418" s="43">
        <f t="shared" si="6"/>
        <v>0</v>
      </c>
    </row>
    <row r="419" spans="2:14">
      <c r="B419" s="57"/>
      <c r="C419" s="60"/>
      <c r="D419" s="60"/>
      <c r="E419" s="60"/>
      <c r="F419" s="60"/>
      <c r="G419" s="60"/>
      <c r="J419" s="99"/>
      <c r="K419" s="99"/>
      <c r="L419" s="99"/>
      <c r="M419" s="99"/>
      <c r="N419" s="43">
        <f t="shared" si="6"/>
        <v>0</v>
      </c>
    </row>
    <row r="420" spans="2:14">
      <c r="B420" s="57"/>
      <c r="C420" s="60"/>
      <c r="D420" s="60"/>
      <c r="E420" s="60"/>
      <c r="F420" s="60"/>
      <c r="G420" s="60"/>
      <c r="J420" s="99"/>
      <c r="K420" s="99"/>
      <c r="L420" s="99"/>
      <c r="M420" s="99"/>
      <c r="N420" s="43">
        <f t="shared" si="6"/>
        <v>0</v>
      </c>
    </row>
    <row r="421" spans="2:14">
      <c r="B421" s="57"/>
      <c r="C421" s="60"/>
      <c r="D421" s="60"/>
      <c r="E421" s="60"/>
      <c r="F421" s="60"/>
      <c r="G421" s="60"/>
      <c r="J421" s="99"/>
      <c r="K421" s="99"/>
      <c r="L421" s="99"/>
      <c r="M421" s="99"/>
      <c r="N421" s="43">
        <f t="shared" si="6"/>
        <v>0</v>
      </c>
    </row>
    <row r="422" spans="2:14">
      <c r="B422" s="57"/>
      <c r="C422" s="60"/>
      <c r="D422" s="60"/>
      <c r="E422" s="60"/>
      <c r="F422" s="60"/>
      <c r="G422" s="60"/>
      <c r="J422" s="99"/>
      <c r="K422" s="99"/>
      <c r="L422" s="99"/>
      <c r="M422" s="99"/>
      <c r="N422" s="43">
        <f t="shared" si="6"/>
        <v>0</v>
      </c>
    </row>
    <row r="423" spans="2:14">
      <c r="B423" s="57"/>
      <c r="C423" s="60"/>
      <c r="D423" s="60"/>
      <c r="E423" s="60"/>
      <c r="F423" s="60"/>
      <c r="G423" s="60"/>
      <c r="J423" s="99"/>
      <c r="K423" s="99"/>
      <c r="L423" s="99"/>
      <c r="M423" s="99"/>
      <c r="N423" s="43">
        <f t="shared" si="6"/>
        <v>0</v>
      </c>
    </row>
    <row r="424" spans="2:14">
      <c r="B424" s="57"/>
      <c r="C424" s="60"/>
      <c r="D424" s="60"/>
      <c r="E424" s="60"/>
      <c r="F424" s="60"/>
      <c r="G424" s="60"/>
      <c r="J424" s="99"/>
      <c r="K424" s="99"/>
      <c r="L424" s="99"/>
      <c r="M424" s="99"/>
      <c r="N424" s="43">
        <f t="shared" si="6"/>
        <v>0</v>
      </c>
    </row>
    <row r="425" spans="2:14">
      <c r="B425" s="57"/>
      <c r="C425" s="60"/>
      <c r="D425" s="60"/>
      <c r="E425" s="60"/>
      <c r="F425" s="60"/>
      <c r="G425" s="60"/>
      <c r="J425" s="99"/>
      <c r="K425" s="99"/>
      <c r="L425" s="99"/>
      <c r="M425" s="99"/>
      <c r="N425" s="43">
        <f t="shared" si="6"/>
        <v>0</v>
      </c>
    </row>
    <row r="426" spans="2:14">
      <c r="B426" s="57"/>
      <c r="C426" s="60"/>
      <c r="D426" s="60"/>
      <c r="E426" s="60"/>
      <c r="F426" s="60"/>
      <c r="G426" s="60"/>
      <c r="J426" s="99"/>
      <c r="K426" s="99"/>
      <c r="L426" s="99"/>
      <c r="M426" s="99"/>
      <c r="N426" s="43">
        <f t="shared" si="6"/>
        <v>0</v>
      </c>
    </row>
    <row r="427" spans="2:14">
      <c r="B427" s="57"/>
      <c r="C427" s="60"/>
      <c r="D427" s="60"/>
      <c r="E427" s="60"/>
      <c r="F427" s="60"/>
      <c r="G427" s="60"/>
      <c r="J427" s="99"/>
      <c r="K427" s="99"/>
      <c r="L427" s="99"/>
      <c r="M427" s="99"/>
      <c r="N427" s="43">
        <f t="shared" si="6"/>
        <v>0</v>
      </c>
    </row>
    <row r="428" spans="2:14">
      <c r="B428" s="57"/>
      <c r="C428" s="60"/>
      <c r="D428" s="60"/>
      <c r="E428" s="60"/>
      <c r="F428" s="60"/>
      <c r="G428" s="60"/>
      <c r="J428" s="99"/>
      <c r="K428" s="99"/>
      <c r="L428" s="99"/>
      <c r="M428" s="99"/>
      <c r="N428" s="43">
        <f t="shared" si="6"/>
        <v>0</v>
      </c>
    </row>
    <row r="429" spans="2:14" ht="1.5" customHeight="1">
      <c r="B429" s="57"/>
      <c r="C429" s="60"/>
      <c r="D429" s="60"/>
      <c r="E429" s="60"/>
      <c r="F429" s="60"/>
      <c r="G429" s="60"/>
      <c r="J429" s="99"/>
      <c r="K429" s="99"/>
      <c r="L429" s="99"/>
      <c r="M429" s="99"/>
      <c r="N429" s="43">
        <f t="shared" si="6"/>
        <v>0</v>
      </c>
    </row>
    <row r="430" spans="2:14" ht="1.5" customHeight="1">
      <c r="B430" s="57"/>
      <c r="C430" s="60"/>
      <c r="D430" s="60"/>
      <c r="E430" s="60"/>
      <c r="F430" s="60"/>
      <c r="G430" s="60"/>
      <c r="J430" s="99"/>
      <c r="K430" s="99"/>
      <c r="L430" s="99"/>
      <c r="M430" s="99"/>
      <c r="N430" s="43">
        <f t="shared" si="6"/>
        <v>0</v>
      </c>
    </row>
    <row r="431" spans="2:14" ht="1.5" customHeight="1">
      <c r="B431" s="57"/>
      <c r="C431" s="60"/>
      <c r="D431" s="60"/>
      <c r="E431" s="60"/>
      <c r="F431" s="60"/>
      <c r="G431" s="60"/>
      <c r="J431" s="99"/>
      <c r="K431" s="99"/>
      <c r="L431" s="99"/>
      <c r="M431" s="99"/>
      <c r="N431" s="43">
        <f t="shared" si="6"/>
        <v>0</v>
      </c>
    </row>
    <row r="432" spans="2:14" ht="1.5" customHeight="1">
      <c r="B432" s="57"/>
      <c r="C432" s="60"/>
      <c r="D432" s="60"/>
      <c r="E432" s="60"/>
      <c r="F432" s="60"/>
      <c r="G432" s="60"/>
      <c r="J432" s="99"/>
      <c r="K432" s="99"/>
      <c r="L432" s="99"/>
      <c r="M432" s="99"/>
      <c r="N432" s="43">
        <f t="shared" si="6"/>
        <v>0</v>
      </c>
    </row>
    <row r="433" spans="2:14" ht="1.5" customHeight="1">
      <c r="B433" s="57"/>
      <c r="C433" s="60"/>
      <c r="D433" s="60"/>
      <c r="E433" s="60"/>
      <c r="F433" s="60"/>
      <c r="G433" s="60"/>
      <c r="J433" s="99"/>
      <c r="K433" s="99"/>
      <c r="L433" s="99"/>
      <c r="M433" s="99"/>
      <c r="N433" s="43">
        <f t="shared" si="6"/>
        <v>0</v>
      </c>
    </row>
    <row r="434" spans="2:14" ht="1.5" customHeight="1">
      <c r="B434" s="57"/>
      <c r="C434" s="60"/>
      <c r="D434" s="60"/>
      <c r="E434" s="60"/>
      <c r="F434" s="60"/>
      <c r="G434" s="60"/>
      <c r="J434" s="99"/>
      <c r="K434" s="99"/>
      <c r="L434" s="99"/>
      <c r="M434" s="99"/>
      <c r="N434" s="43">
        <f t="shared" si="6"/>
        <v>0</v>
      </c>
    </row>
    <row r="435" spans="2:14" ht="1.5" customHeight="1">
      <c r="B435" s="57"/>
      <c r="C435" s="60"/>
      <c r="D435" s="60"/>
      <c r="E435" s="60"/>
      <c r="F435" s="60"/>
      <c r="G435" s="60"/>
      <c r="J435" s="99"/>
      <c r="K435" s="99"/>
      <c r="L435" s="99"/>
      <c r="M435" s="99"/>
      <c r="N435" s="43">
        <f t="shared" si="6"/>
        <v>0</v>
      </c>
    </row>
    <row r="436" spans="2:14" ht="1.5" customHeight="1">
      <c r="B436" s="57"/>
      <c r="C436" s="60"/>
      <c r="D436" s="60"/>
      <c r="E436" s="60"/>
      <c r="F436" s="60"/>
      <c r="G436" s="60"/>
      <c r="J436" s="99"/>
      <c r="K436" s="99"/>
      <c r="L436" s="99"/>
      <c r="M436" s="99"/>
      <c r="N436" s="43">
        <f t="shared" si="6"/>
        <v>0</v>
      </c>
    </row>
    <row r="437" spans="2:14" ht="1.5" customHeight="1">
      <c r="B437" s="57"/>
      <c r="C437" s="60"/>
      <c r="D437" s="60"/>
      <c r="E437" s="60"/>
      <c r="F437" s="60"/>
      <c r="G437" s="60"/>
      <c r="J437" s="99"/>
      <c r="K437" s="99"/>
      <c r="L437" s="99"/>
      <c r="M437" s="99"/>
      <c r="N437" s="43">
        <f t="shared" si="6"/>
        <v>0</v>
      </c>
    </row>
    <row r="438" spans="2:14" ht="1.5" customHeight="1">
      <c r="B438" s="57"/>
      <c r="C438" s="60"/>
      <c r="D438" s="60"/>
      <c r="E438" s="60"/>
      <c r="F438" s="60"/>
      <c r="G438" s="60"/>
      <c r="J438" s="99"/>
      <c r="K438" s="99"/>
      <c r="L438" s="99"/>
      <c r="M438" s="99"/>
      <c r="N438" s="43">
        <f t="shared" si="6"/>
        <v>0</v>
      </c>
    </row>
    <row r="439" spans="2:14" ht="1.5" customHeight="1">
      <c r="B439" s="57"/>
      <c r="C439" s="60"/>
      <c r="D439" s="60"/>
      <c r="E439" s="60"/>
      <c r="F439" s="60"/>
      <c r="G439" s="60"/>
      <c r="J439" s="99"/>
      <c r="K439" s="99"/>
      <c r="L439" s="99"/>
      <c r="M439" s="99"/>
      <c r="N439" s="43">
        <f t="shared" si="6"/>
        <v>0</v>
      </c>
    </row>
    <row r="440" spans="2:14" ht="1.5" customHeight="1">
      <c r="B440" s="57"/>
      <c r="C440" s="60"/>
      <c r="D440" s="60"/>
      <c r="E440" s="60"/>
      <c r="F440" s="60"/>
      <c r="G440" s="60"/>
      <c r="J440" s="99"/>
      <c r="K440" s="99"/>
      <c r="L440" s="99"/>
      <c r="M440" s="99"/>
      <c r="N440" s="43">
        <f t="shared" si="6"/>
        <v>0</v>
      </c>
    </row>
    <row r="441" spans="2:14" ht="1.5" customHeight="1">
      <c r="B441" s="57"/>
      <c r="C441" s="60"/>
      <c r="D441" s="60"/>
      <c r="E441" s="60"/>
      <c r="F441" s="60"/>
      <c r="G441" s="60"/>
      <c r="J441" s="99"/>
      <c r="K441" s="99"/>
      <c r="L441" s="99"/>
      <c r="M441" s="99"/>
      <c r="N441" s="43">
        <f t="shared" si="6"/>
        <v>0</v>
      </c>
    </row>
    <row r="442" spans="2:14" ht="1.5" customHeight="1">
      <c r="B442" s="57"/>
      <c r="C442" s="60"/>
      <c r="D442" s="60"/>
      <c r="E442" s="60"/>
      <c r="F442" s="60"/>
      <c r="G442" s="60"/>
      <c r="J442" s="99"/>
      <c r="K442" s="99"/>
      <c r="L442" s="99"/>
      <c r="M442" s="99"/>
      <c r="N442" s="43">
        <f t="shared" si="6"/>
        <v>0</v>
      </c>
    </row>
    <row r="443" spans="2:14" ht="1.5" customHeight="1">
      <c r="B443" s="57"/>
      <c r="C443" s="60"/>
      <c r="D443" s="60"/>
      <c r="E443" s="60"/>
      <c r="F443" s="60"/>
      <c r="G443" s="60"/>
      <c r="J443" s="99"/>
      <c r="K443" s="99"/>
      <c r="L443" s="99"/>
      <c r="M443" s="99"/>
      <c r="N443" s="43">
        <f t="shared" si="6"/>
        <v>0</v>
      </c>
    </row>
    <row r="444" spans="2:14" ht="1.5" customHeight="1">
      <c r="B444" s="57"/>
      <c r="C444" s="60"/>
      <c r="D444" s="60"/>
      <c r="E444" s="60"/>
      <c r="F444" s="60"/>
      <c r="G444" s="60"/>
      <c r="J444" s="99"/>
      <c r="K444" s="99"/>
      <c r="L444" s="99"/>
      <c r="M444" s="99"/>
      <c r="N444" s="43">
        <f t="shared" si="6"/>
        <v>0</v>
      </c>
    </row>
    <row r="445" spans="2:14" ht="1.5" customHeight="1">
      <c r="B445" s="57"/>
      <c r="C445" s="60"/>
      <c r="D445" s="60"/>
      <c r="E445" s="60"/>
      <c r="F445" s="60"/>
      <c r="G445" s="60"/>
      <c r="J445" s="99"/>
      <c r="K445" s="99"/>
      <c r="L445" s="99"/>
      <c r="M445" s="99"/>
      <c r="N445" s="43">
        <f t="shared" si="6"/>
        <v>0</v>
      </c>
    </row>
    <row r="446" spans="2:14" ht="1.5" customHeight="1">
      <c r="B446" s="57"/>
      <c r="C446" s="60"/>
      <c r="D446" s="60"/>
      <c r="E446" s="60"/>
      <c r="F446" s="60"/>
      <c r="G446" s="60"/>
      <c r="J446" s="99"/>
      <c r="K446" s="99"/>
      <c r="L446" s="99"/>
      <c r="M446" s="99"/>
      <c r="N446" s="43">
        <f t="shared" si="6"/>
        <v>0</v>
      </c>
    </row>
    <row r="447" spans="2:14" ht="1.5" customHeight="1">
      <c r="B447" s="57"/>
      <c r="C447" s="60"/>
      <c r="D447" s="60"/>
      <c r="E447" s="60"/>
      <c r="F447" s="60"/>
      <c r="G447" s="60"/>
      <c r="J447" s="99"/>
      <c r="K447" s="99"/>
      <c r="L447" s="99"/>
      <c r="M447" s="99"/>
      <c r="N447" s="43">
        <f t="shared" si="6"/>
        <v>0</v>
      </c>
    </row>
    <row r="448" spans="2:14" ht="1.5" customHeight="1">
      <c r="B448" s="57"/>
      <c r="C448" s="60"/>
      <c r="D448" s="60"/>
      <c r="E448" s="60"/>
      <c r="F448" s="60"/>
      <c r="G448" s="60"/>
      <c r="J448" s="99"/>
      <c r="K448" s="99"/>
      <c r="L448" s="99"/>
      <c r="M448" s="99"/>
      <c r="N448" s="43">
        <f t="shared" si="6"/>
        <v>0</v>
      </c>
    </row>
    <row r="449" spans="2:14" ht="1.5" customHeight="1">
      <c r="B449" s="57"/>
      <c r="C449" s="60"/>
      <c r="D449" s="60"/>
      <c r="E449" s="60"/>
      <c r="F449" s="60"/>
      <c r="G449" s="60"/>
      <c r="J449" s="99"/>
      <c r="K449" s="99"/>
      <c r="L449" s="99"/>
      <c r="M449" s="99"/>
      <c r="N449" s="43">
        <f t="shared" si="6"/>
        <v>0</v>
      </c>
    </row>
    <row r="450" spans="2:14" ht="1.5" customHeight="1">
      <c r="B450" s="57"/>
      <c r="C450" s="60"/>
      <c r="D450" s="60"/>
      <c r="E450" s="60"/>
      <c r="F450" s="60"/>
      <c r="G450" s="60"/>
      <c r="J450" s="99"/>
      <c r="K450" s="99"/>
      <c r="L450" s="99"/>
      <c r="M450" s="99"/>
      <c r="N450" s="43">
        <f t="shared" si="6"/>
        <v>0</v>
      </c>
    </row>
    <row r="451" spans="2:14" ht="1.5" customHeight="1">
      <c r="B451" s="57"/>
      <c r="C451" s="60"/>
      <c r="D451" s="60"/>
      <c r="E451" s="60"/>
      <c r="F451" s="60"/>
      <c r="G451" s="60"/>
      <c r="J451" s="99"/>
      <c r="K451" s="99"/>
      <c r="L451" s="99"/>
      <c r="M451" s="99"/>
      <c r="N451" s="43">
        <f t="shared" si="6"/>
        <v>0</v>
      </c>
    </row>
    <row r="452" spans="2:14" ht="1.5" customHeight="1">
      <c r="B452" s="57"/>
      <c r="C452" s="60"/>
      <c r="D452" s="60"/>
      <c r="E452" s="60"/>
      <c r="F452" s="60"/>
      <c r="G452" s="60"/>
      <c r="J452" s="99"/>
      <c r="K452" s="99"/>
      <c r="L452" s="99"/>
      <c r="M452" s="99"/>
      <c r="N452" s="43">
        <f t="shared" si="6"/>
        <v>0</v>
      </c>
    </row>
    <row r="453" spans="2:14" ht="1.5" customHeight="1">
      <c r="B453" s="57"/>
      <c r="C453" s="60"/>
      <c r="D453" s="60"/>
      <c r="E453" s="60"/>
      <c r="F453" s="60"/>
      <c r="G453" s="60"/>
      <c r="J453" s="99"/>
      <c r="K453" s="99"/>
      <c r="L453" s="99"/>
      <c r="M453" s="99"/>
      <c r="N453" s="43">
        <f t="shared" si="6"/>
        <v>0</v>
      </c>
    </row>
    <row r="454" spans="2:14" ht="1.5" customHeight="1">
      <c r="B454" s="57"/>
      <c r="C454" s="60"/>
      <c r="D454" s="60"/>
      <c r="E454" s="60"/>
      <c r="F454" s="60"/>
      <c r="G454" s="60"/>
      <c r="J454" s="99"/>
      <c r="K454" s="99"/>
      <c r="L454" s="99"/>
      <c r="M454" s="99"/>
      <c r="N454" s="43">
        <f t="shared" si="6"/>
        <v>0</v>
      </c>
    </row>
    <row r="455" spans="2:14" ht="1.5" customHeight="1">
      <c r="B455" s="57"/>
      <c r="C455" s="60"/>
      <c r="D455" s="60"/>
      <c r="E455" s="60"/>
      <c r="F455" s="60"/>
      <c r="G455" s="60"/>
      <c r="J455" s="99"/>
      <c r="K455" s="99"/>
      <c r="L455" s="99"/>
      <c r="M455" s="99"/>
      <c r="N455" s="43">
        <f t="shared" si="6"/>
        <v>0</v>
      </c>
    </row>
    <row r="456" spans="2:14" ht="1.5" customHeight="1">
      <c r="B456" s="57"/>
      <c r="C456" s="60"/>
      <c r="D456" s="60"/>
      <c r="E456" s="60"/>
      <c r="F456" s="60"/>
      <c r="G456" s="60"/>
      <c r="J456" s="99"/>
      <c r="K456" s="99"/>
      <c r="L456" s="99"/>
      <c r="M456" s="99"/>
      <c r="N456" s="43">
        <f t="shared" si="6"/>
        <v>0</v>
      </c>
    </row>
    <row r="457" spans="2:14" ht="1.5" customHeight="1">
      <c r="B457" s="57"/>
      <c r="C457" s="60"/>
      <c r="D457" s="60"/>
      <c r="E457" s="60"/>
      <c r="F457" s="60"/>
      <c r="G457" s="60"/>
      <c r="J457" s="99"/>
      <c r="K457" s="99"/>
      <c r="L457" s="99"/>
      <c r="M457" s="99"/>
      <c r="N457" s="43">
        <f t="shared" si="6"/>
        <v>0</v>
      </c>
    </row>
    <row r="458" spans="2:14" ht="1.5" customHeight="1">
      <c r="B458" s="57"/>
      <c r="C458" s="60"/>
      <c r="D458" s="60"/>
      <c r="E458" s="60"/>
      <c r="F458" s="60"/>
      <c r="G458" s="60"/>
      <c r="J458" s="99"/>
      <c r="K458" s="99"/>
      <c r="L458" s="99"/>
      <c r="M458" s="99"/>
      <c r="N458" s="43">
        <f t="shared" si="6"/>
        <v>0</v>
      </c>
    </row>
    <row r="459" spans="2:14" ht="1.5" customHeight="1">
      <c r="B459" s="57"/>
      <c r="C459" s="60"/>
      <c r="D459" s="60"/>
      <c r="E459" s="60"/>
      <c r="F459" s="60"/>
      <c r="G459" s="60"/>
      <c r="J459" s="99"/>
      <c r="K459" s="99"/>
      <c r="L459" s="99"/>
      <c r="M459" s="99"/>
      <c r="N459" s="43">
        <f t="shared" ref="N459:N522" si="7">IF($L$4=$C$10,C459,IF(D459="","",B459))</f>
        <v>0</v>
      </c>
    </row>
    <row r="460" spans="2:14" ht="1.5" customHeight="1">
      <c r="B460" s="57"/>
      <c r="C460" s="60"/>
      <c r="D460" s="60"/>
      <c r="E460" s="60"/>
      <c r="F460" s="60"/>
      <c r="G460" s="60"/>
      <c r="J460" s="99"/>
      <c r="K460" s="99"/>
      <c r="L460" s="99"/>
      <c r="M460" s="99"/>
      <c r="N460" s="43">
        <f t="shared" si="7"/>
        <v>0</v>
      </c>
    </row>
    <row r="461" spans="2:14" ht="1.5" customHeight="1">
      <c r="B461" s="57"/>
      <c r="C461" s="60"/>
      <c r="D461" s="60"/>
      <c r="E461" s="60"/>
      <c r="F461" s="60"/>
      <c r="G461" s="60"/>
      <c r="J461" s="99"/>
      <c r="K461" s="99"/>
      <c r="L461" s="99"/>
      <c r="M461" s="99"/>
      <c r="N461" s="43">
        <f t="shared" si="7"/>
        <v>0</v>
      </c>
    </row>
    <row r="462" spans="2:14" ht="1.5" customHeight="1">
      <c r="B462" s="57"/>
      <c r="C462" s="60"/>
      <c r="D462" s="60"/>
      <c r="E462" s="60"/>
      <c r="F462" s="60"/>
      <c r="G462" s="60"/>
      <c r="J462" s="99"/>
      <c r="K462" s="99"/>
      <c r="L462" s="99"/>
      <c r="M462" s="99"/>
      <c r="N462" s="43">
        <f t="shared" si="7"/>
        <v>0</v>
      </c>
    </row>
    <row r="463" spans="2:14" ht="1.5" customHeight="1">
      <c r="B463" s="57"/>
      <c r="C463" s="60"/>
      <c r="D463" s="60"/>
      <c r="E463" s="60"/>
      <c r="F463" s="60"/>
      <c r="G463" s="60"/>
      <c r="J463" s="99"/>
      <c r="K463" s="99"/>
      <c r="L463" s="99"/>
      <c r="M463" s="99"/>
      <c r="N463" s="43">
        <f t="shared" si="7"/>
        <v>0</v>
      </c>
    </row>
    <row r="464" spans="2:14" ht="1.5" customHeight="1">
      <c r="B464" s="57"/>
      <c r="C464" s="60"/>
      <c r="D464" s="60"/>
      <c r="E464" s="60"/>
      <c r="F464" s="60"/>
      <c r="G464" s="60"/>
      <c r="J464" s="99"/>
      <c r="K464" s="99"/>
      <c r="L464" s="99"/>
      <c r="M464" s="99"/>
      <c r="N464" s="43">
        <f t="shared" si="7"/>
        <v>0</v>
      </c>
    </row>
    <row r="465" spans="2:14" ht="1.5" customHeight="1">
      <c r="B465" s="57"/>
      <c r="C465" s="60"/>
      <c r="D465" s="60"/>
      <c r="E465" s="60"/>
      <c r="F465" s="60"/>
      <c r="G465" s="60"/>
      <c r="J465" s="99"/>
      <c r="K465" s="99"/>
      <c r="L465" s="99"/>
      <c r="M465" s="99"/>
      <c r="N465" s="43">
        <f t="shared" si="7"/>
        <v>0</v>
      </c>
    </row>
    <row r="466" spans="2:14" ht="1.5" customHeight="1">
      <c r="B466" s="57"/>
      <c r="C466" s="60"/>
      <c r="D466" s="60"/>
      <c r="E466" s="60"/>
      <c r="F466" s="60"/>
      <c r="G466" s="60"/>
      <c r="J466" s="99"/>
      <c r="K466" s="99"/>
      <c r="L466" s="99"/>
      <c r="M466" s="99"/>
      <c r="N466" s="43">
        <f t="shared" si="7"/>
        <v>0</v>
      </c>
    </row>
    <row r="467" spans="2:14" ht="1.5" customHeight="1">
      <c r="B467" s="57"/>
      <c r="C467" s="60"/>
      <c r="D467" s="60"/>
      <c r="E467" s="60"/>
      <c r="F467" s="60"/>
      <c r="G467" s="60"/>
      <c r="J467" s="99"/>
      <c r="K467" s="99"/>
      <c r="L467" s="99"/>
      <c r="M467" s="99"/>
      <c r="N467" s="43">
        <f t="shared" si="7"/>
        <v>0</v>
      </c>
    </row>
    <row r="468" spans="2:14" ht="1.5" customHeight="1">
      <c r="B468" s="57"/>
      <c r="C468" s="60"/>
      <c r="D468" s="60"/>
      <c r="E468" s="60"/>
      <c r="F468" s="60"/>
      <c r="G468" s="60"/>
      <c r="J468" s="99"/>
      <c r="K468" s="99"/>
      <c r="L468" s="99"/>
      <c r="M468" s="99"/>
      <c r="N468" s="43">
        <f t="shared" si="7"/>
        <v>0</v>
      </c>
    </row>
    <row r="469" spans="2:14" ht="1.5" customHeight="1">
      <c r="B469" s="57"/>
      <c r="C469" s="60"/>
      <c r="D469" s="60"/>
      <c r="E469" s="60"/>
      <c r="F469" s="60"/>
      <c r="G469" s="60"/>
      <c r="J469" s="99"/>
      <c r="K469" s="99"/>
      <c r="L469" s="99"/>
      <c r="M469" s="99"/>
      <c r="N469" s="43">
        <f t="shared" si="7"/>
        <v>0</v>
      </c>
    </row>
    <row r="470" spans="2:14" ht="1.5" customHeight="1">
      <c r="B470" s="57"/>
      <c r="C470" s="60"/>
      <c r="D470" s="60"/>
      <c r="E470" s="60"/>
      <c r="F470" s="60"/>
      <c r="G470" s="60"/>
      <c r="J470" s="99"/>
      <c r="K470" s="99"/>
      <c r="L470" s="99"/>
      <c r="M470" s="99"/>
      <c r="N470" s="43">
        <f t="shared" si="7"/>
        <v>0</v>
      </c>
    </row>
    <row r="471" spans="2:14" ht="1.5" customHeight="1">
      <c r="B471" s="57"/>
      <c r="C471" s="60"/>
      <c r="D471" s="60"/>
      <c r="E471" s="60"/>
      <c r="F471" s="60"/>
      <c r="G471" s="60"/>
      <c r="J471" s="99"/>
      <c r="K471" s="99"/>
      <c r="L471" s="99"/>
      <c r="M471" s="99"/>
      <c r="N471" s="43">
        <f t="shared" si="7"/>
        <v>0</v>
      </c>
    </row>
    <row r="472" spans="2:14" ht="1.5" customHeight="1">
      <c r="B472" s="57"/>
      <c r="C472" s="60"/>
      <c r="D472" s="60"/>
      <c r="E472" s="60"/>
      <c r="F472" s="60"/>
      <c r="G472" s="60"/>
      <c r="J472" s="99"/>
      <c r="K472" s="99"/>
      <c r="L472" s="99"/>
      <c r="M472" s="99"/>
      <c r="N472" s="43">
        <f t="shared" si="7"/>
        <v>0</v>
      </c>
    </row>
    <row r="473" spans="2:14" ht="1.5" customHeight="1">
      <c r="B473" s="57"/>
      <c r="C473" s="60"/>
      <c r="D473" s="60"/>
      <c r="E473" s="60"/>
      <c r="F473" s="60"/>
      <c r="G473" s="60"/>
      <c r="J473" s="99"/>
      <c r="K473" s="99"/>
      <c r="L473" s="99"/>
      <c r="M473" s="99"/>
      <c r="N473" s="43">
        <f t="shared" si="7"/>
        <v>0</v>
      </c>
    </row>
    <row r="474" spans="2:14" ht="1.5" customHeight="1">
      <c r="B474" s="57"/>
      <c r="C474" s="60"/>
      <c r="D474" s="60"/>
      <c r="E474" s="60"/>
      <c r="F474" s="60"/>
      <c r="G474" s="60"/>
      <c r="J474" s="99"/>
      <c r="K474" s="99"/>
      <c r="L474" s="99"/>
      <c r="M474" s="99"/>
      <c r="N474" s="43">
        <f t="shared" si="7"/>
        <v>0</v>
      </c>
    </row>
    <row r="475" spans="2:14" ht="1.5" customHeight="1">
      <c r="B475" s="57"/>
      <c r="C475" s="60"/>
      <c r="D475" s="60"/>
      <c r="E475" s="60"/>
      <c r="F475" s="60"/>
      <c r="G475" s="60"/>
      <c r="J475" s="99"/>
      <c r="K475" s="99"/>
      <c r="L475" s="99"/>
      <c r="M475" s="99"/>
      <c r="N475" s="43">
        <f t="shared" si="7"/>
        <v>0</v>
      </c>
    </row>
    <row r="476" spans="2:14" ht="1.5" customHeight="1">
      <c r="B476" s="57"/>
      <c r="C476" s="60"/>
      <c r="D476" s="60"/>
      <c r="E476" s="60"/>
      <c r="F476" s="60"/>
      <c r="G476" s="60"/>
      <c r="J476" s="99"/>
      <c r="K476" s="99"/>
      <c r="L476" s="99"/>
      <c r="M476" s="99"/>
      <c r="N476" s="43">
        <f t="shared" si="7"/>
        <v>0</v>
      </c>
    </row>
    <row r="477" spans="2:14" ht="1.5" customHeight="1">
      <c r="B477" s="57"/>
      <c r="C477" s="60"/>
      <c r="D477" s="60"/>
      <c r="E477" s="60"/>
      <c r="F477" s="60"/>
      <c r="G477" s="60"/>
      <c r="J477" s="99"/>
      <c r="K477" s="99"/>
      <c r="L477" s="99"/>
      <c r="M477" s="99"/>
      <c r="N477" s="43">
        <f t="shared" si="7"/>
        <v>0</v>
      </c>
    </row>
    <row r="478" spans="2:14" ht="1.5" customHeight="1">
      <c r="B478" s="57"/>
      <c r="C478" s="60"/>
      <c r="D478" s="60"/>
      <c r="E478" s="60"/>
      <c r="F478" s="60"/>
      <c r="G478" s="60"/>
      <c r="J478" s="99"/>
      <c r="K478" s="99"/>
      <c r="L478" s="99"/>
      <c r="M478" s="99"/>
      <c r="N478" s="43">
        <f t="shared" si="7"/>
        <v>0</v>
      </c>
    </row>
    <row r="479" spans="2:14" ht="1.5" customHeight="1">
      <c r="B479" s="57"/>
      <c r="C479" s="60"/>
      <c r="D479" s="60"/>
      <c r="E479" s="60"/>
      <c r="F479" s="60"/>
      <c r="G479" s="60"/>
      <c r="J479" s="99"/>
      <c r="K479" s="99"/>
      <c r="L479" s="99"/>
      <c r="M479" s="99"/>
      <c r="N479" s="43">
        <f t="shared" si="7"/>
        <v>0</v>
      </c>
    </row>
    <row r="480" spans="2:14" ht="1.5" customHeight="1">
      <c r="B480" s="57"/>
      <c r="C480" s="60"/>
      <c r="D480" s="60"/>
      <c r="E480" s="60"/>
      <c r="F480" s="60"/>
      <c r="G480" s="60"/>
      <c r="J480" s="99"/>
      <c r="K480" s="99"/>
      <c r="L480" s="99"/>
      <c r="M480" s="99"/>
      <c r="N480" s="43">
        <f t="shared" si="7"/>
        <v>0</v>
      </c>
    </row>
    <row r="481" spans="2:14" ht="1.5" customHeight="1">
      <c r="B481" s="57"/>
      <c r="C481" s="60"/>
      <c r="D481" s="60"/>
      <c r="E481" s="60"/>
      <c r="F481" s="60"/>
      <c r="G481" s="60"/>
      <c r="J481" s="99"/>
      <c r="K481" s="99"/>
      <c r="L481" s="99"/>
      <c r="M481" s="99"/>
      <c r="N481" s="43">
        <f t="shared" si="7"/>
        <v>0</v>
      </c>
    </row>
    <row r="482" spans="2:14" ht="1.5" customHeight="1">
      <c r="B482" s="57"/>
      <c r="C482" s="60"/>
      <c r="D482" s="60"/>
      <c r="E482" s="60"/>
      <c r="F482" s="60"/>
      <c r="G482" s="60"/>
      <c r="J482" s="99"/>
      <c r="K482" s="99"/>
      <c r="L482" s="99"/>
      <c r="M482" s="99"/>
      <c r="N482" s="43">
        <f t="shared" si="7"/>
        <v>0</v>
      </c>
    </row>
    <row r="483" spans="2:14" ht="1.5" customHeight="1">
      <c r="B483" s="57"/>
      <c r="C483" s="60"/>
      <c r="D483" s="60"/>
      <c r="E483" s="60"/>
      <c r="F483" s="60"/>
      <c r="G483" s="60"/>
      <c r="J483" s="99"/>
      <c r="K483" s="99"/>
      <c r="L483" s="99"/>
      <c r="M483" s="99"/>
      <c r="N483" s="43">
        <f t="shared" si="7"/>
        <v>0</v>
      </c>
    </row>
    <row r="484" spans="2:14" ht="1.5" customHeight="1">
      <c r="B484" s="57"/>
      <c r="C484" s="60"/>
      <c r="D484" s="60"/>
      <c r="E484" s="60"/>
      <c r="F484" s="60"/>
      <c r="G484" s="60"/>
      <c r="J484" s="99"/>
      <c r="K484" s="99"/>
      <c r="L484" s="99"/>
      <c r="M484" s="99"/>
      <c r="N484" s="43">
        <f t="shared" si="7"/>
        <v>0</v>
      </c>
    </row>
    <row r="485" spans="2:14" ht="1.5" customHeight="1">
      <c r="B485" s="57"/>
      <c r="C485" s="60"/>
      <c r="D485" s="60"/>
      <c r="E485" s="60"/>
      <c r="F485" s="60"/>
      <c r="G485" s="60"/>
      <c r="J485" s="99"/>
      <c r="K485" s="99"/>
      <c r="L485" s="99"/>
      <c r="M485" s="99"/>
      <c r="N485" s="43">
        <f t="shared" si="7"/>
        <v>0</v>
      </c>
    </row>
    <row r="486" spans="2:14" ht="1.5" customHeight="1">
      <c r="B486" s="57"/>
      <c r="C486" s="60"/>
      <c r="D486" s="60"/>
      <c r="E486" s="60"/>
      <c r="F486" s="60"/>
      <c r="G486" s="60"/>
      <c r="J486" s="99"/>
      <c r="K486" s="99"/>
      <c r="L486" s="99"/>
      <c r="M486" s="99"/>
      <c r="N486" s="43">
        <f t="shared" si="7"/>
        <v>0</v>
      </c>
    </row>
    <row r="487" spans="2:14" ht="1.5" customHeight="1">
      <c r="B487" s="57"/>
      <c r="C487" s="60"/>
      <c r="D487" s="60"/>
      <c r="E487" s="60"/>
      <c r="F487" s="60"/>
      <c r="G487" s="60"/>
      <c r="J487" s="99"/>
      <c r="K487" s="99"/>
      <c r="L487" s="99"/>
      <c r="M487" s="99"/>
      <c r="N487" s="43">
        <f t="shared" si="7"/>
        <v>0</v>
      </c>
    </row>
    <row r="488" spans="2:14" ht="1.5" customHeight="1">
      <c r="B488" s="57"/>
      <c r="C488" s="60"/>
      <c r="D488" s="60"/>
      <c r="E488" s="60"/>
      <c r="F488" s="60"/>
      <c r="G488" s="60"/>
      <c r="J488" s="99"/>
      <c r="K488" s="99"/>
      <c r="L488" s="99"/>
      <c r="M488" s="99"/>
      <c r="N488" s="43">
        <f t="shared" si="7"/>
        <v>0</v>
      </c>
    </row>
    <row r="489" spans="2:14" ht="1.5" customHeight="1">
      <c r="B489" s="57"/>
      <c r="C489" s="60"/>
      <c r="D489" s="60"/>
      <c r="E489" s="60"/>
      <c r="F489" s="60"/>
      <c r="G489" s="60"/>
      <c r="J489" s="99"/>
      <c r="K489" s="99"/>
      <c r="L489" s="99"/>
      <c r="M489" s="99"/>
      <c r="N489" s="43">
        <f t="shared" si="7"/>
        <v>0</v>
      </c>
    </row>
    <row r="490" spans="2:14" ht="1.5" customHeight="1">
      <c r="B490" s="57"/>
      <c r="C490" s="60"/>
      <c r="D490" s="60"/>
      <c r="E490" s="60"/>
      <c r="F490" s="60"/>
      <c r="G490" s="60"/>
      <c r="J490" s="99"/>
      <c r="K490" s="99"/>
      <c r="L490" s="99"/>
      <c r="M490" s="99"/>
      <c r="N490" s="43">
        <f t="shared" si="7"/>
        <v>0</v>
      </c>
    </row>
    <row r="491" spans="2:14" ht="1.5" customHeight="1">
      <c r="B491" s="57"/>
      <c r="C491" s="60"/>
      <c r="D491" s="60"/>
      <c r="E491" s="60"/>
      <c r="F491" s="60"/>
      <c r="G491" s="60"/>
      <c r="J491" s="99"/>
      <c r="K491" s="99"/>
      <c r="L491" s="99"/>
      <c r="M491" s="99"/>
      <c r="N491" s="43">
        <f t="shared" si="7"/>
        <v>0</v>
      </c>
    </row>
    <row r="492" spans="2:14" ht="1.5" customHeight="1">
      <c r="B492" s="57"/>
      <c r="C492" s="60"/>
      <c r="D492" s="60"/>
      <c r="E492" s="60"/>
      <c r="F492" s="60"/>
      <c r="G492" s="60"/>
      <c r="J492" s="99"/>
      <c r="K492" s="99"/>
      <c r="L492" s="99"/>
      <c r="M492" s="99"/>
      <c r="N492" s="43">
        <f t="shared" si="7"/>
        <v>0</v>
      </c>
    </row>
    <row r="493" spans="2:14" ht="1.5" customHeight="1">
      <c r="B493" s="57"/>
      <c r="C493" s="60"/>
      <c r="D493" s="60"/>
      <c r="E493" s="60"/>
      <c r="F493" s="60"/>
      <c r="G493" s="60"/>
      <c r="J493" s="99"/>
      <c r="K493" s="99"/>
      <c r="L493" s="99"/>
      <c r="M493" s="99"/>
      <c r="N493" s="43">
        <f t="shared" si="7"/>
        <v>0</v>
      </c>
    </row>
    <row r="494" spans="2:14" ht="1.5" customHeight="1">
      <c r="B494" s="57"/>
      <c r="C494" s="60"/>
      <c r="D494" s="60"/>
      <c r="E494" s="60"/>
      <c r="F494" s="60"/>
      <c r="G494" s="60"/>
      <c r="J494" s="99"/>
      <c r="K494" s="99"/>
      <c r="L494" s="99"/>
      <c r="M494" s="99"/>
      <c r="N494" s="43">
        <f t="shared" si="7"/>
        <v>0</v>
      </c>
    </row>
    <row r="495" spans="2:14" ht="1.5" customHeight="1">
      <c r="B495" s="57"/>
      <c r="C495" s="60"/>
      <c r="D495" s="60"/>
      <c r="E495" s="60"/>
      <c r="F495" s="60"/>
      <c r="G495" s="60"/>
      <c r="J495" s="99"/>
      <c r="K495" s="99"/>
      <c r="L495" s="99"/>
      <c r="M495" s="99"/>
      <c r="N495" s="43">
        <f t="shared" si="7"/>
        <v>0</v>
      </c>
    </row>
    <row r="496" spans="2:14" ht="1.5" customHeight="1">
      <c r="B496" s="57"/>
      <c r="C496" s="60"/>
      <c r="D496" s="60"/>
      <c r="E496" s="60"/>
      <c r="F496" s="60"/>
      <c r="G496" s="60"/>
      <c r="J496" s="99"/>
      <c r="K496" s="99"/>
      <c r="L496" s="99"/>
      <c r="M496" s="99"/>
      <c r="N496" s="43">
        <f t="shared" si="7"/>
        <v>0</v>
      </c>
    </row>
    <row r="497" spans="2:14" ht="1.5" customHeight="1">
      <c r="B497" s="57"/>
      <c r="C497" s="60"/>
      <c r="D497" s="60"/>
      <c r="E497" s="60"/>
      <c r="F497" s="60"/>
      <c r="G497" s="60"/>
      <c r="J497" s="99"/>
      <c r="K497" s="99"/>
      <c r="L497" s="99"/>
      <c r="M497" s="99"/>
      <c r="N497" s="43">
        <f t="shared" si="7"/>
        <v>0</v>
      </c>
    </row>
    <row r="498" spans="2:14" ht="1.5" customHeight="1">
      <c r="B498" s="57"/>
      <c r="C498" s="60"/>
      <c r="D498" s="60"/>
      <c r="E498" s="60"/>
      <c r="F498" s="60"/>
      <c r="G498" s="60"/>
      <c r="J498" s="99"/>
      <c r="K498" s="99"/>
      <c r="L498" s="99"/>
      <c r="M498" s="99"/>
      <c r="N498" s="43">
        <f t="shared" si="7"/>
        <v>0</v>
      </c>
    </row>
    <row r="499" spans="2:14" ht="1.5" customHeight="1">
      <c r="B499" s="57"/>
      <c r="C499" s="60"/>
      <c r="D499" s="60"/>
      <c r="E499" s="60"/>
      <c r="F499" s="60"/>
      <c r="G499" s="60"/>
      <c r="J499" s="99"/>
      <c r="K499" s="99"/>
      <c r="L499" s="99"/>
      <c r="M499" s="99"/>
      <c r="N499" s="43">
        <f t="shared" si="7"/>
        <v>0</v>
      </c>
    </row>
    <row r="500" spans="2:14" ht="1.5" customHeight="1">
      <c r="B500" s="57"/>
      <c r="C500" s="60"/>
      <c r="D500" s="60"/>
      <c r="E500" s="60"/>
      <c r="F500" s="60"/>
      <c r="G500" s="60"/>
      <c r="J500" s="99"/>
      <c r="K500" s="99"/>
      <c r="L500" s="99"/>
      <c r="M500" s="99"/>
      <c r="N500" s="43">
        <f t="shared" si="7"/>
        <v>0</v>
      </c>
    </row>
    <row r="501" spans="2:14" ht="1.5" customHeight="1">
      <c r="B501" s="57"/>
      <c r="C501" s="60"/>
      <c r="D501" s="60"/>
      <c r="E501" s="60"/>
      <c r="F501" s="60"/>
      <c r="G501" s="60"/>
      <c r="J501" s="99"/>
      <c r="K501" s="99"/>
      <c r="L501" s="99"/>
      <c r="M501" s="99"/>
      <c r="N501" s="43">
        <f t="shared" si="7"/>
        <v>0</v>
      </c>
    </row>
    <row r="502" spans="2:14" ht="1.5" customHeight="1">
      <c r="B502" s="57"/>
      <c r="C502" s="60"/>
      <c r="D502" s="60"/>
      <c r="E502" s="60"/>
      <c r="F502" s="60"/>
      <c r="G502" s="60"/>
      <c r="J502" s="99"/>
      <c r="K502" s="99"/>
      <c r="L502" s="99"/>
      <c r="M502" s="99"/>
      <c r="N502" s="43">
        <f t="shared" si="7"/>
        <v>0</v>
      </c>
    </row>
    <row r="503" spans="2:14" ht="1.5" customHeight="1">
      <c r="B503" s="57"/>
      <c r="C503" s="60"/>
      <c r="D503" s="60"/>
      <c r="E503" s="60"/>
      <c r="F503" s="60"/>
      <c r="G503" s="60"/>
      <c r="J503" s="99"/>
      <c r="K503" s="99"/>
      <c r="L503" s="99"/>
      <c r="M503" s="99"/>
      <c r="N503" s="43">
        <f t="shared" si="7"/>
        <v>0</v>
      </c>
    </row>
    <row r="504" spans="2:14" ht="1.5" customHeight="1">
      <c r="B504" s="57"/>
      <c r="C504" s="60"/>
      <c r="D504" s="60"/>
      <c r="E504" s="60"/>
      <c r="F504" s="60"/>
      <c r="G504" s="60"/>
      <c r="J504" s="99"/>
      <c r="K504" s="99"/>
      <c r="L504" s="99"/>
      <c r="M504" s="99"/>
      <c r="N504" s="43">
        <f t="shared" si="7"/>
        <v>0</v>
      </c>
    </row>
    <row r="505" spans="2:14" ht="1.5" customHeight="1">
      <c r="B505" s="57"/>
      <c r="C505" s="60"/>
      <c r="D505" s="60"/>
      <c r="E505" s="60"/>
      <c r="F505" s="60"/>
      <c r="G505" s="60"/>
      <c r="J505" s="99"/>
      <c r="K505" s="99"/>
      <c r="L505" s="99"/>
      <c r="M505" s="99"/>
      <c r="N505" s="43">
        <f t="shared" si="7"/>
        <v>0</v>
      </c>
    </row>
    <row r="506" spans="2:14" ht="1.5" customHeight="1">
      <c r="B506" s="57"/>
      <c r="C506" s="60"/>
      <c r="D506" s="60"/>
      <c r="E506" s="60"/>
      <c r="F506" s="60"/>
      <c r="G506" s="60"/>
      <c r="J506" s="99"/>
      <c r="K506" s="99"/>
      <c r="L506" s="99"/>
      <c r="M506" s="99"/>
      <c r="N506" s="43">
        <f t="shared" si="7"/>
        <v>0</v>
      </c>
    </row>
    <row r="507" spans="2:14" ht="1.5" customHeight="1">
      <c r="B507" s="57"/>
      <c r="C507" s="60"/>
      <c r="D507" s="60"/>
      <c r="E507" s="60"/>
      <c r="F507" s="60"/>
      <c r="G507" s="60"/>
      <c r="J507" s="99"/>
      <c r="K507" s="99"/>
      <c r="L507" s="99"/>
      <c r="M507" s="99"/>
      <c r="N507" s="43">
        <f t="shared" si="7"/>
        <v>0</v>
      </c>
    </row>
    <row r="508" spans="2:14" ht="1.5" customHeight="1">
      <c r="B508" s="57"/>
      <c r="C508" s="60"/>
      <c r="D508" s="60"/>
      <c r="E508" s="60"/>
      <c r="F508" s="60"/>
      <c r="G508" s="60"/>
      <c r="J508" s="99"/>
      <c r="K508" s="99"/>
      <c r="L508" s="99"/>
      <c r="M508" s="99"/>
      <c r="N508" s="43">
        <f t="shared" si="7"/>
        <v>0</v>
      </c>
    </row>
    <row r="509" spans="2:14" ht="1.5" customHeight="1">
      <c r="B509" s="57"/>
      <c r="C509" s="60"/>
      <c r="D509" s="60"/>
      <c r="E509" s="60"/>
      <c r="F509" s="60"/>
      <c r="G509" s="60"/>
      <c r="J509" s="99"/>
      <c r="K509" s="99"/>
      <c r="L509" s="99"/>
      <c r="M509" s="99"/>
      <c r="N509" s="43">
        <f t="shared" si="7"/>
        <v>0</v>
      </c>
    </row>
    <row r="510" spans="2:14" ht="1.5" customHeight="1">
      <c r="B510" s="57"/>
      <c r="C510" s="60"/>
      <c r="D510" s="60"/>
      <c r="E510" s="60"/>
      <c r="F510" s="60"/>
      <c r="G510" s="60"/>
      <c r="J510" s="99"/>
      <c r="K510" s="99"/>
      <c r="L510" s="99"/>
      <c r="M510" s="99"/>
      <c r="N510" s="43">
        <f t="shared" si="7"/>
        <v>0</v>
      </c>
    </row>
    <row r="511" spans="2:14" ht="1.5" customHeight="1">
      <c r="B511" s="57"/>
      <c r="C511" s="60"/>
      <c r="D511" s="60"/>
      <c r="E511" s="60"/>
      <c r="F511" s="60"/>
      <c r="G511" s="60"/>
      <c r="J511" s="99"/>
      <c r="K511" s="99"/>
      <c r="L511" s="99"/>
      <c r="M511" s="99"/>
      <c r="N511" s="43">
        <f t="shared" si="7"/>
        <v>0</v>
      </c>
    </row>
    <row r="512" spans="2:14" ht="1.5" customHeight="1">
      <c r="B512" s="57"/>
      <c r="C512" s="60"/>
      <c r="D512" s="60"/>
      <c r="E512" s="60"/>
      <c r="F512" s="60"/>
      <c r="G512" s="60"/>
      <c r="J512" s="99"/>
      <c r="K512" s="99"/>
      <c r="L512" s="99"/>
      <c r="M512" s="99"/>
      <c r="N512" s="43">
        <f t="shared" si="7"/>
        <v>0</v>
      </c>
    </row>
    <row r="513" spans="2:14" ht="1.5" customHeight="1">
      <c r="B513" s="57"/>
      <c r="C513" s="60"/>
      <c r="D513" s="60"/>
      <c r="E513" s="60"/>
      <c r="F513" s="60"/>
      <c r="G513" s="60"/>
      <c r="J513" s="99"/>
      <c r="K513" s="99"/>
      <c r="L513" s="99"/>
      <c r="M513" s="99"/>
      <c r="N513" s="43">
        <f t="shared" si="7"/>
        <v>0</v>
      </c>
    </row>
    <row r="514" spans="2:14" ht="1.5" customHeight="1">
      <c r="B514" s="57"/>
      <c r="C514" s="60"/>
      <c r="D514" s="60"/>
      <c r="E514" s="60"/>
      <c r="F514" s="60"/>
      <c r="G514" s="60"/>
      <c r="J514" s="99"/>
      <c r="K514" s="99"/>
      <c r="L514" s="99"/>
      <c r="M514" s="99"/>
      <c r="N514" s="43">
        <f t="shared" si="7"/>
        <v>0</v>
      </c>
    </row>
    <row r="515" spans="2:14" ht="1.5" customHeight="1">
      <c r="B515" s="57"/>
      <c r="C515" s="60"/>
      <c r="D515" s="60"/>
      <c r="E515" s="60"/>
      <c r="F515" s="60"/>
      <c r="G515" s="60"/>
      <c r="J515" s="99"/>
      <c r="K515" s="99"/>
      <c r="L515" s="99"/>
      <c r="M515" s="99"/>
      <c r="N515" s="43">
        <f t="shared" si="7"/>
        <v>0</v>
      </c>
    </row>
    <row r="516" spans="2:14" ht="1.5" customHeight="1">
      <c r="B516" s="57"/>
      <c r="C516" s="60"/>
      <c r="D516" s="60"/>
      <c r="E516" s="60"/>
      <c r="F516" s="60"/>
      <c r="G516" s="60"/>
      <c r="J516" s="99"/>
      <c r="K516" s="99"/>
      <c r="L516" s="99"/>
      <c r="M516" s="99"/>
      <c r="N516" s="43">
        <f t="shared" si="7"/>
        <v>0</v>
      </c>
    </row>
    <row r="517" spans="2:14" ht="1.5" customHeight="1">
      <c r="B517" s="57"/>
      <c r="C517" s="60"/>
      <c r="D517" s="60"/>
      <c r="E517" s="60"/>
      <c r="F517" s="60"/>
      <c r="G517" s="60"/>
      <c r="J517" s="99"/>
      <c r="K517" s="99"/>
      <c r="L517" s="99"/>
      <c r="M517" s="99"/>
      <c r="N517" s="43">
        <f t="shared" si="7"/>
        <v>0</v>
      </c>
    </row>
    <row r="518" spans="2:14" ht="1.5" customHeight="1">
      <c r="B518" s="57"/>
      <c r="C518" s="60"/>
      <c r="D518" s="60"/>
      <c r="E518" s="60"/>
      <c r="F518" s="60"/>
      <c r="G518" s="60"/>
      <c r="J518" s="99"/>
      <c r="K518" s="99"/>
      <c r="L518" s="99"/>
      <c r="M518" s="99"/>
      <c r="N518" s="43">
        <f t="shared" si="7"/>
        <v>0</v>
      </c>
    </row>
    <row r="519" spans="2:14" ht="1.5" customHeight="1">
      <c r="B519" s="57"/>
      <c r="C519" s="60"/>
      <c r="D519" s="60"/>
      <c r="E519" s="60"/>
      <c r="F519" s="60"/>
      <c r="G519" s="60"/>
      <c r="J519" s="99"/>
      <c r="K519" s="99"/>
      <c r="L519" s="99"/>
      <c r="M519" s="99"/>
      <c r="N519" s="43">
        <f t="shared" si="7"/>
        <v>0</v>
      </c>
    </row>
    <row r="520" spans="2:14" ht="1.5" customHeight="1">
      <c r="B520" s="57"/>
      <c r="C520" s="60"/>
      <c r="D520" s="60"/>
      <c r="E520" s="60"/>
      <c r="F520" s="60"/>
      <c r="G520" s="60"/>
      <c r="J520" s="99"/>
      <c r="K520" s="99"/>
      <c r="L520" s="99"/>
      <c r="M520" s="99"/>
      <c r="N520" s="43">
        <f t="shared" si="7"/>
        <v>0</v>
      </c>
    </row>
    <row r="521" spans="2:14" ht="1.5" customHeight="1">
      <c r="B521" s="57"/>
      <c r="C521" s="60"/>
      <c r="D521" s="60"/>
      <c r="E521" s="60"/>
      <c r="F521" s="60"/>
      <c r="G521" s="60"/>
      <c r="J521" s="99"/>
      <c r="K521" s="99"/>
      <c r="L521" s="99"/>
      <c r="M521" s="99"/>
      <c r="N521" s="43">
        <f t="shared" si="7"/>
        <v>0</v>
      </c>
    </row>
    <row r="522" spans="2:14" ht="1.5" customHeight="1">
      <c r="B522" s="57"/>
      <c r="C522" s="60"/>
      <c r="D522" s="60"/>
      <c r="E522" s="60"/>
      <c r="F522" s="60"/>
      <c r="G522" s="60"/>
      <c r="J522" s="99"/>
      <c r="K522" s="99"/>
      <c r="L522" s="99"/>
      <c r="M522" s="99"/>
      <c r="N522" s="43">
        <f t="shared" si="7"/>
        <v>0</v>
      </c>
    </row>
    <row r="523" spans="2:14" ht="1.5" customHeight="1">
      <c r="B523" s="57"/>
      <c r="C523" s="60"/>
      <c r="D523" s="60"/>
      <c r="E523" s="60"/>
      <c r="F523" s="60"/>
      <c r="G523" s="60"/>
      <c r="J523" s="99"/>
      <c r="K523" s="99"/>
      <c r="L523" s="99"/>
      <c r="M523" s="99"/>
      <c r="N523" s="43">
        <f t="shared" ref="N523:N586" si="8">IF($L$4=$C$10,C523,IF(D523="","",B523))</f>
        <v>0</v>
      </c>
    </row>
    <row r="524" spans="2:14" ht="1.5" customHeight="1">
      <c r="B524" s="57"/>
      <c r="C524" s="60"/>
      <c r="D524" s="60"/>
      <c r="E524" s="60"/>
      <c r="F524" s="60"/>
      <c r="G524" s="60"/>
      <c r="J524" s="99"/>
      <c r="K524" s="99"/>
      <c r="L524" s="99"/>
      <c r="M524" s="99"/>
      <c r="N524" s="43">
        <f t="shared" si="8"/>
        <v>0</v>
      </c>
    </row>
    <row r="525" spans="2:14" ht="1.5" customHeight="1">
      <c r="B525" s="57"/>
      <c r="C525" s="60"/>
      <c r="D525" s="60"/>
      <c r="E525" s="60"/>
      <c r="F525" s="60"/>
      <c r="G525" s="60"/>
      <c r="J525" s="99"/>
      <c r="K525" s="99"/>
      <c r="L525" s="99"/>
      <c r="M525" s="99"/>
      <c r="N525" s="43">
        <f t="shared" si="8"/>
        <v>0</v>
      </c>
    </row>
    <row r="526" spans="2:14" ht="1.5" customHeight="1">
      <c r="B526" s="57"/>
      <c r="C526" s="60"/>
      <c r="D526" s="60"/>
      <c r="E526" s="60"/>
      <c r="F526" s="60"/>
      <c r="G526" s="60"/>
      <c r="J526" s="99"/>
      <c r="K526" s="99"/>
      <c r="L526" s="99"/>
      <c r="M526" s="99"/>
      <c r="N526" s="43">
        <f t="shared" si="8"/>
        <v>0</v>
      </c>
    </row>
    <row r="527" spans="2:14" ht="1.5" customHeight="1">
      <c r="B527" s="57"/>
      <c r="C527" s="60"/>
      <c r="D527" s="60"/>
      <c r="E527" s="60"/>
      <c r="F527" s="60"/>
      <c r="G527" s="60"/>
      <c r="J527" s="99"/>
      <c r="K527" s="99"/>
      <c r="L527" s="99"/>
      <c r="M527" s="99"/>
      <c r="N527" s="43">
        <f t="shared" si="8"/>
        <v>0</v>
      </c>
    </row>
    <row r="528" spans="2:14" ht="1.5" customHeight="1">
      <c r="B528" s="57"/>
      <c r="C528" s="60"/>
      <c r="D528" s="60"/>
      <c r="E528" s="60"/>
      <c r="F528" s="60"/>
      <c r="G528" s="60"/>
      <c r="J528" s="99"/>
      <c r="K528" s="99"/>
      <c r="L528" s="99"/>
      <c r="M528" s="99"/>
      <c r="N528" s="43">
        <f t="shared" si="8"/>
        <v>0</v>
      </c>
    </row>
    <row r="529" spans="2:14" ht="1.5" customHeight="1">
      <c r="B529" s="57"/>
      <c r="C529" s="60"/>
      <c r="D529" s="60"/>
      <c r="E529" s="60"/>
      <c r="F529" s="60"/>
      <c r="G529" s="60"/>
      <c r="J529" s="99"/>
      <c r="K529" s="99"/>
      <c r="L529" s="99"/>
      <c r="M529" s="99"/>
      <c r="N529" s="43">
        <f t="shared" si="8"/>
        <v>0</v>
      </c>
    </row>
    <row r="530" spans="2:14" ht="1.5" customHeight="1">
      <c r="B530" s="57"/>
      <c r="C530" s="60"/>
      <c r="D530" s="60"/>
      <c r="E530" s="60"/>
      <c r="F530" s="60"/>
      <c r="G530" s="60"/>
      <c r="J530" s="99"/>
      <c r="K530" s="99"/>
      <c r="L530" s="99"/>
      <c r="M530" s="99"/>
      <c r="N530" s="43">
        <f t="shared" si="8"/>
        <v>0</v>
      </c>
    </row>
    <row r="531" spans="2:14" ht="1.5" customHeight="1">
      <c r="B531" s="57"/>
      <c r="C531" s="60"/>
      <c r="D531" s="60"/>
      <c r="E531" s="60"/>
      <c r="F531" s="60"/>
      <c r="G531" s="60"/>
      <c r="J531" s="99"/>
      <c r="K531" s="99"/>
      <c r="L531" s="99"/>
      <c r="M531" s="99"/>
      <c r="N531" s="43">
        <f t="shared" si="8"/>
        <v>0</v>
      </c>
    </row>
    <row r="532" spans="2:14" ht="1.5" customHeight="1">
      <c r="B532" s="57"/>
      <c r="C532" s="60"/>
      <c r="D532" s="60"/>
      <c r="E532" s="60"/>
      <c r="F532" s="60"/>
      <c r="G532" s="60"/>
      <c r="J532" s="99"/>
      <c r="K532" s="99"/>
      <c r="L532" s="99"/>
      <c r="M532" s="99"/>
      <c r="N532" s="43">
        <f t="shared" si="8"/>
        <v>0</v>
      </c>
    </row>
    <row r="533" spans="2:14" ht="1.5" customHeight="1">
      <c r="B533" s="57"/>
      <c r="C533" s="60"/>
      <c r="D533" s="60"/>
      <c r="E533" s="60"/>
      <c r="F533" s="60"/>
      <c r="G533" s="60"/>
      <c r="J533" s="99"/>
      <c r="K533" s="99"/>
      <c r="L533" s="99"/>
      <c r="M533" s="99"/>
      <c r="N533" s="43">
        <f t="shared" si="8"/>
        <v>0</v>
      </c>
    </row>
    <row r="534" spans="2:14" ht="1.5" customHeight="1">
      <c r="B534" s="57"/>
      <c r="C534" s="60"/>
      <c r="D534" s="60"/>
      <c r="E534" s="60"/>
      <c r="F534" s="60"/>
      <c r="G534" s="60"/>
      <c r="J534" s="99"/>
      <c r="K534" s="99"/>
      <c r="L534" s="99"/>
      <c r="M534" s="99"/>
      <c r="N534" s="43">
        <f t="shared" si="8"/>
        <v>0</v>
      </c>
    </row>
    <row r="535" spans="2:14" ht="1.5" customHeight="1">
      <c r="B535" s="57"/>
      <c r="C535" s="60"/>
      <c r="D535" s="60"/>
      <c r="E535" s="60"/>
      <c r="F535" s="60"/>
      <c r="G535" s="60"/>
      <c r="J535" s="99"/>
      <c r="K535" s="99"/>
      <c r="L535" s="99"/>
      <c r="M535" s="99"/>
      <c r="N535" s="43">
        <f t="shared" si="8"/>
        <v>0</v>
      </c>
    </row>
    <row r="536" spans="2:14" ht="1.5" customHeight="1">
      <c r="B536" s="57"/>
      <c r="C536" s="60"/>
      <c r="D536" s="60"/>
      <c r="E536" s="60"/>
      <c r="F536" s="60"/>
      <c r="G536" s="60"/>
      <c r="J536" s="99"/>
      <c r="K536" s="99"/>
      <c r="L536" s="99"/>
      <c r="M536" s="99"/>
      <c r="N536" s="43">
        <f t="shared" si="8"/>
        <v>0</v>
      </c>
    </row>
    <row r="537" spans="2:14" ht="1.5" customHeight="1">
      <c r="B537" s="57"/>
      <c r="C537" s="60"/>
      <c r="D537" s="60"/>
      <c r="E537" s="60"/>
      <c r="F537" s="60"/>
      <c r="G537" s="60"/>
      <c r="J537" s="99"/>
      <c r="K537" s="99"/>
      <c r="L537" s="99"/>
      <c r="M537" s="99"/>
      <c r="N537" s="43">
        <f t="shared" si="8"/>
        <v>0</v>
      </c>
    </row>
    <row r="538" spans="2:14" ht="1.5" customHeight="1">
      <c r="B538" s="57"/>
      <c r="C538" s="60"/>
      <c r="D538" s="60"/>
      <c r="E538" s="60"/>
      <c r="F538" s="60"/>
      <c r="G538" s="60"/>
      <c r="J538" s="99"/>
      <c r="K538" s="99"/>
      <c r="L538" s="99"/>
      <c r="M538" s="99"/>
      <c r="N538" s="43">
        <f t="shared" si="8"/>
        <v>0</v>
      </c>
    </row>
    <row r="539" spans="2:14" ht="1.5" customHeight="1">
      <c r="B539" s="57"/>
      <c r="C539" s="60"/>
      <c r="D539" s="60"/>
      <c r="E539" s="60"/>
      <c r="F539" s="60"/>
      <c r="G539" s="60"/>
      <c r="J539" s="99"/>
      <c r="K539" s="99"/>
      <c r="L539" s="99"/>
      <c r="M539" s="99"/>
      <c r="N539" s="43">
        <f t="shared" si="8"/>
        <v>0</v>
      </c>
    </row>
    <row r="540" spans="2:14" ht="1.5" customHeight="1">
      <c r="B540" s="57"/>
      <c r="C540" s="60"/>
      <c r="D540" s="60"/>
      <c r="E540" s="60"/>
      <c r="F540" s="60"/>
      <c r="G540" s="60"/>
      <c r="J540" s="99"/>
      <c r="K540" s="99"/>
      <c r="L540" s="99"/>
      <c r="M540" s="99"/>
      <c r="N540" s="43">
        <f t="shared" si="8"/>
        <v>0</v>
      </c>
    </row>
    <row r="541" spans="2:14" ht="1.5" customHeight="1">
      <c r="B541" s="57"/>
      <c r="C541" s="60"/>
      <c r="D541" s="60"/>
      <c r="E541" s="60"/>
      <c r="F541" s="60"/>
      <c r="G541" s="60"/>
      <c r="J541" s="99"/>
      <c r="K541" s="99"/>
      <c r="L541" s="99"/>
      <c r="M541" s="99"/>
      <c r="N541" s="43">
        <f t="shared" si="8"/>
        <v>0</v>
      </c>
    </row>
    <row r="542" spans="2:14" ht="1.5" customHeight="1">
      <c r="B542" s="57"/>
      <c r="C542" s="60"/>
      <c r="D542" s="60"/>
      <c r="E542" s="60"/>
      <c r="F542" s="60"/>
      <c r="G542" s="60"/>
      <c r="J542" s="99"/>
      <c r="K542" s="99"/>
      <c r="L542" s="99"/>
      <c r="M542" s="99"/>
      <c r="N542" s="43">
        <f t="shared" si="8"/>
        <v>0</v>
      </c>
    </row>
    <row r="543" spans="2:14" ht="1.5" customHeight="1">
      <c r="B543" s="57"/>
      <c r="C543" s="60"/>
      <c r="D543" s="60"/>
      <c r="E543" s="60"/>
      <c r="F543" s="60"/>
      <c r="G543" s="60"/>
      <c r="J543" s="99"/>
      <c r="K543" s="99"/>
      <c r="L543" s="99"/>
      <c r="M543" s="99"/>
      <c r="N543" s="43">
        <f t="shared" si="8"/>
        <v>0</v>
      </c>
    </row>
    <row r="544" spans="2:14" ht="1.5" customHeight="1">
      <c r="B544" s="57"/>
      <c r="C544" s="60"/>
      <c r="D544" s="60"/>
      <c r="E544" s="60"/>
      <c r="F544" s="60"/>
      <c r="G544" s="60"/>
      <c r="J544" s="99"/>
      <c r="K544" s="99"/>
      <c r="L544" s="99"/>
      <c r="M544" s="99"/>
      <c r="N544" s="43">
        <f t="shared" si="8"/>
        <v>0</v>
      </c>
    </row>
    <row r="545" spans="2:14" ht="1.5" customHeight="1">
      <c r="B545" s="57"/>
      <c r="C545" s="60"/>
      <c r="D545" s="60"/>
      <c r="E545" s="60"/>
      <c r="F545" s="60"/>
      <c r="G545" s="60"/>
      <c r="J545" s="99"/>
      <c r="K545" s="99"/>
      <c r="L545" s="99"/>
      <c r="M545" s="99"/>
      <c r="N545" s="43">
        <f t="shared" si="8"/>
        <v>0</v>
      </c>
    </row>
    <row r="546" spans="2:14" ht="1.5" customHeight="1">
      <c r="B546" s="57"/>
      <c r="C546" s="60"/>
      <c r="D546" s="60"/>
      <c r="E546" s="60"/>
      <c r="F546" s="60"/>
      <c r="G546" s="60"/>
      <c r="J546" s="99"/>
      <c r="K546" s="99"/>
      <c r="L546" s="99"/>
      <c r="M546" s="99"/>
      <c r="N546" s="43">
        <f t="shared" si="8"/>
        <v>0</v>
      </c>
    </row>
    <row r="547" spans="2:14" ht="1.5" customHeight="1">
      <c r="B547" s="57"/>
      <c r="C547" s="60"/>
      <c r="D547" s="60"/>
      <c r="E547" s="60"/>
      <c r="F547" s="60"/>
      <c r="G547" s="60"/>
      <c r="J547" s="99"/>
      <c r="K547" s="99"/>
      <c r="L547" s="99"/>
      <c r="M547" s="99"/>
      <c r="N547" s="43">
        <f t="shared" si="8"/>
        <v>0</v>
      </c>
    </row>
    <row r="548" spans="2:14" ht="1.5" customHeight="1">
      <c r="B548" s="57"/>
      <c r="C548" s="60"/>
      <c r="D548" s="60"/>
      <c r="E548" s="60"/>
      <c r="F548" s="60"/>
      <c r="G548" s="60"/>
      <c r="J548" s="99"/>
      <c r="K548" s="99"/>
      <c r="L548" s="99"/>
      <c r="M548" s="99"/>
      <c r="N548" s="43">
        <f t="shared" si="8"/>
        <v>0</v>
      </c>
    </row>
    <row r="549" spans="2:14" ht="1.5" customHeight="1">
      <c r="B549" s="57"/>
      <c r="C549" s="60"/>
      <c r="D549" s="60"/>
      <c r="E549" s="60"/>
      <c r="F549" s="60"/>
      <c r="G549" s="60"/>
      <c r="J549" s="99"/>
      <c r="K549" s="99"/>
      <c r="L549" s="99"/>
      <c r="M549" s="99"/>
      <c r="N549" s="43">
        <f t="shared" si="8"/>
        <v>0</v>
      </c>
    </row>
    <row r="550" spans="2:14" ht="1.5" customHeight="1">
      <c r="B550" s="57"/>
      <c r="C550" s="60"/>
      <c r="D550" s="60"/>
      <c r="E550" s="60"/>
      <c r="F550" s="60"/>
      <c r="G550" s="60"/>
      <c r="J550" s="99"/>
      <c r="K550" s="99"/>
      <c r="L550" s="99"/>
      <c r="M550" s="99"/>
      <c r="N550" s="43">
        <f t="shared" si="8"/>
        <v>0</v>
      </c>
    </row>
    <row r="551" spans="2:14" ht="1.5" customHeight="1">
      <c r="B551" s="57"/>
      <c r="C551" s="60"/>
      <c r="D551" s="60"/>
      <c r="E551" s="60"/>
      <c r="F551" s="60"/>
      <c r="G551" s="60"/>
      <c r="J551" s="99"/>
      <c r="K551" s="99"/>
      <c r="L551" s="99"/>
      <c r="M551" s="99"/>
      <c r="N551" s="43">
        <f t="shared" si="8"/>
        <v>0</v>
      </c>
    </row>
    <row r="552" spans="2:14" ht="1.5" customHeight="1">
      <c r="B552" s="57"/>
      <c r="C552" s="60"/>
      <c r="D552" s="60"/>
      <c r="E552" s="60"/>
      <c r="F552" s="60"/>
      <c r="G552" s="60"/>
      <c r="J552" s="99"/>
      <c r="K552" s="99"/>
      <c r="L552" s="99"/>
      <c r="M552" s="99"/>
      <c r="N552" s="43">
        <f t="shared" si="8"/>
        <v>0</v>
      </c>
    </row>
    <row r="553" spans="2:14" ht="1.5" customHeight="1">
      <c r="B553" s="57"/>
      <c r="C553" s="60"/>
      <c r="D553" s="60"/>
      <c r="E553" s="60"/>
      <c r="F553" s="60"/>
      <c r="G553" s="60"/>
      <c r="J553" s="99"/>
      <c r="K553" s="99"/>
      <c r="L553" s="99"/>
      <c r="M553" s="99"/>
      <c r="N553" s="43">
        <f t="shared" si="8"/>
        <v>0</v>
      </c>
    </row>
    <row r="554" spans="2:14" ht="1.5" customHeight="1">
      <c r="B554" s="57"/>
      <c r="C554" s="60"/>
      <c r="D554" s="60"/>
      <c r="E554" s="60"/>
      <c r="F554" s="60"/>
      <c r="G554" s="60"/>
      <c r="J554" s="99"/>
      <c r="K554" s="99"/>
      <c r="L554" s="99"/>
      <c r="M554" s="99"/>
      <c r="N554" s="43">
        <f t="shared" si="8"/>
        <v>0</v>
      </c>
    </row>
    <row r="555" spans="2:14" ht="1.5" customHeight="1">
      <c r="B555" s="57"/>
      <c r="C555" s="60"/>
      <c r="D555" s="60"/>
      <c r="E555" s="60"/>
      <c r="F555" s="60"/>
      <c r="G555" s="60"/>
      <c r="J555" s="99"/>
      <c r="K555" s="99"/>
      <c r="L555" s="99"/>
      <c r="M555" s="99"/>
      <c r="N555" s="43">
        <f t="shared" si="8"/>
        <v>0</v>
      </c>
    </row>
    <row r="556" spans="2:14" ht="1.5" customHeight="1">
      <c r="B556" s="57"/>
      <c r="C556" s="60"/>
      <c r="D556" s="60"/>
      <c r="E556" s="60"/>
      <c r="F556" s="60"/>
      <c r="G556" s="60"/>
      <c r="J556" s="99"/>
      <c r="K556" s="99"/>
      <c r="L556" s="99"/>
      <c r="M556" s="99"/>
      <c r="N556" s="43">
        <f t="shared" si="8"/>
        <v>0</v>
      </c>
    </row>
    <row r="557" spans="2:14" ht="1.5" customHeight="1">
      <c r="B557" s="57"/>
      <c r="C557" s="60"/>
      <c r="D557" s="60"/>
      <c r="E557" s="60"/>
      <c r="F557" s="60"/>
      <c r="G557" s="60"/>
      <c r="J557" s="99"/>
      <c r="K557" s="99"/>
      <c r="L557" s="99"/>
      <c r="M557" s="99"/>
      <c r="N557" s="43">
        <f t="shared" si="8"/>
        <v>0</v>
      </c>
    </row>
    <row r="558" spans="2:14" ht="1.5" customHeight="1">
      <c r="B558" s="57"/>
      <c r="C558" s="60"/>
      <c r="D558" s="60"/>
      <c r="E558" s="60"/>
      <c r="F558" s="60"/>
      <c r="G558" s="60"/>
      <c r="J558" s="99"/>
      <c r="K558" s="99"/>
      <c r="L558" s="99"/>
      <c r="M558" s="99"/>
      <c r="N558" s="43">
        <f t="shared" si="8"/>
        <v>0</v>
      </c>
    </row>
    <row r="559" spans="2:14" ht="1.5" customHeight="1">
      <c r="B559" s="57"/>
      <c r="C559" s="60"/>
      <c r="D559" s="60"/>
      <c r="E559" s="60"/>
      <c r="F559" s="60"/>
      <c r="G559" s="60"/>
      <c r="J559" s="99"/>
      <c r="K559" s="99"/>
      <c r="L559" s="99"/>
      <c r="M559" s="99"/>
      <c r="N559" s="43">
        <f t="shared" si="8"/>
        <v>0</v>
      </c>
    </row>
    <row r="560" spans="2:14" ht="1.5" customHeight="1">
      <c r="B560" s="57"/>
      <c r="C560" s="60"/>
      <c r="D560" s="60"/>
      <c r="E560" s="60"/>
      <c r="F560" s="60"/>
      <c r="G560" s="60"/>
      <c r="J560" s="99"/>
      <c r="K560" s="99"/>
      <c r="L560" s="99"/>
      <c r="M560" s="99"/>
      <c r="N560" s="43">
        <f t="shared" si="8"/>
        <v>0</v>
      </c>
    </row>
    <row r="561" spans="2:14" ht="1.5" customHeight="1">
      <c r="B561" s="57"/>
      <c r="C561" s="60"/>
      <c r="D561" s="60"/>
      <c r="E561" s="60"/>
      <c r="F561" s="60"/>
      <c r="G561" s="60"/>
      <c r="J561" s="99"/>
      <c r="K561" s="99"/>
      <c r="L561" s="99"/>
      <c r="M561" s="99"/>
      <c r="N561" s="43">
        <f t="shared" si="8"/>
        <v>0</v>
      </c>
    </row>
    <row r="562" spans="2:14" ht="1.5" customHeight="1">
      <c r="B562" s="57"/>
      <c r="C562" s="60"/>
      <c r="D562" s="60"/>
      <c r="E562" s="60"/>
      <c r="F562" s="60"/>
      <c r="G562" s="60"/>
      <c r="J562" s="99"/>
      <c r="K562" s="99"/>
      <c r="L562" s="99"/>
      <c r="M562" s="99"/>
      <c r="N562" s="43">
        <f t="shared" si="8"/>
        <v>0</v>
      </c>
    </row>
    <row r="563" spans="2:14" ht="1.5" customHeight="1">
      <c r="B563" s="57"/>
      <c r="C563" s="60"/>
      <c r="D563" s="60"/>
      <c r="E563" s="60"/>
      <c r="F563" s="60"/>
      <c r="G563" s="60"/>
      <c r="J563" s="99"/>
      <c r="K563" s="99"/>
      <c r="L563" s="99"/>
      <c r="M563" s="99"/>
      <c r="N563" s="43">
        <f t="shared" si="8"/>
        <v>0</v>
      </c>
    </row>
    <row r="564" spans="2:14" ht="1.5" customHeight="1">
      <c r="B564" s="57"/>
      <c r="C564" s="60"/>
      <c r="D564" s="60"/>
      <c r="E564" s="60"/>
      <c r="F564" s="60"/>
      <c r="G564" s="60"/>
      <c r="J564" s="99"/>
      <c r="K564" s="99"/>
      <c r="L564" s="99"/>
      <c r="M564" s="99"/>
      <c r="N564" s="43">
        <f t="shared" si="8"/>
        <v>0</v>
      </c>
    </row>
    <row r="565" spans="2:14" ht="1.5" customHeight="1">
      <c r="B565" s="57"/>
      <c r="C565" s="60"/>
      <c r="D565" s="60"/>
      <c r="E565" s="60"/>
      <c r="F565" s="60"/>
      <c r="G565" s="60"/>
      <c r="J565" s="99"/>
      <c r="K565" s="99"/>
      <c r="L565" s="99"/>
      <c r="M565" s="99"/>
      <c r="N565" s="43">
        <f t="shared" si="8"/>
        <v>0</v>
      </c>
    </row>
    <row r="566" spans="2:14" ht="1.5" customHeight="1">
      <c r="B566" s="57"/>
      <c r="C566" s="60"/>
      <c r="D566" s="60"/>
      <c r="E566" s="60"/>
      <c r="F566" s="60"/>
      <c r="G566" s="60"/>
      <c r="J566" s="99"/>
      <c r="K566" s="99"/>
      <c r="L566" s="99"/>
      <c r="M566" s="99"/>
      <c r="N566" s="43">
        <f t="shared" si="8"/>
        <v>0</v>
      </c>
    </row>
    <row r="567" spans="2:14" ht="1.5" customHeight="1">
      <c r="B567" s="57"/>
      <c r="C567" s="60"/>
      <c r="D567" s="60"/>
      <c r="E567" s="60"/>
      <c r="F567" s="60"/>
      <c r="G567" s="60"/>
      <c r="J567" s="99"/>
      <c r="K567" s="99"/>
      <c r="L567" s="99"/>
      <c r="M567" s="99"/>
      <c r="N567" s="43">
        <f t="shared" si="8"/>
        <v>0</v>
      </c>
    </row>
    <row r="568" spans="2:14" ht="1.5" customHeight="1">
      <c r="B568" s="57"/>
      <c r="C568" s="60"/>
      <c r="D568" s="60"/>
      <c r="E568" s="60"/>
      <c r="F568" s="60"/>
      <c r="G568" s="60"/>
      <c r="J568" s="99"/>
      <c r="K568" s="99"/>
      <c r="L568" s="99"/>
      <c r="M568" s="99"/>
      <c r="N568" s="43">
        <f t="shared" si="8"/>
        <v>0</v>
      </c>
    </row>
    <row r="569" spans="2:14" ht="1.5" customHeight="1">
      <c r="B569" s="57"/>
      <c r="C569" s="60"/>
      <c r="D569" s="60"/>
      <c r="E569" s="60"/>
      <c r="F569" s="60"/>
      <c r="G569" s="60"/>
      <c r="J569" s="99"/>
      <c r="K569" s="99"/>
      <c r="L569" s="99"/>
      <c r="M569" s="99"/>
      <c r="N569" s="43">
        <f t="shared" si="8"/>
        <v>0</v>
      </c>
    </row>
    <row r="570" spans="2:14" ht="1.5" customHeight="1">
      <c r="B570" s="57"/>
      <c r="C570" s="60"/>
      <c r="D570" s="60"/>
      <c r="E570" s="60"/>
      <c r="F570" s="60"/>
      <c r="G570" s="60"/>
      <c r="J570" s="99"/>
      <c r="K570" s="99"/>
      <c r="L570" s="99"/>
      <c r="M570" s="99"/>
      <c r="N570" s="43">
        <f t="shared" si="8"/>
        <v>0</v>
      </c>
    </row>
    <row r="571" spans="2:14" ht="1.5" customHeight="1">
      <c r="B571" s="57"/>
      <c r="C571" s="60"/>
      <c r="D571" s="60"/>
      <c r="E571" s="60"/>
      <c r="F571" s="60"/>
      <c r="G571" s="60"/>
      <c r="J571" s="99"/>
      <c r="K571" s="99"/>
      <c r="L571" s="99"/>
      <c r="M571" s="99"/>
      <c r="N571" s="43">
        <f t="shared" si="8"/>
        <v>0</v>
      </c>
    </row>
    <row r="572" spans="2:14" ht="1.5" customHeight="1">
      <c r="B572" s="57"/>
      <c r="C572" s="60"/>
      <c r="D572" s="60"/>
      <c r="E572" s="60"/>
      <c r="F572" s="60"/>
      <c r="G572" s="60"/>
      <c r="J572" s="99"/>
      <c r="K572" s="99"/>
      <c r="L572" s="99"/>
      <c r="M572" s="99"/>
      <c r="N572" s="43">
        <f t="shared" si="8"/>
        <v>0</v>
      </c>
    </row>
    <row r="573" spans="2:14" ht="1.5" customHeight="1">
      <c r="B573" s="57"/>
      <c r="C573" s="60"/>
      <c r="D573" s="60"/>
      <c r="E573" s="60"/>
      <c r="F573" s="60"/>
      <c r="G573" s="60"/>
      <c r="J573" s="99"/>
      <c r="K573" s="99"/>
      <c r="L573" s="99"/>
      <c r="M573" s="99"/>
      <c r="N573" s="43">
        <f t="shared" si="8"/>
        <v>0</v>
      </c>
    </row>
    <row r="574" spans="2:14" ht="1.5" customHeight="1">
      <c r="B574" s="57"/>
      <c r="C574" s="60"/>
      <c r="D574" s="60"/>
      <c r="E574" s="60"/>
      <c r="F574" s="60"/>
      <c r="G574" s="60"/>
      <c r="J574" s="99"/>
      <c r="K574" s="99"/>
      <c r="L574" s="99"/>
      <c r="M574" s="99"/>
      <c r="N574" s="43">
        <f t="shared" si="8"/>
        <v>0</v>
      </c>
    </row>
    <row r="575" spans="2:14" ht="1.5" customHeight="1">
      <c r="B575" s="57"/>
      <c r="C575" s="60"/>
      <c r="D575" s="60"/>
      <c r="E575" s="60"/>
      <c r="F575" s="60"/>
      <c r="G575" s="60"/>
      <c r="J575" s="99"/>
      <c r="K575" s="99"/>
      <c r="L575" s="99"/>
      <c r="M575" s="99"/>
      <c r="N575" s="43">
        <f t="shared" si="8"/>
        <v>0</v>
      </c>
    </row>
    <row r="576" spans="2:14" ht="1.5" customHeight="1">
      <c r="B576" s="57"/>
      <c r="C576" s="60"/>
      <c r="D576" s="60"/>
      <c r="E576" s="60"/>
      <c r="F576" s="60"/>
      <c r="G576" s="60"/>
      <c r="J576" s="99"/>
      <c r="K576" s="99"/>
      <c r="L576" s="99"/>
      <c r="M576" s="99"/>
      <c r="N576" s="43">
        <f t="shared" si="8"/>
        <v>0</v>
      </c>
    </row>
    <row r="577" spans="2:14" ht="1.5" customHeight="1">
      <c r="B577" s="57"/>
      <c r="C577" s="60"/>
      <c r="D577" s="60"/>
      <c r="E577" s="60"/>
      <c r="F577" s="60"/>
      <c r="G577" s="60"/>
      <c r="J577" s="99"/>
      <c r="K577" s="99"/>
      <c r="L577" s="99"/>
      <c r="M577" s="99"/>
      <c r="N577" s="43">
        <f t="shared" si="8"/>
        <v>0</v>
      </c>
    </row>
    <row r="578" spans="2:14" ht="1.5" customHeight="1">
      <c r="B578" s="57"/>
      <c r="C578" s="60"/>
      <c r="D578" s="60"/>
      <c r="E578" s="60"/>
      <c r="F578" s="60"/>
      <c r="G578" s="60"/>
      <c r="J578" s="99"/>
      <c r="K578" s="99"/>
      <c r="L578" s="99"/>
      <c r="M578" s="99"/>
      <c r="N578" s="43">
        <f t="shared" si="8"/>
        <v>0</v>
      </c>
    </row>
    <row r="579" spans="2:14" ht="1.5" customHeight="1">
      <c r="B579" s="57"/>
      <c r="C579" s="60"/>
      <c r="D579" s="60"/>
      <c r="E579" s="60"/>
      <c r="F579" s="60"/>
      <c r="G579" s="60"/>
      <c r="J579" s="99"/>
      <c r="K579" s="99"/>
      <c r="L579" s="99"/>
      <c r="M579" s="99"/>
      <c r="N579" s="43">
        <f t="shared" si="8"/>
        <v>0</v>
      </c>
    </row>
    <row r="580" spans="2:14" ht="1.5" customHeight="1">
      <c r="B580" s="57"/>
      <c r="C580" s="60"/>
      <c r="D580" s="60"/>
      <c r="E580" s="60"/>
      <c r="F580" s="60"/>
      <c r="G580" s="60"/>
      <c r="J580" s="99"/>
      <c r="K580" s="99"/>
      <c r="L580" s="99"/>
      <c r="M580" s="99"/>
      <c r="N580" s="43">
        <f t="shared" si="8"/>
        <v>0</v>
      </c>
    </row>
    <row r="581" spans="2:14" ht="1.5" customHeight="1">
      <c r="B581" s="57"/>
      <c r="C581" s="60"/>
      <c r="D581" s="60"/>
      <c r="E581" s="60"/>
      <c r="F581" s="60"/>
      <c r="G581" s="60"/>
      <c r="J581" s="99"/>
      <c r="K581" s="99"/>
      <c r="L581" s="99"/>
      <c r="M581" s="99"/>
      <c r="N581" s="43">
        <f t="shared" si="8"/>
        <v>0</v>
      </c>
    </row>
    <row r="582" spans="2:14" ht="1.5" customHeight="1">
      <c r="B582" s="57"/>
      <c r="C582" s="60"/>
      <c r="D582" s="60"/>
      <c r="E582" s="60"/>
      <c r="F582" s="60"/>
      <c r="G582" s="60"/>
      <c r="J582" s="99"/>
      <c r="K582" s="99"/>
      <c r="L582" s="99"/>
      <c r="M582" s="99"/>
      <c r="N582" s="43">
        <f t="shared" si="8"/>
        <v>0</v>
      </c>
    </row>
    <row r="583" spans="2:14" ht="1.5" customHeight="1">
      <c r="B583" s="57"/>
      <c r="C583" s="60"/>
      <c r="D583" s="60"/>
      <c r="E583" s="60"/>
      <c r="F583" s="60"/>
      <c r="G583" s="60"/>
      <c r="J583" s="99"/>
      <c r="K583" s="99"/>
      <c r="L583" s="99"/>
      <c r="M583" s="99"/>
      <c r="N583" s="43">
        <f t="shared" si="8"/>
        <v>0</v>
      </c>
    </row>
    <row r="584" spans="2:14" ht="1.5" customHeight="1">
      <c r="B584" s="57"/>
      <c r="C584" s="60"/>
      <c r="D584" s="60"/>
      <c r="E584" s="60"/>
      <c r="F584" s="60"/>
      <c r="G584" s="60"/>
      <c r="J584" s="99"/>
      <c r="K584" s="99"/>
      <c r="L584" s="99"/>
      <c r="M584" s="99"/>
      <c r="N584" s="43">
        <f t="shared" si="8"/>
        <v>0</v>
      </c>
    </row>
    <row r="585" spans="2:14" ht="1.5" customHeight="1">
      <c r="B585" s="57"/>
      <c r="C585" s="60"/>
      <c r="D585" s="60"/>
      <c r="E585" s="60"/>
      <c r="F585" s="60"/>
      <c r="G585" s="60"/>
      <c r="J585" s="99"/>
      <c r="K585" s="99"/>
      <c r="L585" s="99"/>
      <c r="M585" s="99"/>
      <c r="N585" s="43">
        <f t="shared" si="8"/>
        <v>0</v>
      </c>
    </row>
    <row r="586" spans="2:14" ht="1.5" customHeight="1">
      <c r="B586" s="57"/>
      <c r="C586" s="60"/>
      <c r="D586" s="60"/>
      <c r="E586" s="60"/>
      <c r="F586" s="60"/>
      <c r="G586" s="60"/>
      <c r="J586" s="99"/>
      <c r="K586" s="99"/>
      <c r="L586" s="99"/>
      <c r="M586" s="99"/>
      <c r="N586" s="43">
        <f t="shared" si="8"/>
        <v>0</v>
      </c>
    </row>
    <row r="587" spans="2:14" ht="1.5" customHeight="1">
      <c r="B587" s="57"/>
      <c r="C587" s="60"/>
      <c r="D587" s="60"/>
      <c r="E587" s="60"/>
      <c r="F587" s="60"/>
      <c r="G587" s="60"/>
      <c r="J587" s="99"/>
      <c r="K587" s="99"/>
      <c r="L587" s="99"/>
      <c r="M587" s="99"/>
      <c r="N587" s="43">
        <f t="shared" ref="N587:N650" si="9">IF($L$4=$C$10,C587,IF(D587="","",B587))</f>
        <v>0</v>
      </c>
    </row>
    <row r="588" spans="2:14" ht="1.5" customHeight="1">
      <c r="B588" s="57"/>
      <c r="C588" s="60"/>
      <c r="D588" s="60"/>
      <c r="E588" s="60"/>
      <c r="F588" s="60"/>
      <c r="G588" s="60"/>
      <c r="J588" s="99"/>
      <c r="K588" s="99"/>
      <c r="L588" s="99"/>
      <c r="M588" s="99"/>
      <c r="N588" s="43">
        <f t="shared" si="9"/>
        <v>0</v>
      </c>
    </row>
    <row r="589" spans="2:14" ht="1.5" customHeight="1">
      <c r="B589" s="57"/>
      <c r="C589" s="60"/>
      <c r="D589" s="60"/>
      <c r="E589" s="60"/>
      <c r="F589" s="60"/>
      <c r="G589" s="60"/>
      <c r="J589" s="99"/>
      <c r="K589" s="99"/>
      <c r="L589" s="99"/>
      <c r="M589" s="99"/>
      <c r="N589" s="43">
        <f t="shared" si="9"/>
        <v>0</v>
      </c>
    </row>
    <row r="590" spans="2:14" ht="1.5" customHeight="1">
      <c r="B590" s="57"/>
      <c r="C590" s="60"/>
      <c r="D590" s="60"/>
      <c r="E590" s="60"/>
      <c r="F590" s="60"/>
      <c r="G590" s="60"/>
      <c r="J590" s="99"/>
      <c r="K590" s="99"/>
      <c r="L590" s="99"/>
      <c r="M590" s="99"/>
      <c r="N590" s="43">
        <f t="shared" si="9"/>
        <v>0</v>
      </c>
    </row>
    <row r="591" spans="2:14" ht="1.5" customHeight="1">
      <c r="B591" s="57"/>
      <c r="C591" s="60"/>
      <c r="D591" s="60"/>
      <c r="E591" s="60"/>
      <c r="F591" s="60"/>
      <c r="G591" s="60"/>
      <c r="J591" s="99"/>
      <c r="K591" s="99"/>
      <c r="L591" s="99"/>
      <c r="M591" s="99"/>
      <c r="N591" s="43">
        <f t="shared" si="9"/>
        <v>0</v>
      </c>
    </row>
    <row r="592" spans="2:14" ht="1.5" customHeight="1">
      <c r="B592" s="57"/>
      <c r="C592" s="60"/>
      <c r="D592" s="60"/>
      <c r="E592" s="60"/>
      <c r="F592" s="60"/>
      <c r="G592" s="60"/>
      <c r="J592" s="99"/>
      <c r="K592" s="99"/>
      <c r="L592" s="99"/>
      <c r="M592" s="99"/>
      <c r="N592" s="43">
        <f t="shared" si="9"/>
        <v>0</v>
      </c>
    </row>
    <row r="593" spans="2:14" ht="1.5" customHeight="1">
      <c r="B593" s="57"/>
      <c r="C593" s="60"/>
      <c r="D593" s="60"/>
      <c r="E593" s="60"/>
      <c r="F593" s="60"/>
      <c r="G593" s="60"/>
      <c r="J593" s="99"/>
      <c r="K593" s="99"/>
      <c r="L593" s="99"/>
      <c r="M593" s="99"/>
      <c r="N593" s="43">
        <f t="shared" si="9"/>
        <v>0</v>
      </c>
    </row>
    <row r="594" spans="2:14" ht="1.5" customHeight="1">
      <c r="B594" s="57"/>
      <c r="C594" s="60"/>
      <c r="D594" s="60"/>
      <c r="E594" s="60"/>
      <c r="F594" s="60"/>
      <c r="G594" s="60"/>
      <c r="J594" s="99"/>
      <c r="K594" s="99"/>
      <c r="L594" s="99"/>
      <c r="M594" s="99"/>
      <c r="N594" s="43">
        <f t="shared" si="9"/>
        <v>0</v>
      </c>
    </row>
    <row r="595" spans="2:14" ht="1.5" customHeight="1">
      <c r="B595" s="57"/>
      <c r="C595" s="60"/>
      <c r="D595" s="60"/>
      <c r="E595" s="60"/>
      <c r="F595" s="60"/>
      <c r="G595" s="60"/>
      <c r="J595" s="99"/>
      <c r="K595" s="99"/>
      <c r="L595" s="99"/>
      <c r="M595" s="99"/>
      <c r="N595" s="43">
        <f t="shared" si="9"/>
        <v>0</v>
      </c>
    </row>
    <row r="596" spans="2:14" ht="1.5" customHeight="1">
      <c r="B596" s="57"/>
      <c r="C596" s="60"/>
      <c r="D596" s="60"/>
      <c r="E596" s="60"/>
      <c r="F596" s="60"/>
      <c r="G596" s="60"/>
      <c r="J596" s="99"/>
      <c r="K596" s="99"/>
      <c r="L596" s="99"/>
      <c r="M596" s="99"/>
      <c r="N596" s="43">
        <f t="shared" si="9"/>
        <v>0</v>
      </c>
    </row>
    <row r="597" spans="2:14" ht="1.5" customHeight="1">
      <c r="B597" s="57"/>
      <c r="C597" s="60"/>
      <c r="D597" s="60"/>
      <c r="E597" s="60"/>
      <c r="F597" s="60"/>
      <c r="G597" s="60"/>
      <c r="J597" s="99"/>
      <c r="K597" s="99"/>
      <c r="L597" s="99"/>
      <c r="M597" s="99"/>
      <c r="N597" s="43">
        <f t="shared" si="9"/>
        <v>0</v>
      </c>
    </row>
    <row r="598" spans="2:14" ht="1.5" customHeight="1">
      <c r="B598" s="57"/>
      <c r="C598" s="60"/>
      <c r="D598" s="60"/>
      <c r="E598" s="60"/>
      <c r="F598" s="60"/>
      <c r="G598" s="60"/>
      <c r="J598" s="99"/>
      <c r="K598" s="99"/>
      <c r="L598" s="99"/>
      <c r="M598" s="99"/>
      <c r="N598" s="43">
        <f t="shared" si="9"/>
        <v>0</v>
      </c>
    </row>
    <row r="599" spans="2:14" ht="1.5" customHeight="1">
      <c r="B599" s="57"/>
      <c r="C599" s="60"/>
      <c r="D599" s="60"/>
      <c r="E599" s="60"/>
      <c r="F599" s="60"/>
      <c r="G599" s="60"/>
      <c r="J599" s="99"/>
      <c r="K599" s="99"/>
      <c r="L599" s="99"/>
      <c r="M599" s="99"/>
      <c r="N599" s="43">
        <f t="shared" si="9"/>
        <v>0</v>
      </c>
    </row>
    <row r="600" spans="2:14" ht="1.5" customHeight="1">
      <c r="B600" s="57"/>
      <c r="C600" s="60"/>
      <c r="D600" s="60"/>
      <c r="E600" s="60"/>
      <c r="F600" s="60"/>
      <c r="G600" s="60"/>
      <c r="J600" s="99"/>
      <c r="K600" s="99"/>
      <c r="L600" s="99"/>
      <c r="M600" s="99"/>
      <c r="N600" s="43">
        <f t="shared" si="9"/>
        <v>0</v>
      </c>
    </row>
    <row r="601" spans="2:14" ht="1.5" customHeight="1">
      <c r="B601" s="57"/>
      <c r="C601" s="60"/>
      <c r="D601" s="60"/>
      <c r="E601" s="60"/>
      <c r="F601" s="60"/>
      <c r="G601" s="60"/>
      <c r="J601" s="99"/>
      <c r="K601" s="99"/>
      <c r="L601" s="99"/>
      <c r="M601" s="99"/>
      <c r="N601" s="43">
        <f t="shared" si="9"/>
        <v>0</v>
      </c>
    </row>
    <row r="602" spans="2:14" ht="1.5" customHeight="1">
      <c r="B602" s="57"/>
      <c r="C602" s="60"/>
      <c r="D602" s="60"/>
      <c r="E602" s="60"/>
      <c r="F602" s="60"/>
      <c r="G602" s="60"/>
      <c r="J602" s="99"/>
      <c r="K602" s="99"/>
      <c r="L602" s="99"/>
      <c r="M602" s="99"/>
      <c r="N602" s="43">
        <f t="shared" si="9"/>
        <v>0</v>
      </c>
    </row>
    <row r="603" spans="2:14" ht="1.5" customHeight="1">
      <c r="B603" s="57"/>
      <c r="C603" s="60"/>
      <c r="D603" s="60"/>
      <c r="E603" s="60"/>
      <c r="F603" s="60"/>
      <c r="G603" s="60"/>
      <c r="J603" s="99"/>
      <c r="K603" s="99"/>
      <c r="L603" s="99"/>
      <c r="M603" s="99"/>
      <c r="N603" s="43">
        <f t="shared" si="9"/>
        <v>0</v>
      </c>
    </row>
    <row r="604" spans="2:14" ht="1.5" customHeight="1">
      <c r="B604" s="57"/>
      <c r="C604" s="60"/>
      <c r="D604" s="60"/>
      <c r="E604" s="60"/>
      <c r="F604" s="60"/>
      <c r="G604" s="60"/>
      <c r="J604" s="99"/>
      <c r="K604" s="99"/>
      <c r="L604" s="99"/>
      <c r="M604" s="99"/>
      <c r="N604" s="43">
        <f t="shared" si="9"/>
        <v>0</v>
      </c>
    </row>
    <row r="605" spans="2:14" ht="1.5" customHeight="1">
      <c r="B605" s="57"/>
      <c r="C605" s="60"/>
      <c r="D605" s="60"/>
      <c r="E605" s="60"/>
      <c r="F605" s="60"/>
      <c r="G605" s="60"/>
      <c r="J605" s="99"/>
      <c r="K605" s="99"/>
      <c r="L605" s="99"/>
      <c r="M605" s="99"/>
      <c r="N605" s="43">
        <f t="shared" si="9"/>
        <v>0</v>
      </c>
    </row>
    <row r="606" spans="2:14" ht="1.5" customHeight="1">
      <c r="B606" s="57"/>
      <c r="C606" s="60"/>
      <c r="D606" s="60"/>
      <c r="E606" s="60"/>
      <c r="F606" s="60"/>
      <c r="G606" s="60"/>
      <c r="J606" s="99"/>
      <c r="K606" s="99"/>
      <c r="L606" s="99"/>
      <c r="M606" s="99"/>
      <c r="N606" s="43">
        <f t="shared" si="9"/>
        <v>0</v>
      </c>
    </row>
    <row r="607" spans="2:14" ht="1.5" customHeight="1">
      <c r="B607" s="57"/>
      <c r="C607" s="60"/>
      <c r="D607" s="60"/>
      <c r="E607" s="60"/>
      <c r="F607" s="60"/>
      <c r="G607" s="60"/>
      <c r="J607" s="99"/>
      <c r="K607" s="99"/>
      <c r="L607" s="99"/>
      <c r="M607" s="99"/>
      <c r="N607" s="43">
        <f t="shared" si="9"/>
        <v>0</v>
      </c>
    </row>
    <row r="608" spans="2:14" ht="1.5" customHeight="1">
      <c r="B608" s="57"/>
      <c r="C608" s="60"/>
      <c r="D608" s="60"/>
      <c r="E608" s="60"/>
      <c r="F608" s="60"/>
      <c r="G608" s="60"/>
      <c r="J608" s="99"/>
      <c r="K608" s="99"/>
      <c r="L608" s="99"/>
      <c r="M608" s="99"/>
      <c r="N608" s="43">
        <f t="shared" si="9"/>
        <v>0</v>
      </c>
    </row>
    <row r="609" spans="2:14" ht="1.5" customHeight="1">
      <c r="B609" s="57"/>
      <c r="C609" s="60"/>
      <c r="D609" s="60"/>
      <c r="E609" s="60"/>
      <c r="F609" s="60"/>
      <c r="G609" s="60"/>
      <c r="J609" s="99"/>
      <c r="K609" s="99"/>
      <c r="L609" s="99"/>
      <c r="M609" s="99"/>
      <c r="N609" s="43">
        <f t="shared" si="9"/>
        <v>0</v>
      </c>
    </row>
    <row r="610" spans="2:14" ht="1.5" customHeight="1">
      <c r="B610" s="57"/>
      <c r="C610" s="60"/>
      <c r="D610" s="60"/>
      <c r="E610" s="60"/>
      <c r="F610" s="60"/>
      <c r="G610" s="60"/>
      <c r="J610" s="99"/>
      <c r="K610" s="99"/>
      <c r="L610" s="99"/>
      <c r="M610" s="99"/>
      <c r="N610" s="43">
        <f t="shared" si="9"/>
        <v>0</v>
      </c>
    </row>
    <row r="611" spans="2:14" ht="1.5" customHeight="1">
      <c r="B611" s="57"/>
      <c r="C611" s="60"/>
      <c r="D611" s="60"/>
      <c r="E611" s="60"/>
      <c r="F611" s="60"/>
      <c r="G611" s="60"/>
      <c r="J611" s="99"/>
      <c r="K611" s="99"/>
      <c r="L611" s="99"/>
      <c r="M611" s="99"/>
      <c r="N611" s="43">
        <f t="shared" si="9"/>
        <v>0</v>
      </c>
    </row>
    <row r="612" spans="2:14" ht="1.5" customHeight="1">
      <c r="B612" s="57"/>
      <c r="C612" s="60"/>
      <c r="D612" s="60"/>
      <c r="E612" s="60"/>
      <c r="F612" s="60"/>
      <c r="G612" s="60"/>
      <c r="J612" s="99"/>
      <c r="K612" s="99"/>
      <c r="L612" s="99"/>
      <c r="M612" s="99"/>
      <c r="N612" s="43">
        <f t="shared" si="9"/>
        <v>0</v>
      </c>
    </row>
    <row r="613" spans="2:14" ht="1.5" customHeight="1">
      <c r="B613" s="57"/>
      <c r="C613" s="60"/>
      <c r="D613" s="60"/>
      <c r="E613" s="60"/>
      <c r="F613" s="60"/>
      <c r="G613" s="60"/>
      <c r="J613" s="99"/>
      <c r="K613" s="99"/>
      <c r="L613" s="99"/>
      <c r="M613" s="99"/>
      <c r="N613" s="43">
        <f t="shared" si="9"/>
        <v>0</v>
      </c>
    </row>
    <row r="614" spans="2:14" ht="1.5" customHeight="1">
      <c r="B614" s="57"/>
      <c r="C614" s="60"/>
      <c r="D614" s="60"/>
      <c r="E614" s="60"/>
      <c r="F614" s="60"/>
      <c r="G614" s="60"/>
      <c r="J614" s="99"/>
      <c r="K614" s="99"/>
      <c r="L614" s="99"/>
      <c r="M614" s="99"/>
      <c r="N614" s="43">
        <f t="shared" si="9"/>
        <v>0</v>
      </c>
    </row>
    <row r="615" spans="2:14" ht="1.5" customHeight="1">
      <c r="B615" s="57"/>
      <c r="C615" s="60"/>
      <c r="D615" s="60"/>
      <c r="E615" s="60"/>
      <c r="F615" s="60"/>
      <c r="G615" s="60"/>
      <c r="J615" s="99"/>
      <c r="K615" s="99"/>
      <c r="L615" s="99"/>
      <c r="M615" s="99"/>
      <c r="N615" s="43">
        <f t="shared" si="9"/>
        <v>0</v>
      </c>
    </row>
    <row r="616" spans="2:14" ht="1.5" customHeight="1">
      <c r="B616" s="57"/>
      <c r="C616" s="60"/>
      <c r="D616" s="60"/>
      <c r="E616" s="60"/>
      <c r="F616" s="60"/>
      <c r="G616" s="60"/>
      <c r="J616" s="99"/>
      <c r="K616" s="99"/>
      <c r="L616" s="99"/>
      <c r="M616" s="99"/>
      <c r="N616" s="43">
        <f t="shared" si="9"/>
        <v>0</v>
      </c>
    </row>
    <row r="617" spans="2:14" ht="1.5" customHeight="1">
      <c r="B617" s="57"/>
      <c r="C617" s="60"/>
      <c r="D617" s="60"/>
      <c r="E617" s="60"/>
      <c r="F617" s="60"/>
      <c r="G617" s="60"/>
      <c r="J617" s="99"/>
      <c r="K617" s="99"/>
      <c r="L617" s="99"/>
      <c r="M617" s="99"/>
      <c r="N617" s="43">
        <f t="shared" si="9"/>
        <v>0</v>
      </c>
    </row>
    <row r="618" spans="2:14" ht="1.5" customHeight="1">
      <c r="B618" s="57"/>
      <c r="C618" s="60"/>
      <c r="D618" s="60"/>
      <c r="E618" s="60"/>
      <c r="F618" s="60"/>
      <c r="G618" s="60"/>
      <c r="J618" s="99"/>
      <c r="K618" s="99"/>
      <c r="L618" s="99"/>
      <c r="M618" s="99"/>
      <c r="N618" s="43">
        <f t="shared" si="9"/>
        <v>0</v>
      </c>
    </row>
    <row r="619" spans="2:14" ht="1.5" customHeight="1">
      <c r="B619" s="57"/>
      <c r="C619" s="60"/>
      <c r="D619" s="60"/>
      <c r="E619" s="60"/>
      <c r="F619" s="60"/>
      <c r="G619" s="60"/>
      <c r="J619" s="99"/>
      <c r="K619" s="99"/>
      <c r="L619" s="99"/>
      <c r="M619" s="99"/>
      <c r="N619" s="43">
        <f t="shared" si="9"/>
        <v>0</v>
      </c>
    </row>
    <row r="620" spans="2:14" ht="1.5" customHeight="1">
      <c r="B620" s="57"/>
      <c r="C620" s="60"/>
      <c r="D620" s="60"/>
      <c r="E620" s="60"/>
      <c r="F620" s="60"/>
      <c r="G620" s="60"/>
      <c r="J620" s="99"/>
      <c r="K620" s="99"/>
      <c r="L620" s="99"/>
      <c r="M620" s="99"/>
      <c r="N620" s="43">
        <f t="shared" si="9"/>
        <v>0</v>
      </c>
    </row>
    <row r="621" spans="2:14" ht="1.5" customHeight="1">
      <c r="B621" s="57"/>
      <c r="C621" s="60"/>
      <c r="D621" s="60"/>
      <c r="E621" s="60"/>
      <c r="F621" s="60"/>
      <c r="G621" s="60"/>
      <c r="J621" s="99"/>
      <c r="K621" s="99"/>
      <c r="L621" s="99"/>
      <c r="M621" s="99"/>
      <c r="N621" s="43">
        <f t="shared" si="9"/>
        <v>0</v>
      </c>
    </row>
    <row r="622" spans="2:14" ht="1.5" customHeight="1">
      <c r="B622" s="57"/>
      <c r="C622" s="60"/>
      <c r="D622" s="60"/>
      <c r="E622" s="60"/>
      <c r="F622" s="60"/>
      <c r="G622" s="60"/>
      <c r="J622" s="99"/>
      <c r="K622" s="99"/>
      <c r="L622" s="99"/>
      <c r="M622" s="99"/>
      <c r="N622" s="43">
        <f t="shared" si="9"/>
        <v>0</v>
      </c>
    </row>
    <row r="623" spans="2:14" ht="1.5" customHeight="1">
      <c r="B623" s="57"/>
      <c r="C623" s="60"/>
      <c r="D623" s="60"/>
      <c r="E623" s="60"/>
      <c r="F623" s="60"/>
      <c r="G623" s="60"/>
      <c r="J623" s="99"/>
      <c r="K623" s="99"/>
      <c r="L623" s="99"/>
      <c r="M623" s="99"/>
      <c r="N623" s="43">
        <f t="shared" si="9"/>
        <v>0</v>
      </c>
    </row>
    <row r="624" spans="2:14" ht="1.5" customHeight="1">
      <c r="B624" s="57"/>
      <c r="C624" s="60"/>
      <c r="D624" s="60"/>
      <c r="E624" s="60"/>
      <c r="F624" s="60"/>
      <c r="G624" s="60"/>
      <c r="J624" s="99"/>
      <c r="K624" s="99"/>
      <c r="L624" s="99"/>
      <c r="M624" s="99"/>
      <c r="N624" s="43">
        <f t="shared" si="9"/>
        <v>0</v>
      </c>
    </row>
    <row r="625" spans="2:14" ht="1.5" customHeight="1">
      <c r="B625" s="57"/>
      <c r="C625" s="60"/>
      <c r="D625" s="60"/>
      <c r="E625" s="60"/>
      <c r="F625" s="60"/>
      <c r="G625" s="60"/>
      <c r="J625" s="99"/>
      <c r="K625" s="99"/>
      <c r="L625" s="99"/>
      <c r="M625" s="99"/>
      <c r="N625" s="43">
        <f t="shared" si="9"/>
        <v>0</v>
      </c>
    </row>
    <row r="626" spans="2:14" ht="1.5" customHeight="1">
      <c r="B626" s="57"/>
      <c r="C626" s="60"/>
      <c r="D626" s="60"/>
      <c r="E626" s="60"/>
      <c r="F626" s="60"/>
      <c r="G626" s="60"/>
      <c r="J626" s="99"/>
      <c r="K626" s="99"/>
      <c r="L626" s="99"/>
      <c r="M626" s="99"/>
      <c r="N626" s="43">
        <f t="shared" si="9"/>
        <v>0</v>
      </c>
    </row>
    <row r="627" spans="2:14" ht="1.5" customHeight="1">
      <c r="B627" s="57"/>
      <c r="C627" s="60"/>
      <c r="D627" s="60"/>
      <c r="E627" s="60"/>
      <c r="F627" s="60"/>
      <c r="G627" s="60"/>
      <c r="J627" s="99"/>
      <c r="K627" s="99"/>
      <c r="L627" s="99"/>
      <c r="M627" s="99"/>
      <c r="N627" s="43">
        <f t="shared" si="9"/>
        <v>0</v>
      </c>
    </row>
    <row r="628" spans="2:14" ht="1.5" customHeight="1">
      <c r="B628" s="57"/>
      <c r="C628" s="60"/>
      <c r="D628" s="60"/>
      <c r="E628" s="60"/>
      <c r="F628" s="60"/>
      <c r="G628" s="60"/>
      <c r="J628" s="99"/>
      <c r="K628" s="99"/>
      <c r="L628" s="99"/>
      <c r="M628" s="99"/>
      <c r="N628" s="43">
        <f t="shared" si="9"/>
        <v>0</v>
      </c>
    </row>
    <row r="629" spans="2:14" ht="1.5" customHeight="1">
      <c r="B629" s="57"/>
      <c r="C629" s="60"/>
      <c r="D629" s="60"/>
      <c r="E629" s="60"/>
      <c r="F629" s="60"/>
      <c r="G629" s="60"/>
      <c r="J629" s="99"/>
      <c r="K629" s="99"/>
      <c r="L629" s="99"/>
      <c r="M629" s="99"/>
      <c r="N629" s="43">
        <f t="shared" si="9"/>
        <v>0</v>
      </c>
    </row>
    <row r="630" spans="2:14" ht="1.5" customHeight="1">
      <c r="B630" s="57"/>
      <c r="C630" s="60"/>
      <c r="D630" s="60"/>
      <c r="E630" s="60"/>
      <c r="F630" s="60"/>
      <c r="G630" s="60"/>
      <c r="J630" s="99"/>
      <c r="K630" s="99"/>
      <c r="L630" s="99"/>
      <c r="M630" s="99"/>
      <c r="N630" s="43">
        <f t="shared" si="9"/>
        <v>0</v>
      </c>
    </row>
    <row r="631" spans="2:14" ht="1.5" customHeight="1">
      <c r="B631" s="57"/>
      <c r="C631" s="60"/>
      <c r="D631" s="60"/>
      <c r="E631" s="60"/>
      <c r="F631" s="60"/>
      <c r="G631" s="60"/>
      <c r="J631" s="99"/>
      <c r="K631" s="99"/>
      <c r="L631" s="99"/>
      <c r="M631" s="99"/>
      <c r="N631" s="43">
        <f t="shared" si="9"/>
        <v>0</v>
      </c>
    </row>
    <row r="632" spans="2:14" ht="1.5" customHeight="1">
      <c r="B632" s="57"/>
      <c r="C632" s="60"/>
      <c r="D632" s="60"/>
      <c r="E632" s="60"/>
      <c r="F632" s="60"/>
      <c r="G632" s="60"/>
      <c r="J632" s="99"/>
      <c r="K632" s="99"/>
      <c r="L632" s="99"/>
      <c r="M632" s="99"/>
      <c r="N632" s="43">
        <f t="shared" si="9"/>
        <v>0</v>
      </c>
    </row>
    <row r="633" spans="2:14" ht="1.5" customHeight="1">
      <c r="B633" s="57"/>
      <c r="C633" s="60"/>
      <c r="D633" s="60"/>
      <c r="E633" s="60"/>
      <c r="F633" s="60"/>
      <c r="G633" s="60"/>
      <c r="J633" s="99"/>
      <c r="K633" s="99"/>
      <c r="L633" s="99"/>
      <c r="M633" s="99"/>
      <c r="N633" s="43">
        <f t="shared" si="9"/>
        <v>0</v>
      </c>
    </row>
    <row r="634" spans="2:14" ht="1.5" customHeight="1">
      <c r="B634" s="57"/>
      <c r="C634" s="60"/>
      <c r="D634" s="60"/>
      <c r="E634" s="60"/>
      <c r="F634" s="60"/>
      <c r="G634" s="60"/>
      <c r="J634" s="99"/>
      <c r="K634" s="99"/>
      <c r="L634" s="99"/>
      <c r="M634" s="99"/>
      <c r="N634" s="43">
        <f t="shared" si="9"/>
        <v>0</v>
      </c>
    </row>
    <row r="635" spans="2:14" ht="1.5" customHeight="1">
      <c r="B635" s="57"/>
      <c r="C635" s="60"/>
      <c r="D635" s="60"/>
      <c r="E635" s="60"/>
      <c r="F635" s="60"/>
      <c r="G635" s="60"/>
      <c r="J635" s="99"/>
      <c r="K635" s="99"/>
      <c r="L635" s="99"/>
      <c r="M635" s="99"/>
      <c r="N635" s="43">
        <f t="shared" si="9"/>
        <v>0</v>
      </c>
    </row>
    <row r="636" spans="2:14" ht="1.5" customHeight="1">
      <c r="B636" s="57"/>
      <c r="C636" s="60"/>
      <c r="D636" s="60"/>
      <c r="E636" s="60"/>
      <c r="F636" s="60"/>
      <c r="G636" s="60"/>
      <c r="J636" s="99"/>
      <c r="K636" s="99"/>
      <c r="L636" s="99"/>
      <c r="M636" s="99"/>
      <c r="N636" s="43">
        <f t="shared" si="9"/>
        <v>0</v>
      </c>
    </row>
    <row r="637" spans="2:14" ht="1.5" customHeight="1">
      <c r="B637" s="57"/>
      <c r="C637" s="60"/>
      <c r="D637" s="60"/>
      <c r="E637" s="60"/>
      <c r="F637" s="60"/>
      <c r="G637" s="60"/>
      <c r="J637" s="99"/>
      <c r="K637" s="99"/>
      <c r="L637" s="99"/>
      <c r="M637" s="99"/>
      <c r="N637" s="43">
        <f t="shared" si="9"/>
        <v>0</v>
      </c>
    </row>
    <row r="638" spans="2:14" ht="1.5" customHeight="1">
      <c r="B638" s="57"/>
      <c r="C638" s="60"/>
      <c r="D638" s="60"/>
      <c r="E638" s="60"/>
      <c r="F638" s="60"/>
      <c r="G638" s="60"/>
      <c r="J638" s="99"/>
      <c r="K638" s="99"/>
      <c r="L638" s="99"/>
      <c r="M638" s="99"/>
      <c r="N638" s="43">
        <f t="shared" si="9"/>
        <v>0</v>
      </c>
    </row>
    <row r="639" spans="2:14" ht="1.5" customHeight="1">
      <c r="B639" s="57"/>
      <c r="C639" s="60"/>
      <c r="D639" s="60"/>
      <c r="E639" s="60"/>
      <c r="F639" s="60"/>
      <c r="G639" s="60"/>
      <c r="J639" s="99"/>
      <c r="K639" s="99"/>
      <c r="L639" s="99"/>
      <c r="M639" s="99"/>
      <c r="N639" s="43">
        <f t="shared" si="9"/>
        <v>0</v>
      </c>
    </row>
    <row r="640" spans="2:14" ht="1.5" customHeight="1">
      <c r="B640" s="57"/>
      <c r="C640" s="60"/>
      <c r="D640" s="60"/>
      <c r="E640" s="60"/>
      <c r="F640" s="60"/>
      <c r="G640" s="60"/>
      <c r="J640" s="99"/>
      <c r="K640" s="99"/>
      <c r="L640" s="99"/>
      <c r="M640" s="99"/>
      <c r="N640" s="43">
        <f t="shared" si="9"/>
        <v>0</v>
      </c>
    </row>
    <row r="641" spans="2:14" ht="1.5" customHeight="1">
      <c r="B641" s="57"/>
      <c r="C641" s="60"/>
      <c r="D641" s="60"/>
      <c r="E641" s="60"/>
      <c r="F641" s="60"/>
      <c r="G641" s="60"/>
      <c r="J641" s="99"/>
      <c r="K641" s="99"/>
      <c r="L641" s="99"/>
      <c r="M641" s="99"/>
      <c r="N641" s="43">
        <f t="shared" si="9"/>
        <v>0</v>
      </c>
    </row>
    <row r="642" spans="2:14" ht="1.5" customHeight="1">
      <c r="B642" s="57"/>
      <c r="C642" s="60"/>
      <c r="D642" s="60"/>
      <c r="E642" s="60"/>
      <c r="F642" s="60"/>
      <c r="G642" s="60"/>
      <c r="J642" s="99"/>
      <c r="K642" s="99"/>
      <c r="L642" s="99"/>
      <c r="M642" s="99"/>
      <c r="N642" s="43">
        <f t="shared" si="9"/>
        <v>0</v>
      </c>
    </row>
    <row r="643" spans="2:14" ht="1.5" customHeight="1">
      <c r="B643" s="57"/>
      <c r="C643" s="60"/>
      <c r="D643" s="60"/>
      <c r="E643" s="60"/>
      <c r="F643" s="60"/>
      <c r="G643" s="60"/>
      <c r="J643" s="99"/>
      <c r="K643" s="99"/>
      <c r="L643" s="99"/>
      <c r="M643" s="99"/>
      <c r="N643" s="43">
        <f t="shared" si="9"/>
        <v>0</v>
      </c>
    </row>
    <row r="644" spans="2:14" ht="1.5" customHeight="1">
      <c r="B644" s="57"/>
      <c r="C644" s="60"/>
      <c r="D644" s="60"/>
      <c r="E644" s="60"/>
      <c r="F644" s="60"/>
      <c r="G644" s="60"/>
      <c r="J644" s="99"/>
      <c r="K644" s="99"/>
      <c r="L644" s="99"/>
      <c r="M644" s="99"/>
      <c r="N644" s="43">
        <f t="shared" si="9"/>
        <v>0</v>
      </c>
    </row>
    <row r="645" spans="2:14" ht="1.5" customHeight="1">
      <c r="B645" s="57"/>
      <c r="C645" s="60"/>
      <c r="D645" s="60"/>
      <c r="E645" s="60"/>
      <c r="F645" s="60"/>
      <c r="G645" s="60"/>
      <c r="J645" s="99"/>
      <c r="K645" s="99"/>
      <c r="L645" s="99"/>
      <c r="M645" s="99"/>
      <c r="N645" s="43">
        <f t="shared" si="9"/>
        <v>0</v>
      </c>
    </row>
    <row r="646" spans="2:14" ht="1.5" customHeight="1">
      <c r="B646" s="57"/>
      <c r="C646" s="60"/>
      <c r="D646" s="60"/>
      <c r="E646" s="60"/>
      <c r="F646" s="60"/>
      <c r="G646" s="60"/>
      <c r="J646" s="99"/>
      <c r="K646" s="99"/>
      <c r="L646" s="99"/>
      <c r="M646" s="99"/>
      <c r="N646" s="43">
        <f t="shared" si="9"/>
        <v>0</v>
      </c>
    </row>
    <row r="647" spans="2:14" ht="1.5" customHeight="1">
      <c r="B647" s="57"/>
      <c r="C647" s="60"/>
      <c r="D647" s="60"/>
      <c r="E647" s="60"/>
      <c r="F647" s="60"/>
      <c r="G647" s="60"/>
      <c r="J647" s="99"/>
      <c r="K647" s="99"/>
      <c r="L647" s="99"/>
      <c r="M647" s="99"/>
      <c r="N647" s="43">
        <f t="shared" si="9"/>
        <v>0</v>
      </c>
    </row>
    <row r="648" spans="2:14" ht="1.5" customHeight="1">
      <c r="B648" s="57"/>
      <c r="C648" s="60"/>
      <c r="D648" s="60"/>
      <c r="E648" s="60"/>
      <c r="F648" s="60"/>
      <c r="G648" s="60"/>
      <c r="J648" s="99"/>
      <c r="K648" s="99"/>
      <c r="L648" s="99"/>
      <c r="M648" s="99"/>
      <c r="N648" s="43">
        <f t="shared" si="9"/>
        <v>0</v>
      </c>
    </row>
    <row r="649" spans="2:14" ht="1.5" customHeight="1">
      <c r="B649" s="57"/>
      <c r="C649" s="60"/>
      <c r="D649" s="60"/>
      <c r="E649" s="60"/>
      <c r="F649" s="60"/>
      <c r="G649" s="60"/>
      <c r="J649" s="99"/>
      <c r="K649" s="99"/>
      <c r="L649" s="99"/>
      <c r="M649" s="99"/>
      <c r="N649" s="43">
        <f t="shared" si="9"/>
        <v>0</v>
      </c>
    </row>
    <row r="650" spans="2:14" ht="1.5" customHeight="1">
      <c r="B650" s="57"/>
      <c r="C650" s="60"/>
      <c r="D650" s="60"/>
      <c r="E650" s="60"/>
      <c r="F650" s="60"/>
      <c r="G650" s="60"/>
      <c r="J650" s="99"/>
      <c r="K650" s="99"/>
      <c r="L650" s="99"/>
      <c r="M650" s="99"/>
      <c r="N650" s="43">
        <f t="shared" si="9"/>
        <v>0</v>
      </c>
    </row>
    <row r="651" spans="2:14" ht="1.5" customHeight="1">
      <c r="B651" s="57"/>
      <c r="C651" s="60"/>
      <c r="D651" s="60"/>
      <c r="E651" s="60"/>
      <c r="F651" s="60"/>
      <c r="G651" s="60"/>
      <c r="J651" s="99"/>
      <c r="K651" s="99"/>
      <c r="L651" s="99"/>
      <c r="M651" s="99"/>
      <c r="N651" s="43">
        <f t="shared" ref="N651:N714" si="10">IF($L$4=$C$10,C651,IF(D651="","",B651))</f>
        <v>0</v>
      </c>
    </row>
    <row r="652" spans="2:14" ht="1.5" customHeight="1">
      <c r="B652" s="57"/>
      <c r="C652" s="60"/>
      <c r="D652" s="60"/>
      <c r="E652" s="60"/>
      <c r="F652" s="60"/>
      <c r="G652" s="60"/>
      <c r="J652" s="99"/>
      <c r="K652" s="99"/>
      <c r="L652" s="99"/>
      <c r="M652" s="99"/>
      <c r="N652" s="43">
        <f t="shared" si="10"/>
        <v>0</v>
      </c>
    </row>
    <row r="653" spans="2:14" ht="1.5" customHeight="1">
      <c r="B653" s="57"/>
      <c r="C653" s="60"/>
      <c r="D653" s="60"/>
      <c r="E653" s="60"/>
      <c r="F653" s="60"/>
      <c r="G653" s="60"/>
      <c r="J653" s="99"/>
      <c r="K653" s="99"/>
      <c r="L653" s="99"/>
      <c r="M653" s="99"/>
      <c r="N653" s="43">
        <f t="shared" si="10"/>
        <v>0</v>
      </c>
    </row>
    <row r="654" spans="2:14" ht="1.5" customHeight="1">
      <c r="B654" s="57"/>
      <c r="C654" s="60"/>
      <c r="D654" s="60"/>
      <c r="E654" s="60"/>
      <c r="F654" s="60"/>
      <c r="G654" s="60"/>
      <c r="J654" s="99"/>
      <c r="K654" s="99"/>
      <c r="L654" s="99"/>
      <c r="M654" s="99"/>
      <c r="N654" s="43">
        <f t="shared" si="10"/>
        <v>0</v>
      </c>
    </row>
    <row r="655" spans="2:14" ht="1.5" customHeight="1">
      <c r="B655" s="57"/>
      <c r="C655" s="60"/>
      <c r="D655" s="60"/>
      <c r="E655" s="60"/>
      <c r="F655" s="60"/>
      <c r="G655" s="60"/>
      <c r="J655" s="99"/>
      <c r="K655" s="99"/>
      <c r="L655" s="99"/>
      <c r="M655" s="99"/>
      <c r="N655" s="43">
        <f t="shared" si="10"/>
        <v>0</v>
      </c>
    </row>
    <row r="656" spans="2:14" ht="1.5" customHeight="1">
      <c r="B656" s="57"/>
      <c r="C656" s="60"/>
      <c r="D656" s="60"/>
      <c r="E656" s="60"/>
      <c r="F656" s="60"/>
      <c r="G656" s="60"/>
      <c r="J656" s="99"/>
      <c r="K656" s="99"/>
      <c r="L656" s="99"/>
      <c r="M656" s="99"/>
      <c r="N656" s="43">
        <f t="shared" si="10"/>
        <v>0</v>
      </c>
    </row>
    <row r="657" spans="2:14" ht="1.5" customHeight="1">
      <c r="B657" s="57"/>
      <c r="C657" s="60"/>
      <c r="D657" s="60"/>
      <c r="E657" s="60"/>
      <c r="F657" s="60"/>
      <c r="G657" s="60"/>
      <c r="J657" s="99"/>
      <c r="K657" s="99"/>
      <c r="L657" s="99"/>
      <c r="M657" s="99"/>
      <c r="N657" s="43">
        <f t="shared" si="10"/>
        <v>0</v>
      </c>
    </row>
    <row r="658" spans="2:14" ht="1.5" customHeight="1">
      <c r="B658" s="57"/>
      <c r="C658" s="60"/>
      <c r="D658" s="60"/>
      <c r="E658" s="60"/>
      <c r="F658" s="60"/>
      <c r="G658" s="60"/>
      <c r="J658" s="99"/>
      <c r="K658" s="99"/>
      <c r="L658" s="99"/>
      <c r="M658" s="99"/>
      <c r="N658" s="43">
        <f t="shared" si="10"/>
        <v>0</v>
      </c>
    </row>
    <row r="659" spans="2:14" ht="1.5" customHeight="1">
      <c r="B659" s="57"/>
      <c r="C659" s="60"/>
      <c r="D659" s="60"/>
      <c r="E659" s="60"/>
      <c r="F659" s="60"/>
      <c r="G659" s="60"/>
      <c r="J659" s="99"/>
      <c r="K659" s="99"/>
      <c r="L659" s="99"/>
      <c r="M659" s="99"/>
      <c r="N659" s="43">
        <f t="shared" si="10"/>
        <v>0</v>
      </c>
    </row>
    <row r="660" spans="2:14" ht="1.5" customHeight="1">
      <c r="B660" s="57"/>
      <c r="C660" s="60"/>
      <c r="D660" s="60"/>
      <c r="E660" s="60"/>
      <c r="F660" s="60"/>
      <c r="G660" s="60"/>
      <c r="J660" s="99"/>
      <c r="K660" s="99"/>
      <c r="L660" s="99"/>
      <c r="M660" s="99"/>
      <c r="N660" s="43">
        <f t="shared" si="10"/>
        <v>0</v>
      </c>
    </row>
    <row r="661" spans="2:14" ht="1.5" customHeight="1">
      <c r="B661" s="57"/>
      <c r="C661" s="60"/>
      <c r="D661" s="60"/>
      <c r="E661" s="60"/>
      <c r="F661" s="60"/>
      <c r="G661" s="60"/>
      <c r="J661" s="99"/>
      <c r="K661" s="99"/>
      <c r="L661" s="99"/>
      <c r="M661" s="99"/>
      <c r="N661" s="43">
        <f t="shared" si="10"/>
        <v>0</v>
      </c>
    </row>
    <row r="662" spans="2:14" ht="1.5" customHeight="1">
      <c r="B662" s="57"/>
      <c r="C662" s="60"/>
      <c r="D662" s="60"/>
      <c r="E662" s="60"/>
      <c r="F662" s="60"/>
      <c r="G662" s="60"/>
      <c r="J662" s="99"/>
      <c r="K662" s="99"/>
      <c r="L662" s="99"/>
      <c r="M662" s="99"/>
      <c r="N662" s="43">
        <f t="shared" si="10"/>
        <v>0</v>
      </c>
    </row>
    <row r="663" spans="2:14" ht="1.5" customHeight="1">
      <c r="B663" s="57"/>
      <c r="C663" s="60"/>
      <c r="D663" s="60"/>
      <c r="E663" s="60"/>
      <c r="F663" s="60"/>
      <c r="G663" s="60"/>
      <c r="J663" s="99"/>
      <c r="K663" s="99"/>
      <c r="L663" s="99"/>
      <c r="M663" s="99"/>
      <c r="N663" s="43">
        <f t="shared" si="10"/>
        <v>0</v>
      </c>
    </row>
    <row r="664" spans="2:14" ht="1.5" customHeight="1">
      <c r="B664" s="57"/>
      <c r="C664" s="60"/>
      <c r="D664" s="60"/>
      <c r="E664" s="60"/>
      <c r="F664" s="60"/>
      <c r="G664" s="60"/>
      <c r="J664" s="99"/>
      <c r="K664" s="99"/>
      <c r="L664" s="99"/>
      <c r="M664" s="99"/>
      <c r="N664" s="43">
        <f t="shared" si="10"/>
        <v>0</v>
      </c>
    </row>
    <row r="665" spans="2:14" ht="1.5" customHeight="1">
      <c r="B665" s="57"/>
      <c r="C665" s="60"/>
      <c r="D665" s="60"/>
      <c r="E665" s="60"/>
      <c r="F665" s="60"/>
      <c r="G665" s="60"/>
      <c r="J665" s="99"/>
      <c r="K665" s="99"/>
      <c r="L665" s="99"/>
      <c r="M665" s="99"/>
      <c r="N665" s="43">
        <f t="shared" si="10"/>
        <v>0</v>
      </c>
    </row>
    <row r="666" spans="2:14" ht="1.5" customHeight="1">
      <c r="B666" s="57"/>
      <c r="C666" s="60"/>
      <c r="D666" s="60"/>
      <c r="E666" s="60"/>
      <c r="F666" s="60"/>
      <c r="G666" s="60"/>
      <c r="J666" s="99"/>
      <c r="K666" s="99"/>
      <c r="L666" s="99"/>
      <c r="M666" s="99"/>
      <c r="N666" s="43">
        <f t="shared" si="10"/>
        <v>0</v>
      </c>
    </row>
    <row r="667" spans="2:14" ht="1.5" customHeight="1">
      <c r="B667" s="57"/>
      <c r="C667" s="60"/>
      <c r="D667" s="60"/>
      <c r="E667" s="60"/>
      <c r="F667" s="60"/>
      <c r="G667" s="60"/>
      <c r="J667" s="99"/>
      <c r="K667" s="99"/>
      <c r="L667" s="99"/>
      <c r="M667" s="99"/>
      <c r="N667" s="43">
        <f t="shared" si="10"/>
        <v>0</v>
      </c>
    </row>
    <row r="668" spans="2:14" ht="1.5" customHeight="1">
      <c r="B668" s="57"/>
      <c r="C668" s="60"/>
      <c r="D668" s="60"/>
      <c r="E668" s="60"/>
      <c r="F668" s="60"/>
      <c r="G668" s="60"/>
      <c r="J668" s="99"/>
      <c r="K668" s="99"/>
      <c r="L668" s="99"/>
      <c r="M668" s="99"/>
      <c r="N668" s="43">
        <f t="shared" si="10"/>
        <v>0</v>
      </c>
    </row>
    <row r="669" spans="2:14" ht="1.5" customHeight="1">
      <c r="B669" s="57"/>
      <c r="C669" s="60"/>
      <c r="D669" s="60"/>
      <c r="E669" s="60"/>
      <c r="F669" s="60"/>
      <c r="G669" s="60"/>
      <c r="J669" s="99"/>
      <c r="K669" s="99"/>
      <c r="L669" s="99"/>
      <c r="M669" s="99"/>
      <c r="N669" s="43">
        <f t="shared" si="10"/>
        <v>0</v>
      </c>
    </row>
    <row r="670" spans="2:14" ht="1.5" customHeight="1">
      <c r="B670" s="57"/>
      <c r="C670" s="60"/>
      <c r="D670" s="60"/>
      <c r="E670" s="60"/>
      <c r="F670" s="60"/>
      <c r="G670" s="60"/>
      <c r="J670" s="99"/>
      <c r="K670" s="99"/>
      <c r="L670" s="99"/>
      <c r="M670" s="99"/>
      <c r="N670" s="43">
        <f t="shared" si="10"/>
        <v>0</v>
      </c>
    </row>
    <row r="671" spans="2:14" ht="1.5" customHeight="1">
      <c r="B671" s="57"/>
      <c r="C671" s="60"/>
      <c r="D671" s="60"/>
      <c r="E671" s="60"/>
      <c r="F671" s="60"/>
      <c r="G671" s="60"/>
      <c r="J671" s="99"/>
      <c r="K671" s="99"/>
      <c r="L671" s="99"/>
      <c r="M671" s="99"/>
      <c r="N671" s="43">
        <f t="shared" si="10"/>
        <v>0</v>
      </c>
    </row>
    <row r="672" spans="2:14" ht="1.5" customHeight="1">
      <c r="B672" s="57"/>
      <c r="C672" s="60"/>
      <c r="D672" s="60"/>
      <c r="E672" s="60"/>
      <c r="F672" s="60"/>
      <c r="G672" s="60"/>
      <c r="J672" s="99"/>
      <c r="K672" s="99"/>
      <c r="L672" s="99"/>
      <c r="M672" s="99"/>
      <c r="N672" s="43">
        <f t="shared" si="10"/>
        <v>0</v>
      </c>
    </row>
    <row r="673" spans="2:14" ht="1.5" customHeight="1">
      <c r="B673" s="57"/>
      <c r="C673" s="60"/>
      <c r="D673" s="60"/>
      <c r="E673" s="60"/>
      <c r="F673" s="60"/>
      <c r="G673" s="60"/>
      <c r="J673" s="99"/>
      <c r="K673" s="99"/>
      <c r="L673" s="99"/>
      <c r="M673" s="99"/>
      <c r="N673" s="43">
        <f t="shared" si="10"/>
        <v>0</v>
      </c>
    </row>
    <row r="674" spans="2:14" ht="1.5" customHeight="1">
      <c r="B674" s="57"/>
      <c r="C674" s="60"/>
      <c r="D674" s="60"/>
      <c r="E674" s="60"/>
      <c r="F674" s="60"/>
      <c r="G674" s="60"/>
      <c r="J674" s="99"/>
      <c r="K674" s="99"/>
      <c r="L674" s="99"/>
      <c r="M674" s="99"/>
      <c r="N674" s="43">
        <f t="shared" si="10"/>
        <v>0</v>
      </c>
    </row>
    <row r="675" spans="2:14" ht="1.5" customHeight="1">
      <c r="B675" s="57"/>
      <c r="C675" s="60"/>
      <c r="D675" s="60"/>
      <c r="E675" s="60"/>
      <c r="F675" s="60"/>
      <c r="G675" s="60"/>
      <c r="J675" s="99"/>
      <c r="K675" s="99"/>
      <c r="L675" s="99"/>
      <c r="M675" s="99"/>
      <c r="N675" s="43">
        <f t="shared" si="10"/>
        <v>0</v>
      </c>
    </row>
    <row r="676" spans="2:14" ht="1.5" customHeight="1">
      <c r="B676" s="57"/>
      <c r="C676" s="60"/>
      <c r="D676" s="60"/>
      <c r="E676" s="60"/>
      <c r="F676" s="60"/>
      <c r="G676" s="60"/>
      <c r="J676" s="99"/>
      <c r="K676" s="99"/>
      <c r="L676" s="99"/>
      <c r="M676" s="99"/>
      <c r="N676" s="43">
        <f t="shared" si="10"/>
        <v>0</v>
      </c>
    </row>
    <row r="677" spans="2:14" ht="1.5" customHeight="1">
      <c r="B677" s="57"/>
      <c r="C677" s="60"/>
      <c r="D677" s="60"/>
      <c r="E677" s="60"/>
      <c r="F677" s="60"/>
      <c r="G677" s="60"/>
      <c r="J677" s="99"/>
      <c r="K677" s="99"/>
      <c r="L677" s="99"/>
      <c r="M677" s="99"/>
      <c r="N677" s="43">
        <f t="shared" si="10"/>
        <v>0</v>
      </c>
    </row>
    <row r="678" spans="2:14" ht="1.5" customHeight="1">
      <c r="B678" s="57"/>
      <c r="C678" s="60"/>
      <c r="D678" s="60"/>
      <c r="E678" s="60"/>
      <c r="F678" s="60"/>
      <c r="G678" s="60"/>
      <c r="J678" s="99"/>
      <c r="K678" s="99"/>
      <c r="L678" s="99"/>
      <c r="M678" s="99"/>
      <c r="N678" s="43">
        <f t="shared" si="10"/>
        <v>0</v>
      </c>
    </row>
    <row r="679" spans="2:14" ht="1.5" customHeight="1">
      <c r="B679" s="57"/>
      <c r="C679" s="60"/>
      <c r="D679" s="60"/>
      <c r="E679" s="60"/>
      <c r="F679" s="60"/>
      <c r="G679" s="60"/>
      <c r="J679" s="99"/>
      <c r="K679" s="99"/>
      <c r="L679" s="99"/>
      <c r="M679" s="99"/>
      <c r="N679" s="43">
        <f t="shared" si="10"/>
        <v>0</v>
      </c>
    </row>
    <row r="680" spans="2:14" ht="1.5" customHeight="1">
      <c r="B680" s="57"/>
      <c r="C680" s="60"/>
      <c r="D680" s="60"/>
      <c r="E680" s="60"/>
      <c r="F680" s="60"/>
      <c r="G680" s="60"/>
      <c r="J680" s="99"/>
      <c r="K680" s="99"/>
      <c r="L680" s="99"/>
      <c r="M680" s="99"/>
      <c r="N680" s="43">
        <f t="shared" si="10"/>
        <v>0</v>
      </c>
    </row>
    <row r="681" spans="2:14" ht="1.5" customHeight="1">
      <c r="B681" s="57"/>
      <c r="C681" s="60"/>
      <c r="D681" s="60"/>
      <c r="E681" s="60"/>
      <c r="F681" s="60"/>
      <c r="G681" s="60"/>
      <c r="J681" s="99"/>
      <c r="K681" s="99"/>
      <c r="L681" s="99"/>
      <c r="M681" s="99"/>
      <c r="N681" s="43">
        <f t="shared" si="10"/>
        <v>0</v>
      </c>
    </row>
    <row r="682" spans="2:14" ht="1.5" customHeight="1">
      <c r="B682" s="57"/>
      <c r="C682" s="60"/>
      <c r="D682" s="60"/>
      <c r="E682" s="60"/>
      <c r="F682" s="60"/>
      <c r="G682" s="60"/>
      <c r="J682" s="99"/>
      <c r="K682" s="99"/>
      <c r="L682" s="99"/>
      <c r="M682" s="99"/>
      <c r="N682" s="43">
        <f t="shared" si="10"/>
        <v>0</v>
      </c>
    </row>
    <row r="683" spans="2:14" ht="1.5" customHeight="1">
      <c r="B683" s="57"/>
      <c r="C683" s="60"/>
      <c r="D683" s="60"/>
      <c r="E683" s="60"/>
      <c r="F683" s="60"/>
      <c r="G683" s="60"/>
      <c r="J683" s="99"/>
      <c r="K683" s="99"/>
      <c r="L683" s="99"/>
      <c r="M683" s="99"/>
      <c r="N683" s="43">
        <f t="shared" si="10"/>
        <v>0</v>
      </c>
    </row>
    <row r="684" spans="2:14" ht="1.5" customHeight="1">
      <c r="B684" s="57"/>
      <c r="C684" s="60"/>
      <c r="D684" s="60"/>
      <c r="E684" s="60"/>
      <c r="F684" s="60"/>
      <c r="G684" s="60"/>
      <c r="J684" s="99"/>
      <c r="K684" s="99"/>
      <c r="L684" s="99"/>
      <c r="M684" s="99"/>
      <c r="N684" s="43">
        <f t="shared" si="10"/>
        <v>0</v>
      </c>
    </row>
    <row r="685" spans="2:14" ht="1.5" customHeight="1">
      <c r="B685" s="57"/>
      <c r="C685" s="60"/>
      <c r="D685" s="60"/>
      <c r="E685" s="60"/>
      <c r="F685" s="60"/>
      <c r="G685" s="60"/>
      <c r="J685" s="99"/>
      <c r="K685" s="99"/>
      <c r="L685" s="99"/>
      <c r="M685" s="99"/>
      <c r="N685" s="43">
        <f t="shared" si="10"/>
        <v>0</v>
      </c>
    </row>
    <row r="686" spans="2:14" ht="1.5" customHeight="1">
      <c r="B686" s="57"/>
      <c r="C686" s="60"/>
      <c r="D686" s="60"/>
      <c r="E686" s="60"/>
      <c r="F686" s="60"/>
      <c r="G686" s="60"/>
      <c r="J686" s="99"/>
      <c r="K686" s="99"/>
      <c r="L686" s="99"/>
      <c r="M686" s="99"/>
      <c r="N686" s="43">
        <f t="shared" si="10"/>
        <v>0</v>
      </c>
    </row>
    <row r="687" spans="2:14" ht="1.5" customHeight="1">
      <c r="B687" s="57"/>
      <c r="C687" s="60"/>
      <c r="D687" s="60"/>
      <c r="E687" s="60"/>
      <c r="F687" s="60"/>
      <c r="G687" s="60"/>
      <c r="J687" s="99"/>
      <c r="K687" s="99"/>
      <c r="L687" s="99"/>
      <c r="M687" s="99"/>
      <c r="N687" s="43">
        <f t="shared" si="10"/>
        <v>0</v>
      </c>
    </row>
    <row r="688" spans="2:14" ht="1.5" customHeight="1">
      <c r="B688" s="57"/>
      <c r="C688" s="60"/>
      <c r="D688" s="60"/>
      <c r="E688" s="60"/>
      <c r="F688" s="60"/>
      <c r="G688" s="60"/>
      <c r="J688" s="99"/>
      <c r="K688" s="99"/>
      <c r="L688" s="99"/>
      <c r="M688" s="99"/>
      <c r="N688" s="43">
        <f t="shared" si="10"/>
        <v>0</v>
      </c>
    </row>
    <row r="689" spans="2:14" ht="1.5" customHeight="1">
      <c r="B689" s="57"/>
      <c r="C689" s="60"/>
      <c r="D689" s="60"/>
      <c r="E689" s="60"/>
      <c r="F689" s="60"/>
      <c r="G689" s="60"/>
      <c r="J689" s="99"/>
      <c r="K689" s="99"/>
      <c r="L689" s="99"/>
      <c r="M689" s="99"/>
      <c r="N689" s="43">
        <f t="shared" si="10"/>
        <v>0</v>
      </c>
    </row>
    <row r="690" spans="2:14" ht="1.5" customHeight="1">
      <c r="B690" s="57"/>
      <c r="C690" s="60"/>
      <c r="D690" s="60"/>
      <c r="E690" s="60"/>
      <c r="F690" s="60"/>
      <c r="G690" s="60"/>
      <c r="J690" s="99"/>
      <c r="K690" s="99"/>
      <c r="L690" s="99"/>
      <c r="M690" s="99"/>
      <c r="N690" s="43">
        <f t="shared" si="10"/>
        <v>0</v>
      </c>
    </row>
    <row r="691" spans="2:14" ht="1.5" customHeight="1">
      <c r="B691" s="57"/>
      <c r="C691" s="60"/>
      <c r="D691" s="60"/>
      <c r="E691" s="60"/>
      <c r="F691" s="60"/>
      <c r="G691" s="60"/>
      <c r="J691" s="99"/>
      <c r="K691" s="99"/>
      <c r="L691" s="99"/>
      <c r="M691" s="99"/>
      <c r="N691" s="43">
        <f t="shared" si="10"/>
        <v>0</v>
      </c>
    </row>
    <row r="692" spans="2:14" ht="1.5" customHeight="1">
      <c r="B692" s="57"/>
      <c r="C692" s="60"/>
      <c r="D692" s="60"/>
      <c r="E692" s="60"/>
      <c r="F692" s="60"/>
      <c r="G692" s="60"/>
      <c r="J692" s="99"/>
      <c r="K692" s="99"/>
      <c r="L692" s="99"/>
      <c r="M692" s="99"/>
      <c r="N692" s="43">
        <f t="shared" si="10"/>
        <v>0</v>
      </c>
    </row>
    <row r="693" spans="2:14" ht="1.5" customHeight="1">
      <c r="B693" s="57"/>
      <c r="C693" s="60"/>
      <c r="D693" s="60"/>
      <c r="E693" s="60"/>
      <c r="F693" s="60"/>
      <c r="G693" s="60"/>
      <c r="J693" s="99"/>
      <c r="K693" s="99"/>
      <c r="L693" s="99"/>
      <c r="M693" s="99"/>
      <c r="N693" s="43">
        <f t="shared" si="10"/>
        <v>0</v>
      </c>
    </row>
    <row r="694" spans="2:14" ht="1.5" customHeight="1">
      <c r="B694" s="57"/>
      <c r="C694" s="60"/>
      <c r="D694" s="60"/>
      <c r="E694" s="60"/>
      <c r="F694" s="60"/>
      <c r="G694" s="60"/>
      <c r="J694" s="99"/>
      <c r="K694" s="99"/>
      <c r="L694" s="99"/>
      <c r="M694" s="99"/>
      <c r="N694" s="43">
        <f t="shared" si="10"/>
        <v>0</v>
      </c>
    </row>
    <row r="695" spans="2:14" ht="1.5" customHeight="1">
      <c r="B695" s="57"/>
      <c r="C695" s="60"/>
      <c r="D695" s="60"/>
      <c r="E695" s="60"/>
      <c r="F695" s="60"/>
      <c r="G695" s="60"/>
      <c r="J695" s="99"/>
      <c r="K695" s="99"/>
      <c r="L695" s="99"/>
      <c r="M695" s="99"/>
      <c r="N695" s="43">
        <f t="shared" si="10"/>
        <v>0</v>
      </c>
    </row>
    <row r="696" spans="2:14" ht="1.5" customHeight="1">
      <c r="B696" s="57"/>
      <c r="C696" s="60"/>
      <c r="D696" s="60"/>
      <c r="E696" s="60"/>
      <c r="F696" s="60"/>
      <c r="G696" s="60"/>
      <c r="J696" s="99"/>
      <c r="K696" s="99"/>
      <c r="L696" s="99"/>
      <c r="M696" s="99"/>
      <c r="N696" s="43">
        <f t="shared" si="10"/>
        <v>0</v>
      </c>
    </row>
    <row r="697" spans="2:14" ht="1.5" customHeight="1">
      <c r="B697" s="57"/>
      <c r="C697" s="60"/>
      <c r="D697" s="60"/>
      <c r="E697" s="60"/>
      <c r="F697" s="60"/>
      <c r="G697" s="60"/>
      <c r="J697" s="99"/>
      <c r="K697" s="99"/>
      <c r="L697" s="99"/>
      <c r="M697" s="99"/>
      <c r="N697" s="43">
        <f t="shared" si="10"/>
        <v>0</v>
      </c>
    </row>
    <row r="698" spans="2:14" ht="1.5" customHeight="1">
      <c r="B698" s="57"/>
      <c r="C698" s="60"/>
      <c r="D698" s="60"/>
      <c r="E698" s="60"/>
      <c r="F698" s="60"/>
      <c r="G698" s="60"/>
      <c r="J698" s="99"/>
      <c r="K698" s="99"/>
      <c r="L698" s="99"/>
      <c r="M698" s="99"/>
      <c r="N698" s="43">
        <f t="shared" si="10"/>
        <v>0</v>
      </c>
    </row>
    <row r="699" spans="2:14" ht="1.5" customHeight="1">
      <c r="B699" s="57"/>
      <c r="C699" s="60"/>
      <c r="D699" s="60"/>
      <c r="E699" s="60"/>
      <c r="F699" s="60"/>
      <c r="G699" s="60"/>
      <c r="J699" s="99"/>
      <c r="K699" s="99"/>
      <c r="L699" s="99"/>
      <c r="M699" s="99"/>
      <c r="N699" s="43">
        <f t="shared" si="10"/>
        <v>0</v>
      </c>
    </row>
    <row r="700" spans="2:14" ht="1.5" customHeight="1">
      <c r="B700" s="57"/>
      <c r="C700" s="60"/>
      <c r="D700" s="60"/>
      <c r="E700" s="60"/>
      <c r="F700" s="60"/>
      <c r="G700" s="60"/>
      <c r="J700" s="99"/>
      <c r="K700" s="99"/>
      <c r="L700" s="99"/>
      <c r="M700" s="99"/>
      <c r="N700" s="43">
        <f t="shared" si="10"/>
        <v>0</v>
      </c>
    </row>
    <row r="701" spans="2:14" ht="1.5" customHeight="1">
      <c r="B701" s="57"/>
      <c r="C701" s="60"/>
      <c r="D701" s="60"/>
      <c r="E701" s="60"/>
      <c r="F701" s="60"/>
      <c r="G701" s="60"/>
      <c r="J701" s="99"/>
      <c r="K701" s="99"/>
      <c r="L701" s="99"/>
      <c r="M701" s="99"/>
      <c r="N701" s="43">
        <f t="shared" si="10"/>
        <v>0</v>
      </c>
    </row>
    <row r="702" spans="2:14" ht="1.5" customHeight="1">
      <c r="B702" s="57"/>
      <c r="C702" s="60"/>
      <c r="D702" s="60"/>
      <c r="E702" s="60"/>
      <c r="F702" s="60"/>
      <c r="G702" s="60"/>
      <c r="J702" s="99"/>
      <c r="K702" s="99"/>
      <c r="L702" s="99"/>
      <c r="M702" s="99"/>
      <c r="N702" s="43">
        <f t="shared" si="10"/>
        <v>0</v>
      </c>
    </row>
    <row r="703" spans="2:14" ht="1.5" customHeight="1">
      <c r="B703" s="57"/>
      <c r="C703" s="60"/>
      <c r="D703" s="60"/>
      <c r="E703" s="60"/>
      <c r="F703" s="60"/>
      <c r="G703" s="60"/>
      <c r="J703" s="99"/>
      <c r="K703" s="99"/>
      <c r="L703" s="99"/>
      <c r="M703" s="99"/>
      <c r="N703" s="43">
        <f t="shared" si="10"/>
        <v>0</v>
      </c>
    </row>
    <row r="704" spans="2:14" ht="1.5" customHeight="1">
      <c r="B704" s="57"/>
      <c r="C704" s="60"/>
      <c r="D704" s="60"/>
      <c r="E704" s="60"/>
      <c r="F704" s="60"/>
      <c r="G704" s="60"/>
      <c r="J704" s="99"/>
      <c r="K704" s="99"/>
      <c r="L704" s="99"/>
      <c r="M704" s="99"/>
      <c r="N704" s="43">
        <f t="shared" si="10"/>
        <v>0</v>
      </c>
    </row>
    <row r="705" spans="2:14" ht="1.5" customHeight="1">
      <c r="B705" s="57"/>
      <c r="C705" s="60"/>
      <c r="D705" s="60"/>
      <c r="E705" s="60"/>
      <c r="F705" s="60"/>
      <c r="G705" s="60"/>
      <c r="J705" s="99"/>
      <c r="K705" s="99"/>
      <c r="L705" s="99"/>
      <c r="M705" s="99"/>
      <c r="N705" s="43">
        <f t="shared" si="10"/>
        <v>0</v>
      </c>
    </row>
    <row r="706" spans="2:14" ht="1.5" customHeight="1">
      <c r="B706" s="57"/>
      <c r="C706" s="60"/>
      <c r="D706" s="60"/>
      <c r="E706" s="60"/>
      <c r="F706" s="60"/>
      <c r="G706" s="60"/>
      <c r="J706" s="99"/>
      <c r="K706" s="99"/>
      <c r="L706" s="99"/>
      <c r="M706" s="99"/>
      <c r="N706" s="43">
        <f t="shared" si="10"/>
        <v>0</v>
      </c>
    </row>
    <row r="707" spans="2:14" ht="1.5" customHeight="1">
      <c r="B707" s="57"/>
      <c r="C707" s="60"/>
      <c r="D707" s="60"/>
      <c r="E707" s="60"/>
      <c r="F707" s="60"/>
      <c r="G707" s="60"/>
      <c r="J707" s="99"/>
      <c r="K707" s="99"/>
      <c r="L707" s="99"/>
      <c r="M707" s="99"/>
      <c r="N707" s="43">
        <f t="shared" si="10"/>
        <v>0</v>
      </c>
    </row>
    <row r="708" spans="2:14" ht="1.5" customHeight="1">
      <c r="B708" s="57"/>
      <c r="C708" s="60"/>
      <c r="D708" s="60"/>
      <c r="E708" s="60"/>
      <c r="F708" s="60"/>
      <c r="G708" s="60"/>
      <c r="J708" s="99"/>
      <c r="K708" s="99"/>
      <c r="L708" s="99"/>
      <c r="M708" s="99"/>
      <c r="N708" s="43">
        <f t="shared" si="10"/>
        <v>0</v>
      </c>
    </row>
    <row r="709" spans="2:14" ht="1.5" customHeight="1">
      <c r="B709" s="57"/>
      <c r="C709" s="60"/>
      <c r="D709" s="60"/>
      <c r="E709" s="60"/>
      <c r="F709" s="60"/>
      <c r="G709" s="60"/>
      <c r="J709" s="99"/>
      <c r="K709" s="99"/>
      <c r="L709" s="99"/>
      <c r="M709" s="99"/>
      <c r="N709" s="43">
        <f t="shared" si="10"/>
        <v>0</v>
      </c>
    </row>
    <row r="710" spans="2:14" ht="1.5" customHeight="1">
      <c r="B710" s="57"/>
      <c r="C710" s="60"/>
      <c r="D710" s="60"/>
      <c r="E710" s="60"/>
      <c r="F710" s="60"/>
      <c r="G710" s="60"/>
      <c r="J710" s="99"/>
      <c r="K710" s="99"/>
      <c r="L710" s="99"/>
      <c r="M710" s="99"/>
      <c r="N710" s="43">
        <f t="shared" si="10"/>
        <v>0</v>
      </c>
    </row>
    <row r="711" spans="2:14" ht="1.5" customHeight="1">
      <c r="B711" s="57"/>
      <c r="C711" s="60"/>
      <c r="D711" s="60"/>
      <c r="E711" s="60"/>
      <c r="F711" s="60"/>
      <c r="G711" s="60"/>
      <c r="J711" s="99"/>
      <c r="K711" s="99"/>
      <c r="L711" s="99"/>
      <c r="M711" s="99"/>
      <c r="N711" s="43">
        <f t="shared" si="10"/>
        <v>0</v>
      </c>
    </row>
    <row r="712" spans="2:14" ht="1.5" customHeight="1">
      <c r="B712" s="57"/>
      <c r="C712" s="60"/>
      <c r="D712" s="60"/>
      <c r="E712" s="60"/>
      <c r="F712" s="60"/>
      <c r="G712" s="60"/>
      <c r="J712" s="99"/>
      <c r="K712" s="99"/>
      <c r="L712" s="99"/>
      <c r="M712" s="99"/>
      <c r="N712" s="43">
        <f t="shared" si="10"/>
        <v>0</v>
      </c>
    </row>
    <row r="713" spans="2:14" ht="1.5" customHeight="1">
      <c r="B713" s="57"/>
      <c r="C713" s="60"/>
      <c r="D713" s="60"/>
      <c r="E713" s="60"/>
      <c r="F713" s="60"/>
      <c r="G713" s="60"/>
      <c r="J713" s="99"/>
      <c r="K713" s="99"/>
      <c r="L713" s="99"/>
      <c r="M713" s="99"/>
      <c r="N713" s="43">
        <f t="shared" si="10"/>
        <v>0</v>
      </c>
    </row>
    <row r="714" spans="2:14" ht="1.5" customHeight="1">
      <c r="B714" s="57"/>
      <c r="C714" s="60"/>
      <c r="D714" s="60"/>
      <c r="E714" s="60"/>
      <c r="F714" s="60"/>
      <c r="G714" s="60"/>
      <c r="J714" s="99"/>
      <c r="K714" s="99"/>
      <c r="L714" s="99"/>
      <c r="M714" s="99"/>
      <c r="N714" s="43">
        <f t="shared" si="10"/>
        <v>0</v>
      </c>
    </row>
    <row r="715" spans="2:14" ht="1.5" customHeight="1">
      <c r="B715" s="57"/>
      <c r="C715" s="60"/>
      <c r="D715" s="60"/>
      <c r="E715" s="60"/>
      <c r="F715" s="60"/>
      <c r="G715" s="60"/>
      <c r="J715" s="99"/>
      <c r="K715" s="99"/>
      <c r="L715" s="99"/>
      <c r="M715" s="99"/>
      <c r="N715" s="43">
        <f t="shared" ref="N715:N778" si="11">IF($L$4=$C$10,C715,IF(D715="","",B715))</f>
        <v>0</v>
      </c>
    </row>
    <row r="716" spans="2:14" ht="1.5" customHeight="1">
      <c r="B716" s="57"/>
      <c r="C716" s="60"/>
      <c r="D716" s="60"/>
      <c r="E716" s="60"/>
      <c r="F716" s="60"/>
      <c r="G716" s="60"/>
      <c r="J716" s="99"/>
      <c r="K716" s="99"/>
      <c r="L716" s="99"/>
      <c r="M716" s="99"/>
      <c r="N716" s="43">
        <f t="shared" si="11"/>
        <v>0</v>
      </c>
    </row>
    <row r="717" spans="2:14" ht="1.5" customHeight="1">
      <c r="B717" s="57"/>
      <c r="C717" s="60"/>
      <c r="D717" s="60"/>
      <c r="E717" s="60"/>
      <c r="F717" s="60"/>
      <c r="G717" s="60"/>
      <c r="J717" s="99"/>
      <c r="K717" s="99"/>
      <c r="L717" s="99"/>
      <c r="M717" s="99"/>
      <c r="N717" s="43">
        <f t="shared" si="11"/>
        <v>0</v>
      </c>
    </row>
    <row r="718" spans="2:14" ht="1.5" customHeight="1">
      <c r="B718" s="57"/>
      <c r="C718" s="60"/>
      <c r="D718" s="60"/>
      <c r="E718" s="60"/>
      <c r="F718" s="60"/>
      <c r="G718" s="60"/>
      <c r="J718" s="99"/>
      <c r="K718" s="99"/>
      <c r="L718" s="99"/>
      <c r="M718" s="99"/>
      <c r="N718" s="43">
        <f t="shared" si="11"/>
        <v>0</v>
      </c>
    </row>
    <row r="719" spans="2:14" ht="1.5" customHeight="1">
      <c r="B719" s="57"/>
      <c r="C719" s="60"/>
      <c r="D719" s="60"/>
      <c r="E719" s="60"/>
      <c r="F719" s="60"/>
      <c r="G719" s="60"/>
      <c r="J719" s="99"/>
      <c r="K719" s="99"/>
      <c r="L719" s="99"/>
      <c r="M719" s="99"/>
      <c r="N719" s="43">
        <f t="shared" si="11"/>
        <v>0</v>
      </c>
    </row>
    <row r="720" spans="2:14" ht="1.5" customHeight="1">
      <c r="B720" s="57"/>
      <c r="C720" s="60"/>
      <c r="D720" s="60"/>
      <c r="E720" s="60"/>
      <c r="F720" s="60"/>
      <c r="G720" s="60"/>
      <c r="J720" s="99"/>
      <c r="K720" s="99"/>
      <c r="L720" s="99"/>
      <c r="M720" s="99"/>
      <c r="N720" s="43">
        <f t="shared" si="11"/>
        <v>0</v>
      </c>
    </row>
    <row r="721" spans="2:14" ht="1.5" customHeight="1">
      <c r="B721" s="57"/>
      <c r="C721" s="60"/>
      <c r="D721" s="60"/>
      <c r="E721" s="60"/>
      <c r="F721" s="60"/>
      <c r="G721" s="60"/>
      <c r="J721" s="99"/>
      <c r="K721" s="99"/>
      <c r="L721" s="99"/>
      <c r="M721" s="99"/>
      <c r="N721" s="43">
        <f t="shared" si="11"/>
        <v>0</v>
      </c>
    </row>
    <row r="722" spans="2:14" ht="1.5" customHeight="1">
      <c r="B722" s="57"/>
      <c r="C722" s="60"/>
      <c r="D722" s="60"/>
      <c r="E722" s="60"/>
      <c r="F722" s="60"/>
      <c r="G722" s="60"/>
      <c r="J722" s="99"/>
      <c r="K722" s="99"/>
      <c r="L722" s="99"/>
      <c r="M722" s="99"/>
      <c r="N722" s="43">
        <f t="shared" si="11"/>
        <v>0</v>
      </c>
    </row>
    <row r="723" spans="2:14" ht="1.5" customHeight="1">
      <c r="B723" s="57"/>
      <c r="C723" s="60"/>
      <c r="D723" s="60"/>
      <c r="E723" s="60"/>
      <c r="F723" s="60"/>
      <c r="G723" s="60"/>
      <c r="J723" s="99"/>
      <c r="K723" s="99"/>
      <c r="L723" s="99"/>
      <c r="M723" s="99"/>
      <c r="N723" s="43">
        <f t="shared" si="11"/>
        <v>0</v>
      </c>
    </row>
    <row r="724" spans="2:14" ht="1.5" customHeight="1">
      <c r="B724" s="57"/>
      <c r="C724" s="60"/>
      <c r="D724" s="60"/>
      <c r="E724" s="60"/>
      <c r="F724" s="60"/>
      <c r="G724" s="60"/>
      <c r="J724" s="99"/>
      <c r="K724" s="99"/>
      <c r="L724" s="99"/>
      <c r="M724" s="99"/>
      <c r="N724" s="43">
        <f t="shared" si="11"/>
        <v>0</v>
      </c>
    </row>
    <row r="725" spans="2:14" ht="1.5" customHeight="1">
      <c r="B725" s="57"/>
      <c r="C725" s="60"/>
      <c r="D725" s="60"/>
      <c r="E725" s="60"/>
      <c r="F725" s="60"/>
      <c r="G725" s="60"/>
      <c r="J725" s="99"/>
      <c r="K725" s="99"/>
      <c r="L725" s="99"/>
      <c r="M725" s="99"/>
      <c r="N725" s="43">
        <f t="shared" si="11"/>
        <v>0</v>
      </c>
    </row>
    <row r="726" spans="2:14" ht="1.5" customHeight="1">
      <c r="B726" s="57"/>
      <c r="C726" s="60"/>
      <c r="D726" s="60"/>
      <c r="E726" s="60"/>
      <c r="F726" s="60"/>
      <c r="G726" s="60"/>
      <c r="J726" s="99"/>
      <c r="K726" s="99"/>
      <c r="L726" s="99"/>
      <c r="M726" s="99"/>
      <c r="N726" s="43">
        <f t="shared" si="11"/>
        <v>0</v>
      </c>
    </row>
    <row r="727" spans="2:14" ht="1.5" customHeight="1">
      <c r="B727" s="57"/>
      <c r="C727" s="60"/>
      <c r="D727" s="60"/>
      <c r="E727" s="60"/>
      <c r="F727" s="60"/>
      <c r="G727" s="60"/>
      <c r="J727" s="99"/>
      <c r="K727" s="99"/>
      <c r="L727" s="99"/>
      <c r="M727" s="99"/>
      <c r="N727" s="43">
        <f t="shared" si="11"/>
        <v>0</v>
      </c>
    </row>
    <row r="728" spans="2:14" ht="1.5" customHeight="1">
      <c r="B728" s="57"/>
      <c r="C728" s="60"/>
      <c r="D728" s="60"/>
      <c r="E728" s="60"/>
      <c r="F728" s="60"/>
      <c r="G728" s="60"/>
      <c r="J728" s="99"/>
      <c r="K728" s="99"/>
      <c r="L728" s="99"/>
      <c r="M728" s="99"/>
      <c r="N728" s="43">
        <f t="shared" si="11"/>
        <v>0</v>
      </c>
    </row>
    <row r="729" spans="2:14" ht="1.5" customHeight="1">
      <c r="B729" s="57"/>
      <c r="C729" s="60"/>
      <c r="D729" s="60"/>
      <c r="E729" s="60"/>
      <c r="F729" s="60"/>
      <c r="G729" s="60"/>
      <c r="J729" s="99"/>
      <c r="K729" s="99"/>
      <c r="L729" s="99"/>
      <c r="M729" s="99"/>
      <c r="N729" s="43">
        <f t="shared" si="11"/>
        <v>0</v>
      </c>
    </row>
    <row r="730" spans="2:14" ht="1.5" customHeight="1">
      <c r="B730" s="57"/>
      <c r="C730" s="60"/>
      <c r="D730" s="60"/>
      <c r="E730" s="60"/>
      <c r="F730" s="60"/>
      <c r="G730" s="60"/>
      <c r="J730" s="99"/>
      <c r="K730" s="99"/>
      <c r="L730" s="99"/>
      <c r="M730" s="99"/>
      <c r="N730" s="43">
        <f t="shared" si="11"/>
        <v>0</v>
      </c>
    </row>
    <row r="731" spans="2:14" ht="1.5" customHeight="1">
      <c r="B731" s="57"/>
      <c r="C731" s="60"/>
      <c r="D731" s="60"/>
      <c r="E731" s="60"/>
      <c r="F731" s="60"/>
      <c r="G731" s="60"/>
      <c r="J731" s="99"/>
      <c r="K731" s="99"/>
      <c r="L731" s="99"/>
      <c r="M731" s="99"/>
      <c r="N731" s="43">
        <f t="shared" si="11"/>
        <v>0</v>
      </c>
    </row>
    <row r="732" spans="2:14" ht="1.5" customHeight="1">
      <c r="B732" s="57"/>
      <c r="C732" s="60"/>
      <c r="D732" s="60"/>
      <c r="E732" s="60"/>
      <c r="F732" s="60"/>
      <c r="G732" s="60"/>
      <c r="J732" s="99"/>
      <c r="K732" s="99"/>
      <c r="L732" s="99"/>
      <c r="M732" s="99"/>
      <c r="N732" s="43">
        <f t="shared" si="11"/>
        <v>0</v>
      </c>
    </row>
    <row r="733" spans="2:14" ht="1.5" customHeight="1">
      <c r="B733" s="57"/>
      <c r="C733" s="60"/>
      <c r="D733" s="60"/>
      <c r="E733" s="60"/>
      <c r="F733" s="60"/>
      <c r="G733" s="60"/>
      <c r="J733" s="99"/>
      <c r="K733" s="99"/>
      <c r="L733" s="99"/>
      <c r="M733" s="99"/>
      <c r="N733" s="43">
        <f t="shared" si="11"/>
        <v>0</v>
      </c>
    </row>
    <row r="734" spans="2:14" ht="1.5" customHeight="1">
      <c r="B734" s="57"/>
      <c r="C734" s="60"/>
      <c r="D734" s="60"/>
      <c r="E734" s="60"/>
      <c r="F734" s="60"/>
      <c r="G734" s="60"/>
      <c r="J734" s="99"/>
      <c r="K734" s="99"/>
      <c r="L734" s="99"/>
      <c r="M734" s="99"/>
      <c r="N734" s="43">
        <f t="shared" si="11"/>
        <v>0</v>
      </c>
    </row>
    <row r="735" spans="2:14" ht="1.5" customHeight="1">
      <c r="B735" s="57"/>
      <c r="C735" s="60"/>
      <c r="D735" s="60"/>
      <c r="E735" s="60"/>
      <c r="F735" s="60"/>
      <c r="G735" s="60"/>
      <c r="J735" s="99"/>
      <c r="K735" s="99"/>
      <c r="L735" s="99"/>
      <c r="M735" s="99"/>
      <c r="N735" s="43">
        <f t="shared" si="11"/>
        <v>0</v>
      </c>
    </row>
    <row r="736" spans="2:14" ht="1.5" customHeight="1">
      <c r="B736" s="57"/>
      <c r="C736" s="60"/>
      <c r="D736" s="60"/>
      <c r="E736" s="60"/>
      <c r="F736" s="60"/>
      <c r="G736" s="60"/>
      <c r="J736" s="99"/>
      <c r="K736" s="99"/>
      <c r="L736" s="99"/>
      <c r="M736" s="99"/>
      <c r="N736" s="43">
        <f t="shared" si="11"/>
        <v>0</v>
      </c>
    </row>
    <row r="737" spans="2:14" ht="1.5" customHeight="1">
      <c r="B737" s="57"/>
      <c r="C737" s="60"/>
      <c r="D737" s="60"/>
      <c r="E737" s="60"/>
      <c r="F737" s="60"/>
      <c r="G737" s="60"/>
      <c r="J737" s="99"/>
      <c r="K737" s="99"/>
      <c r="L737" s="99"/>
      <c r="M737" s="99"/>
      <c r="N737" s="43">
        <f t="shared" si="11"/>
        <v>0</v>
      </c>
    </row>
    <row r="738" spans="2:14" ht="1.5" customHeight="1">
      <c r="B738" s="57"/>
      <c r="C738" s="60"/>
      <c r="D738" s="60"/>
      <c r="E738" s="60"/>
      <c r="F738" s="60"/>
      <c r="G738" s="60"/>
      <c r="J738" s="99"/>
      <c r="K738" s="99"/>
      <c r="L738" s="99"/>
      <c r="M738" s="99"/>
      <c r="N738" s="43">
        <f t="shared" si="11"/>
        <v>0</v>
      </c>
    </row>
    <row r="739" spans="2:14" ht="1.5" customHeight="1">
      <c r="B739" s="57"/>
      <c r="C739" s="60"/>
      <c r="D739" s="60"/>
      <c r="E739" s="60"/>
      <c r="F739" s="60"/>
      <c r="G739" s="60"/>
      <c r="J739" s="99"/>
      <c r="K739" s="99"/>
      <c r="L739" s="99"/>
      <c r="M739" s="99"/>
      <c r="N739" s="43">
        <f t="shared" si="11"/>
        <v>0</v>
      </c>
    </row>
    <row r="740" spans="2:14" ht="1.5" customHeight="1">
      <c r="B740" s="57"/>
      <c r="C740" s="60"/>
      <c r="D740" s="60"/>
      <c r="E740" s="60"/>
      <c r="F740" s="60"/>
      <c r="G740" s="60"/>
      <c r="J740" s="99"/>
      <c r="K740" s="99"/>
      <c r="L740" s="99"/>
      <c r="M740" s="99"/>
      <c r="N740" s="43">
        <f t="shared" si="11"/>
        <v>0</v>
      </c>
    </row>
    <row r="741" spans="2:14" ht="1.5" customHeight="1">
      <c r="B741" s="57"/>
      <c r="C741" s="60"/>
      <c r="D741" s="60"/>
      <c r="E741" s="60"/>
      <c r="F741" s="60"/>
      <c r="G741" s="60"/>
      <c r="J741" s="99"/>
      <c r="K741" s="99"/>
      <c r="L741" s="99"/>
      <c r="M741" s="99"/>
      <c r="N741" s="43">
        <f t="shared" si="11"/>
        <v>0</v>
      </c>
    </row>
    <row r="742" spans="2:14" ht="1.5" customHeight="1">
      <c r="B742" s="57"/>
      <c r="C742" s="60"/>
      <c r="D742" s="60"/>
      <c r="E742" s="60"/>
      <c r="F742" s="60"/>
      <c r="G742" s="60"/>
      <c r="J742" s="99"/>
      <c r="K742" s="99"/>
      <c r="L742" s="99"/>
      <c r="M742" s="99"/>
      <c r="N742" s="43">
        <f t="shared" si="11"/>
        <v>0</v>
      </c>
    </row>
    <row r="743" spans="2:14" ht="1.5" customHeight="1">
      <c r="B743" s="57"/>
      <c r="C743" s="60"/>
      <c r="D743" s="60"/>
      <c r="E743" s="60"/>
      <c r="F743" s="60"/>
      <c r="G743" s="60"/>
      <c r="J743" s="99"/>
      <c r="K743" s="99"/>
      <c r="L743" s="99"/>
      <c r="M743" s="99"/>
      <c r="N743" s="43">
        <f t="shared" si="11"/>
        <v>0</v>
      </c>
    </row>
    <row r="744" spans="2:14" ht="1.5" customHeight="1">
      <c r="B744" s="57"/>
      <c r="C744" s="60"/>
      <c r="D744" s="60"/>
      <c r="E744" s="60"/>
      <c r="F744" s="60"/>
      <c r="G744" s="60"/>
      <c r="J744" s="99"/>
      <c r="K744" s="99"/>
      <c r="L744" s="99"/>
      <c r="M744" s="99"/>
      <c r="N744" s="43">
        <f t="shared" si="11"/>
        <v>0</v>
      </c>
    </row>
    <row r="745" spans="2:14" ht="1.5" customHeight="1">
      <c r="B745" s="57"/>
      <c r="C745" s="60"/>
      <c r="D745" s="60"/>
      <c r="E745" s="60"/>
      <c r="F745" s="60"/>
      <c r="G745" s="60"/>
      <c r="J745" s="99"/>
      <c r="K745" s="99"/>
      <c r="L745" s="99"/>
      <c r="M745" s="99"/>
      <c r="N745" s="43">
        <f t="shared" si="11"/>
        <v>0</v>
      </c>
    </row>
    <row r="746" spans="2:14" ht="1.5" customHeight="1">
      <c r="B746" s="57"/>
      <c r="C746" s="60"/>
      <c r="D746" s="60"/>
      <c r="E746" s="60"/>
      <c r="F746" s="60"/>
      <c r="G746" s="60"/>
      <c r="J746" s="99"/>
      <c r="K746" s="99"/>
      <c r="L746" s="99"/>
      <c r="M746" s="99"/>
      <c r="N746" s="43">
        <f t="shared" si="11"/>
        <v>0</v>
      </c>
    </row>
    <row r="747" spans="2:14" ht="1.5" customHeight="1">
      <c r="B747" s="57"/>
      <c r="C747" s="60"/>
      <c r="D747" s="60"/>
      <c r="E747" s="60"/>
      <c r="F747" s="60"/>
      <c r="G747" s="60"/>
      <c r="J747" s="99"/>
      <c r="K747" s="99"/>
      <c r="L747" s="99"/>
      <c r="M747" s="99"/>
      <c r="N747" s="43">
        <f t="shared" si="11"/>
        <v>0</v>
      </c>
    </row>
    <row r="748" spans="2:14" ht="1.5" customHeight="1">
      <c r="B748" s="57"/>
      <c r="C748" s="60"/>
      <c r="D748" s="60"/>
      <c r="E748" s="60"/>
      <c r="F748" s="60"/>
      <c r="G748" s="60"/>
      <c r="J748" s="99"/>
      <c r="K748" s="99"/>
      <c r="L748" s="99"/>
      <c r="M748" s="99"/>
      <c r="N748" s="43">
        <f t="shared" si="11"/>
        <v>0</v>
      </c>
    </row>
    <row r="749" spans="2:14" ht="1.5" customHeight="1">
      <c r="B749" s="57"/>
      <c r="C749" s="60"/>
      <c r="D749" s="60"/>
      <c r="E749" s="60"/>
      <c r="F749" s="60"/>
      <c r="G749" s="60"/>
      <c r="J749" s="99"/>
      <c r="K749" s="99"/>
      <c r="L749" s="99"/>
      <c r="M749" s="99"/>
      <c r="N749" s="43">
        <f t="shared" si="11"/>
        <v>0</v>
      </c>
    </row>
    <row r="750" spans="2:14" ht="1.5" customHeight="1">
      <c r="B750" s="57"/>
      <c r="C750" s="60"/>
      <c r="D750" s="60"/>
      <c r="E750" s="60"/>
      <c r="F750" s="60"/>
      <c r="G750" s="60"/>
      <c r="J750" s="99"/>
      <c r="K750" s="99"/>
      <c r="L750" s="99"/>
      <c r="M750" s="99"/>
      <c r="N750" s="43">
        <f t="shared" si="11"/>
        <v>0</v>
      </c>
    </row>
    <row r="751" spans="2:14" ht="1.5" customHeight="1">
      <c r="B751" s="57"/>
      <c r="C751" s="60"/>
      <c r="D751" s="60"/>
      <c r="E751" s="60"/>
      <c r="F751" s="60"/>
      <c r="G751" s="60"/>
      <c r="J751" s="99"/>
      <c r="K751" s="99"/>
      <c r="L751" s="99"/>
      <c r="M751" s="99"/>
      <c r="N751" s="43">
        <f t="shared" si="11"/>
        <v>0</v>
      </c>
    </row>
    <row r="752" spans="2:14" ht="1.5" customHeight="1">
      <c r="B752" s="57"/>
      <c r="C752" s="60"/>
      <c r="D752" s="60"/>
      <c r="E752" s="60"/>
      <c r="F752" s="60"/>
      <c r="G752" s="60"/>
      <c r="J752" s="99"/>
      <c r="K752" s="99"/>
      <c r="L752" s="99"/>
      <c r="M752" s="99"/>
      <c r="N752" s="43">
        <f t="shared" si="11"/>
        <v>0</v>
      </c>
    </row>
    <row r="753" spans="2:14" ht="1.5" customHeight="1">
      <c r="B753" s="57"/>
      <c r="C753" s="60"/>
      <c r="D753" s="60"/>
      <c r="E753" s="60"/>
      <c r="F753" s="60"/>
      <c r="G753" s="60"/>
      <c r="J753" s="99"/>
      <c r="K753" s="99"/>
      <c r="L753" s="99"/>
      <c r="M753" s="99"/>
      <c r="N753" s="43">
        <f t="shared" si="11"/>
        <v>0</v>
      </c>
    </row>
    <row r="754" spans="2:14" ht="1.5" customHeight="1">
      <c r="B754" s="57"/>
      <c r="C754" s="60"/>
      <c r="D754" s="60"/>
      <c r="E754" s="60"/>
      <c r="F754" s="60"/>
      <c r="G754" s="60"/>
      <c r="J754" s="99"/>
      <c r="K754" s="99"/>
      <c r="L754" s="99"/>
      <c r="M754" s="99"/>
      <c r="N754" s="43">
        <f t="shared" si="11"/>
        <v>0</v>
      </c>
    </row>
    <row r="755" spans="2:14" ht="1.5" customHeight="1">
      <c r="B755" s="57"/>
      <c r="C755" s="60"/>
      <c r="D755" s="60"/>
      <c r="E755" s="60"/>
      <c r="F755" s="60"/>
      <c r="G755" s="60"/>
      <c r="J755" s="99"/>
      <c r="K755" s="99"/>
      <c r="L755" s="99"/>
      <c r="M755" s="99"/>
      <c r="N755" s="43">
        <f t="shared" si="11"/>
        <v>0</v>
      </c>
    </row>
    <row r="756" spans="2:14" ht="1.5" customHeight="1">
      <c r="B756" s="57"/>
      <c r="C756" s="60"/>
      <c r="D756" s="60"/>
      <c r="E756" s="60"/>
      <c r="F756" s="60"/>
      <c r="G756" s="60"/>
      <c r="J756" s="99"/>
      <c r="K756" s="99"/>
      <c r="L756" s="99"/>
      <c r="M756" s="99"/>
      <c r="N756" s="43">
        <f t="shared" si="11"/>
        <v>0</v>
      </c>
    </row>
    <row r="757" spans="2:14" ht="1.5" customHeight="1">
      <c r="B757" s="57"/>
      <c r="C757" s="60"/>
      <c r="D757" s="60"/>
      <c r="E757" s="60"/>
      <c r="F757" s="60"/>
      <c r="G757" s="60"/>
      <c r="J757" s="99"/>
      <c r="K757" s="99"/>
      <c r="L757" s="99"/>
      <c r="M757" s="99"/>
      <c r="N757" s="43">
        <f t="shared" si="11"/>
        <v>0</v>
      </c>
    </row>
    <row r="758" spans="2:14" ht="1.5" customHeight="1">
      <c r="B758" s="57"/>
      <c r="C758" s="60"/>
      <c r="D758" s="60"/>
      <c r="E758" s="60"/>
      <c r="F758" s="60"/>
      <c r="G758" s="60"/>
      <c r="J758" s="99"/>
      <c r="K758" s="99"/>
      <c r="L758" s="99"/>
      <c r="M758" s="99"/>
      <c r="N758" s="43">
        <f t="shared" si="11"/>
        <v>0</v>
      </c>
    </row>
    <row r="759" spans="2:14" ht="1.5" customHeight="1">
      <c r="B759" s="57"/>
      <c r="C759" s="60"/>
      <c r="D759" s="60"/>
      <c r="E759" s="60"/>
      <c r="F759" s="60"/>
      <c r="G759" s="60"/>
      <c r="J759" s="99"/>
      <c r="K759" s="99"/>
      <c r="L759" s="99"/>
      <c r="M759" s="99"/>
      <c r="N759" s="43">
        <f t="shared" si="11"/>
        <v>0</v>
      </c>
    </row>
    <row r="760" spans="2:14" ht="1.5" customHeight="1">
      <c r="B760" s="57"/>
      <c r="C760" s="60"/>
      <c r="D760" s="60"/>
      <c r="E760" s="60"/>
      <c r="F760" s="60"/>
      <c r="G760" s="60"/>
      <c r="J760" s="99"/>
      <c r="K760" s="99"/>
      <c r="L760" s="99"/>
      <c r="M760" s="99"/>
      <c r="N760" s="43">
        <f t="shared" si="11"/>
        <v>0</v>
      </c>
    </row>
    <row r="761" spans="2:14" ht="1.5" customHeight="1">
      <c r="B761" s="57"/>
      <c r="C761" s="60"/>
      <c r="D761" s="60"/>
      <c r="E761" s="60"/>
      <c r="F761" s="60"/>
      <c r="G761" s="60"/>
      <c r="J761" s="99"/>
      <c r="K761" s="99"/>
      <c r="L761" s="99"/>
      <c r="M761" s="99"/>
      <c r="N761" s="43">
        <f t="shared" si="11"/>
        <v>0</v>
      </c>
    </row>
    <row r="762" spans="2:14" ht="1.5" customHeight="1">
      <c r="B762" s="57"/>
      <c r="C762" s="60"/>
      <c r="D762" s="60"/>
      <c r="E762" s="60"/>
      <c r="F762" s="60"/>
      <c r="G762" s="60"/>
      <c r="J762" s="99"/>
      <c r="K762" s="99"/>
      <c r="L762" s="99"/>
      <c r="M762" s="99"/>
      <c r="N762" s="43">
        <f t="shared" si="11"/>
        <v>0</v>
      </c>
    </row>
    <row r="763" spans="2:14" ht="1.5" customHeight="1">
      <c r="B763" s="57"/>
      <c r="C763" s="60"/>
      <c r="D763" s="60"/>
      <c r="E763" s="60"/>
      <c r="F763" s="60"/>
      <c r="G763" s="60"/>
      <c r="J763" s="99"/>
      <c r="K763" s="99"/>
      <c r="L763" s="99"/>
      <c r="M763" s="99"/>
      <c r="N763" s="43">
        <f t="shared" si="11"/>
        <v>0</v>
      </c>
    </row>
    <row r="764" spans="2:14" ht="1.5" customHeight="1">
      <c r="B764" s="57"/>
      <c r="C764" s="60"/>
      <c r="D764" s="60"/>
      <c r="E764" s="60"/>
      <c r="F764" s="60"/>
      <c r="G764" s="60"/>
      <c r="J764" s="99"/>
      <c r="K764" s="99"/>
      <c r="L764" s="99"/>
      <c r="M764" s="99"/>
      <c r="N764" s="43">
        <f t="shared" si="11"/>
        <v>0</v>
      </c>
    </row>
    <row r="765" spans="2:14" ht="1.5" customHeight="1">
      <c r="B765" s="57"/>
      <c r="C765" s="60"/>
      <c r="D765" s="60"/>
      <c r="E765" s="60"/>
      <c r="F765" s="60"/>
      <c r="G765" s="60"/>
      <c r="J765" s="99"/>
      <c r="K765" s="99"/>
      <c r="L765" s="99"/>
      <c r="M765" s="99"/>
      <c r="N765" s="43">
        <f t="shared" si="11"/>
        <v>0</v>
      </c>
    </row>
    <row r="766" spans="2:14" ht="1.5" customHeight="1">
      <c r="B766" s="57"/>
      <c r="C766" s="60"/>
      <c r="D766" s="60"/>
      <c r="E766" s="60"/>
      <c r="F766" s="60"/>
      <c r="G766" s="60"/>
      <c r="J766" s="99"/>
      <c r="K766" s="99"/>
      <c r="L766" s="99"/>
      <c r="M766" s="99"/>
      <c r="N766" s="43">
        <f t="shared" si="11"/>
        <v>0</v>
      </c>
    </row>
    <row r="767" spans="2:14" ht="1.5" customHeight="1">
      <c r="B767" s="57"/>
      <c r="C767" s="60"/>
      <c r="D767" s="60"/>
      <c r="E767" s="60"/>
      <c r="F767" s="60"/>
      <c r="G767" s="60"/>
      <c r="J767" s="99"/>
      <c r="K767" s="99"/>
      <c r="L767" s="99"/>
      <c r="M767" s="99"/>
      <c r="N767" s="43">
        <f t="shared" si="11"/>
        <v>0</v>
      </c>
    </row>
    <row r="768" spans="2:14" ht="1.5" customHeight="1">
      <c r="B768" s="57"/>
      <c r="C768" s="60"/>
      <c r="D768" s="60"/>
      <c r="E768" s="60"/>
      <c r="F768" s="60"/>
      <c r="G768" s="60"/>
      <c r="J768" s="99"/>
      <c r="K768" s="99"/>
      <c r="L768" s="99"/>
      <c r="M768" s="99"/>
      <c r="N768" s="43">
        <f t="shared" si="11"/>
        <v>0</v>
      </c>
    </row>
    <row r="769" spans="2:14" ht="1.5" customHeight="1">
      <c r="B769" s="57"/>
      <c r="C769" s="60"/>
      <c r="D769" s="60"/>
      <c r="E769" s="60"/>
      <c r="F769" s="60"/>
      <c r="G769" s="60"/>
      <c r="J769" s="99"/>
      <c r="K769" s="99"/>
      <c r="L769" s="99"/>
      <c r="M769" s="99"/>
      <c r="N769" s="43">
        <f t="shared" si="11"/>
        <v>0</v>
      </c>
    </row>
    <row r="770" spans="2:14" ht="1.5" customHeight="1">
      <c r="B770" s="57"/>
      <c r="C770" s="60"/>
      <c r="D770" s="60"/>
      <c r="E770" s="60"/>
      <c r="F770" s="60"/>
      <c r="G770" s="60"/>
      <c r="J770" s="99"/>
      <c r="K770" s="99"/>
      <c r="L770" s="99"/>
      <c r="M770" s="99"/>
      <c r="N770" s="43">
        <f t="shared" si="11"/>
        <v>0</v>
      </c>
    </row>
    <row r="771" spans="2:14" ht="1.5" customHeight="1">
      <c r="B771" s="57"/>
      <c r="C771" s="60"/>
      <c r="D771" s="60"/>
      <c r="E771" s="60"/>
      <c r="F771" s="60"/>
      <c r="G771" s="60"/>
      <c r="J771" s="99"/>
      <c r="K771" s="99"/>
      <c r="L771" s="99"/>
      <c r="M771" s="99"/>
      <c r="N771" s="43">
        <f t="shared" si="11"/>
        <v>0</v>
      </c>
    </row>
    <row r="772" spans="2:14" ht="1.5" customHeight="1">
      <c r="B772" s="57"/>
      <c r="C772" s="60"/>
      <c r="D772" s="60"/>
      <c r="E772" s="60"/>
      <c r="F772" s="60"/>
      <c r="G772" s="60"/>
      <c r="J772" s="99"/>
      <c r="K772" s="99"/>
      <c r="L772" s="99"/>
      <c r="M772" s="99"/>
      <c r="N772" s="43">
        <f t="shared" si="11"/>
        <v>0</v>
      </c>
    </row>
    <row r="773" spans="2:14" ht="1.5" customHeight="1">
      <c r="B773" s="57"/>
      <c r="C773" s="60"/>
      <c r="D773" s="60"/>
      <c r="E773" s="60"/>
      <c r="F773" s="60"/>
      <c r="G773" s="60"/>
      <c r="J773" s="99"/>
      <c r="K773" s="99"/>
      <c r="L773" s="99"/>
      <c r="M773" s="99"/>
      <c r="N773" s="43">
        <f t="shared" si="11"/>
        <v>0</v>
      </c>
    </row>
    <row r="774" spans="2:14" ht="1.5" customHeight="1">
      <c r="B774" s="57"/>
      <c r="C774" s="60"/>
      <c r="D774" s="60"/>
      <c r="E774" s="60"/>
      <c r="F774" s="60"/>
      <c r="G774" s="60"/>
      <c r="J774" s="99"/>
      <c r="K774" s="99"/>
      <c r="L774" s="99"/>
      <c r="M774" s="99"/>
      <c r="N774" s="43">
        <f t="shared" si="11"/>
        <v>0</v>
      </c>
    </row>
    <row r="775" spans="2:14" ht="1.5" customHeight="1">
      <c r="B775" s="57"/>
      <c r="C775" s="60"/>
      <c r="D775" s="60"/>
      <c r="E775" s="60"/>
      <c r="F775" s="60"/>
      <c r="G775" s="60"/>
      <c r="J775" s="99"/>
      <c r="K775" s="99"/>
      <c r="L775" s="99"/>
      <c r="M775" s="99"/>
      <c r="N775" s="43">
        <f t="shared" si="11"/>
        <v>0</v>
      </c>
    </row>
    <row r="776" spans="2:14" ht="1.5" customHeight="1">
      <c r="B776" s="57"/>
      <c r="C776" s="60"/>
      <c r="D776" s="60"/>
      <c r="E776" s="60"/>
      <c r="F776" s="60"/>
      <c r="G776" s="60"/>
      <c r="J776" s="99"/>
      <c r="K776" s="99"/>
      <c r="L776" s="99"/>
      <c r="M776" s="99"/>
      <c r="N776" s="43">
        <f t="shared" si="11"/>
        <v>0</v>
      </c>
    </row>
    <row r="777" spans="2:14" ht="1.5" customHeight="1">
      <c r="B777" s="57"/>
      <c r="C777" s="60"/>
      <c r="D777" s="60"/>
      <c r="E777" s="60"/>
      <c r="F777" s="60"/>
      <c r="G777" s="60"/>
      <c r="J777" s="99"/>
      <c r="K777" s="99"/>
      <c r="L777" s="99"/>
      <c r="M777" s="99"/>
      <c r="N777" s="43">
        <f t="shared" si="11"/>
        <v>0</v>
      </c>
    </row>
    <row r="778" spans="2:14" ht="1.5" customHeight="1">
      <c r="B778" s="57"/>
      <c r="C778" s="60"/>
      <c r="D778" s="60"/>
      <c r="E778" s="60"/>
      <c r="F778" s="60"/>
      <c r="G778" s="60"/>
      <c r="J778" s="99"/>
      <c r="K778" s="99"/>
      <c r="L778" s="99"/>
      <c r="M778" s="99"/>
      <c r="N778" s="43">
        <f t="shared" si="11"/>
        <v>0</v>
      </c>
    </row>
    <row r="779" spans="2:14" ht="1.5" customHeight="1">
      <c r="B779" s="57"/>
      <c r="C779" s="60"/>
      <c r="D779" s="60"/>
      <c r="E779" s="60"/>
      <c r="F779" s="60"/>
      <c r="G779" s="60"/>
      <c r="J779" s="99"/>
      <c r="K779" s="99"/>
      <c r="L779" s="99"/>
      <c r="M779" s="99"/>
      <c r="N779" s="43">
        <f t="shared" ref="N779:N811" si="12">IF($L$4=$C$10,C779,IF(D779="","",B779))</f>
        <v>0</v>
      </c>
    </row>
    <row r="780" spans="2:14" ht="1.5" customHeight="1">
      <c r="B780" s="57"/>
      <c r="C780" s="60"/>
      <c r="D780" s="60"/>
      <c r="E780" s="60"/>
      <c r="F780" s="60"/>
      <c r="G780" s="60"/>
      <c r="J780" s="99"/>
      <c r="K780" s="99"/>
      <c r="L780" s="99"/>
      <c r="M780" s="99"/>
      <c r="N780" s="43">
        <f t="shared" si="12"/>
        <v>0</v>
      </c>
    </row>
    <row r="781" spans="2:14" ht="1.5" customHeight="1">
      <c r="B781" s="57"/>
      <c r="C781" s="60"/>
      <c r="D781" s="60"/>
      <c r="E781" s="60"/>
      <c r="F781" s="60"/>
      <c r="G781" s="60"/>
      <c r="J781" s="99"/>
      <c r="K781" s="99"/>
      <c r="L781" s="99"/>
      <c r="M781" s="99"/>
      <c r="N781" s="43">
        <f t="shared" si="12"/>
        <v>0</v>
      </c>
    </row>
    <row r="782" spans="2:14" ht="1.5" customHeight="1">
      <c r="B782" s="57"/>
      <c r="C782" s="60"/>
      <c r="D782" s="60"/>
      <c r="E782" s="60"/>
      <c r="F782" s="60"/>
      <c r="G782" s="60"/>
      <c r="J782" s="99"/>
      <c r="K782" s="99"/>
      <c r="L782" s="99"/>
      <c r="M782" s="99"/>
      <c r="N782" s="43">
        <f t="shared" si="12"/>
        <v>0</v>
      </c>
    </row>
    <row r="783" spans="2:14" ht="1.5" customHeight="1">
      <c r="B783" s="57"/>
      <c r="C783" s="60"/>
      <c r="D783" s="60"/>
      <c r="E783" s="60"/>
      <c r="F783" s="60"/>
      <c r="G783" s="60"/>
      <c r="J783" s="99"/>
      <c r="K783" s="99"/>
      <c r="L783" s="99"/>
      <c r="M783" s="99"/>
      <c r="N783" s="43">
        <f t="shared" si="12"/>
        <v>0</v>
      </c>
    </row>
    <row r="784" spans="2:14" ht="1.5" customHeight="1">
      <c r="B784" s="57"/>
      <c r="C784" s="60"/>
      <c r="D784" s="60"/>
      <c r="E784" s="60"/>
      <c r="F784" s="60"/>
      <c r="G784" s="60"/>
      <c r="J784" s="99"/>
      <c r="K784" s="99"/>
      <c r="L784" s="99"/>
      <c r="M784" s="99"/>
      <c r="N784" s="43">
        <f t="shared" si="12"/>
        <v>0</v>
      </c>
    </row>
    <row r="785" spans="2:14" ht="1.5" customHeight="1">
      <c r="B785" s="57"/>
      <c r="C785" s="60"/>
      <c r="D785" s="60"/>
      <c r="E785" s="60"/>
      <c r="F785" s="60"/>
      <c r="G785" s="60"/>
      <c r="J785" s="99"/>
      <c r="K785" s="99"/>
      <c r="L785" s="99"/>
      <c r="M785" s="99"/>
      <c r="N785" s="43">
        <f t="shared" si="12"/>
        <v>0</v>
      </c>
    </row>
    <row r="786" spans="2:14" ht="1.5" customHeight="1">
      <c r="B786" s="57"/>
      <c r="C786" s="60"/>
      <c r="D786" s="60"/>
      <c r="E786" s="60"/>
      <c r="F786" s="60"/>
      <c r="G786" s="60"/>
      <c r="J786" s="99"/>
      <c r="K786" s="99"/>
      <c r="L786" s="99"/>
      <c r="M786" s="99"/>
      <c r="N786" s="43">
        <f t="shared" si="12"/>
        <v>0</v>
      </c>
    </row>
    <row r="787" spans="2:14" ht="1.5" customHeight="1">
      <c r="B787" s="57"/>
      <c r="C787" s="60"/>
      <c r="D787" s="60"/>
      <c r="E787" s="60"/>
      <c r="F787" s="60"/>
      <c r="G787" s="60"/>
      <c r="J787" s="99"/>
      <c r="K787" s="99"/>
      <c r="L787" s="99"/>
      <c r="M787" s="99"/>
      <c r="N787" s="43">
        <f t="shared" si="12"/>
        <v>0</v>
      </c>
    </row>
    <row r="788" spans="2:14" ht="1.5" customHeight="1">
      <c r="B788" s="57"/>
      <c r="C788" s="60"/>
      <c r="D788" s="60"/>
      <c r="E788" s="60"/>
      <c r="F788" s="60"/>
      <c r="G788" s="60"/>
      <c r="J788" s="99"/>
      <c r="K788" s="99"/>
      <c r="L788" s="99"/>
      <c r="M788" s="99"/>
      <c r="N788" s="43">
        <f t="shared" si="12"/>
        <v>0</v>
      </c>
    </row>
    <row r="789" spans="2:14" ht="1.5" customHeight="1">
      <c r="B789" s="57"/>
      <c r="C789" s="60"/>
      <c r="D789" s="60"/>
      <c r="E789" s="60"/>
      <c r="F789" s="60"/>
      <c r="G789" s="60"/>
      <c r="J789" s="99"/>
      <c r="K789" s="99"/>
      <c r="L789" s="99"/>
      <c r="M789" s="99"/>
      <c r="N789" s="43">
        <f t="shared" si="12"/>
        <v>0</v>
      </c>
    </row>
    <row r="790" spans="2:14" ht="1.5" customHeight="1">
      <c r="B790" s="57"/>
      <c r="C790" s="60"/>
      <c r="D790" s="60"/>
      <c r="E790" s="60"/>
      <c r="F790" s="60"/>
      <c r="G790" s="60"/>
      <c r="J790" s="99"/>
      <c r="K790" s="99"/>
      <c r="L790" s="99"/>
      <c r="M790" s="99"/>
      <c r="N790" s="43">
        <f t="shared" si="12"/>
        <v>0</v>
      </c>
    </row>
    <row r="791" spans="2:14" ht="1.5" customHeight="1">
      <c r="B791" s="57"/>
      <c r="C791" s="60"/>
      <c r="D791" s="60"/>
      <c r="E791" s="60"/>
      <c r="F791" s="60"/>
      <c r="G791" s="60"/>
      <c r="J791" s="99"/>
      <c r="K791" s="99"/>
      <c r="L791" s="99"/>
      <c r="M791" s="99"/>
      <c r="N791" s="43">
        <f t="shared" si="12"/>
        <v>0</v>
      </c>
    </row>
    <row r="792" spans="2:14" ht="1.5" customHeight="1">
      <c r="B792" s="57"/>
      <c r="C792" s="60"/>
      <c r="D792" s="60"/>
      <c r="E792" s="60"/>
      <c r="F792" s="60"/>
      <c r="G792" s="60"/>
      <c r="J792" s="99"/>
      <c r="K792" s="99"/>
      <c r="L792" s="99"/>
      <c r="M792" s="99"/>
      <c r="N792" s="43">
        <f t="shared" si="12"/>
        <v>0</v>
      </c>
    </row>
    <row r="793" spans="2:14" ht="1.5" customHeight="1">
      <c r="B793" s="57"/>
      <c r="C793" s="60"/>
      <c r="D793" s="60"/>
      <c r="E793" s="60"/>
      <c r="F793" s="60"/>
      <c r="G793" s="60"/>
      <c r="J793" s="99"/>
      <c r="K793" s="99"/>
      <c r="L793" s="99"/>
      <c r="M793" s="99"/>
      <c r="N793" s="43">
        <f t="shared" si="12"/>
        <v>0</v>
      </c>
    </row>
    <row r="794" spans="2:14" ht="1.5" customHeight="1">
      <c r="B794" s="57"/>
      <c r="C794" s="60"/>
      <c r="D794" s="60"/>
      <c r="E794" s="60"/>
      <c r="F794" s="60"/>
      <c r="G794" s="60"/>
      <c r="J794" s="99"/>
      <c r="K794" s="99"/>
      <c r="L794" s="99"/>
      <c r="M794" s="99"/>
      <c r="N794" s="43">
        <f t="shared" si="12"/>
        <v>0</v>
      </c>
    </row>
    <row r="795" spans="2:14" ht="1.5" customHeight="1">
      <c r="B795" s="57"/>
      <c r="C795" s="60"/>
      <c r="D795" s="60"/>
      <c r="E795" s="60"/>
      <c r="F795" s="60"/>
      <c r="G795" s="60"/>
      <c r="J795" s="99"/>
      <c r="K795" s="99"/>
      <c r="L795" s="99"/>
      <c r="M795" s="99"/>
      <c r="N795" s="43">
        <f t="shared" si="12"/>
        <v>0</v>
      </c>
    </row>
    <row r="796" spans="2:14" ht="1.5" customHeight="1">
      <c r="B796" s="57"/>
      <c r="C796" s="60"/>
      <c r="D796" s="60"/>
      <c r="E796" s="60"/>
      <c r="F796" s="60"/>
      <c r="G796" s="60"/>
      <c r="J796" s="99"/>
      <c r="K796" s="99"/>
      <c r="L796" s="99"/>
      <c r="M796" s="99"/>
      <c r="N796" s="43">
        <f t="shared" si="12"/>
        <v>0</v>
      </c>
    </row>
    <row r="797" spans="2:14" ht="1.5" customHeight="1">
      <c r="B797" s="57"/>
      <c r="C797" s="60"/>
      <c r="D797" s="60"/>
      <c r="E797" s="60"/>
      <c r="F797" s="60"/>
      <c r="G797" s="60"/>
      <c r="J797" s="99"/>
      <c r="K797" s="99"/>
      <c r="L797" s="99"/>
      <c r="M797" s="99"/>
      <c r="N797" s="43">
        <f t="shared" si="12"/>
        <v>0</v>
      </c>
    </row>
    <row r="798" spans="2:14" ht="1.5" customHeight="1">
      <c r="B798" s="57"/>
      <c r="C798" s="60"/>
      <c r="D798" s="60"/>
      <c r="E798" s="60"/>
      <c r="F798" s="60"/>
      <c r="G798" s="60"/>
      <c r="J798" s="99"/>
      <c r="K798" s="99"/>
      <c r="L798" s="99"/>
      <c r="M798" s="99"/>
      <c r="N798" s="43">
        <f t="shared" si="12"/>
        <v>0</v>
      </c>
    </row>
    <row r="799" spans="2:14" ht="1.5" customHeight="1">
      <c r="B799" s="57"/>
      <c r="C799" s="60"/>
      <c r="D799" s="60"/>
      <c r="E799" s="60"/>
      <c r="F799" s="60"/>
      <c r="G799" s="60"/>
      <c r="J799" s="99"/>
      <c r="K799" s="99"/>
      <c r="L799" s="99"/>
      <c r="M799" s="99"/>
      <c r="N799" s="43">
        <f t="shared" si="12"/>
        <v>0</v>
      </c>
    </row>
    <row r="800" spans="2:14" ht="1.5" customHeight="1">
      <c r="B800" s="57"/>
      <c r="C800" s="60"/>
      <c r="D800" s="60"/>
      <c r="E800" s="60"/>
      <c r="F800" s="60"/>
      <c r="G800" s="60"/>
      <c r="J800" s="99"/>
      <c r="K800" s="99"/>
      <c r="L800" s="99"/>
      <c r="M800" s="99"/>
      <c r="N800" s="43">
        <f t="shared" si="12"/>
        <v>0</v>
      </c>
    </row>
    <row r="801" spans="2:14" ht="1.5" customHeight="1">
      <c r="B801" s="57"/>
      <c r="C801" s="60"/>
      <c r="D801" s="60"/>
      <c r="E801" s="60"/>
      <c r="F801" s="60"/>
      <c r="G801" s="60"/>
      <c r="J801" s="99"/>
      <c r="K801" s="99"/>
      <c r="L801" s="99"/>
      <c r="M801" s="99"/>
      <c r="N801" s="43">
        <f t="shared" si="12"/>
        <v>0</v>
      </c>
    </row>
    <row r="802" spans="2:14" ht="1.5" customHeight="1">
      <c r="B802" s="57"/>
      <c r="C802" s="60"/>
      <c r="D802" s="60"/>
      <c r="E802" s="60"/>
      <c r="F802" s="60"/>
      <c r="G802" s="60"/>
      <c r="J802" s="99"/>
      <c r="K802" s="99"/>
      <c r="L802" s="99"/>
      <c r="M802" s="99"/>
      <c r="N802" s="43">
        <f t="shared" si="12"/>
        <v>0</v>
      </c>
    </row>
    <row r="803" spans="2:14" ht="1.5" customHeight="1">
      <c r="B803" s="57"/>
      <c r="C803" s="60"/>
      <c r="D803" s="60"/>
      <c r="E803" s="60"/>
      <c r="F803" s="60"/>
      <c r="G803" s="60"/>
      <c r="J803" s="99"/>
      <c r="K803" s="99"/>
      <c r="L803" s="99"/>
      <c r="M803" s="99"/>
      <c r="N803" s="43">
        <f t="shared" si="12"/>
        <v>0</v>
      </c>
    </row>
    <row r="804" spans="2:14" ht="1.5" customHeight="1">
      <c r="B804" s="57"/>
      <c r="C804" s="60"/>
      <c r="D804" s="60"/>
      <c r="E804" s="60"/>
      <c r="F804" s="60"/>
      <c r="G804" s="60"/>
      <c r="J804" s="99"/>
      <c r="K804" s="99"/>
      <c r="L804" s="99"/>
      <c r="M804" s="99"/>
      <c r="N804" s="43">
        <f t="shared" si="12"/>
        <v>0</v>
      </c>
    </row>
    <row r="805" spans="2:14" ht="1.5" customHeight="1">
      <c r="B805" s="57"/>
      <c r="C805" s="60"/>
      <c r="D805" s="60"/>
      <c r="E805" s="60"/>
      <c r="F805" s="60"/>
      <c r="G805" s="60"/>
      <c r="J805" s="99"/>
      <c r="K805" s="99"/>
      <c r="L805" s="99"/>
      <c r="M805" s="99"/>
      <c r="N805" s="43">
        <f t="shared" si="12"/>
        <v>0</v>
      </c>
    </row>
    <row r="806" spans="2:14" ht="1.5" customHeight="1">
      <c r="B806" s="57"/>
      <c r="C806" s="60"/>
      <c r="D806" s="60"/>
      <c r="E806" s="60"/>
      <c r="F806" s="60"/>
      <c r="G806" s="60"/>
      <c r="J806" s="99"/>
      <c r="K806" s="99"/>
      <c r="L806" s="99"/>
      <c r="M806" s="99"/>
      <c r="N806" s="43">
        <f t="shared" si="12"/>
        <v>0</v>
      </c>
    </row>
    <row r="807" spans="2:14" ht="1.5" customHeight="1">
      <c r="B807" s="57"/>
      <c r="C807" s="60"/>
      <c r="D807" s="60"/>
      <c r="E807" s="60"/>
      <c r="F807" s="60"/>
      <c r="G807" s="60"/>
      <c r="J807" s="99"/>
      <c r="K807" s="99"/>
      <c r="L807" s="99"/>
      <c r="M807" s="99"/>
      <c r="N807" s="43">
        <f t="shared" si="12"/>
        <v>0</v>
      </c>
    </row>
    <row r="808" spans="2:14" ht="1.5" customHeight="1">
      <c r="B808" s="57"/>
      <c r="C808" s="60"/>
      <c r="D808" s="60"/>
      <c r="E808" s="60"/>
      <c r="F808" s="60"/>
      <c r="G808" s="60"/>
      <c r="J808" s="99"/>
      <c r="K808" s="99"/>
      <c r="L808" s="99"/>
      <c r="M808" s="99"/>
      <c r="N808" s="43">
        <f t="shared" si="12"/>
        <v>0</v>
      </c>
    </row>
    <row r="809" spans="2:14" ht="1.5" customHeight="1">
      <c r="B809" s="57"/>
      <c r="C809" s="60"/>
      <c r="D809" s="60"/>
      <c r="E809" s="60"/>
      <c r="F809" s="60"/>
      <c r="G809" s="60"/>
      <c r="J809" s="99"/>
      <c r="K809" s="99"/>
      <c r="L809" s="99"/>
      <c r="M809" s="99"/>
      <c r="N809" s="43">
        <f t="shared" si="12"/>
        <v>0</v>
      </c>
    </row>
    <row r="810" spans="2:14" ht="1.5" customHeight="1">
      <c r="B810" s="57"/>
      <c r="C810" s="60"/>
      <c r="D810" s="60"/>
      <c r="E810" s="60"/>
      <c r="F810" s="60"/>
      <c r="G810" s="60"/>
      <c r="J810" s="99"/>
      <c r="K810" s="99"/>
      <c r="L810" s="99"/>
      <c r="M810" s="99"/>
      <c r="N810" s="43">
        <f t="shared" si="12"/>
        <v>0</v>
      </c>
    </row>
    <row r="811" spans="2:14" ht="1.5" customHeight="1">
      <c r="B811" s="57"/>
      <c r="C811" s="60"/>
      <c r="D811" s="60"/>
      <c r="E811" s="60"/>
      <c r="F811" s="60"/>
      <c r="G811" s="60"/>
      <c r="J811" s="99"/>
      <c r="K811" s="99"/>
      <c r="L811" s="99"/>
      <c r="M811" s="99"/>
      <c r="N811" s="43">
        <f t="shared" si="12"/>
        <v>0</v>
      </c>
    </row>
    <row r="812" spans="2:14" ht="12.6" customHeight="1">
      <c r="B812" s="57"/>
      <c r="C812" s="60"/>
      <c r="D812" s="60"/>
      <c r="E812" s="60"/>
      <c r="F812" s="60"/>
      <c r="G812" s="60"/>
      <c r="J812" s="99"/>
      <c r="K812" s="99"/>
      <c r="L812" s="99"/>
      <c r="M812" s="99"/>
      <c r="N812" s="43"/>
    </row>
    <row r="813" spans="2:14" ht="12.6" customHeight="1"/>
  </sheetData>
  <mergeCells count="1641">
    <mergeCell ref="J811:K811"/>
    <mergeCell ref="L811:M811"/>
    <mergeCell ref="J812:K812"/>
    <mergeCell ref="L812:M812"/>
    <mergeCell ref="J808:K808"/>
    <mergeCell ref="L808:M808"/>
    <mergeCell ref="J809:K809"/>
    <mergeCell ref="L809:M809"/>
    <mergeCell ref="J810:K810"/>
    <mergeCell ref="L810:M810"/>
    <mergeCell ref="J805:K805"/>
    <mergeCell ref="L805:M805"/>
    <mergeCell ref="J806:K806"/>
    <mergeCell ref="L806:M806"/>
    <mergeCell ref="J807:K807"/>
    <mergeCell ref="L807:M807"/>
    <mergeCell ref="J802:K802"/>
    <mergeCell ref="L802:M802"/>
    <mergeCell ref="J803:K803"/>
    <mergeCell ref="L803:M803"/>
    <mergeCell ref="J804:K804"/>
    <mergeCell ref="L804:M804"/>
    <mergeCell ref="J799:K799"/>
    <mergeCell ref="L799:M799"/>
    <mergeCell ref="J800:K800"/>
    <mergeCell ref="L800:M800"/>
    <mergeCell ref="J801:K801"/>
    <mergeCell ref="L801:M801"/>
    <mergeCell ref="J796:K796"/>
    <mergeCell ref="L796:M796"/>
    <mergeCell ref="J797:K797"/>
    <mergeCell ref="L797:M797"/>
    <mergeCell ref="J798:K798"/>
    <mergeCell ref="L798:M798"/>
    <mergeCell ref="J793:K793"/>
    <mergeCell ref="L793:M793"/>
    <mergeCell ref="J794:K794"/>
    <mergeCell ref="L794:M794"/>
    <mergeCell ref="J795:K795"/>
    <mergeCell ref="L795:M795"/>
    <mergeCell ref="J790:K790"/>
    <mergeCell ref="L790:M790"/>
    <mergeCell ref="J791:K791"/>
    <mergeCell ref="L791:M791"/>
    <mergeCell ref="J792:K792"/>
    <mergeCell ref="L792:M792"/>
    <mergeCell ref="J787:K787"/>
    <mergeCell ref="L787:M787"/>
    <mergeCell ref="J788:K788"/>
    <mergeCell ref="L788:M788"/>
    <mergeCell ref="J789:K789"/>
    <mergeCell ref="L789:M789"/>
    <mergeCell ref="J784:K784"/>
    <mergeCell ref="L784:M784"/>
    <mergeCell ref="J785:K785"/>
    <mergeCell ref="L785:M785"/>
    <mergeCell ref="J786:K786"/>
    <mergeCell ref="L786:M786"/>
    <mergeCell ref="J781:K781"/>
    <mergeCell ref="L781:M781"/>
    <mergeCell ref="J782:K782"/>
    <mergeCell ref="L782:M782"/>
    <mergeCell ref="J783:K783"/>
    <mergeCell ref="L783:M783"/>
    <mergeCell ref="J778:K778"/>
    <mergeCell ref="L778:M778"/>
    <mergeCell ref="J779:K779"/>
    <mergeCell ref="L779:M779"/>
    <mergeCell ref="J780:K780"/>
    <mergeCell ref="L780:M780"/>
    <mergeCell ref="J775:K775"/>
    <mergeCell ref="L775:M775"/>
    <mergeCell ref="J776:K776"/>
    <mergeCell ref="L776:M776"/>
    <mergeCell ref="J777:K777"/>
    <mergeCell ref="L777:M777"/>
    <mergeCell ref="J772:K772"/>
    <mergeCell ref="L772:M772"/>
    <mergeCell ref="J773:K773"/>
    <mergeCell ref="L773:M773"/>
    <mergeCell ref="J774:K774"/>
    <mergeCell ref="L774:M774"/>
    <mergeCell ref="J769:K769"/>
    <mergeCell ref="L769:M769"/>
    <mergeCell ref="J770:K770"/>
    <mergeCell ref="L770:M770"/>
    <mergeCell ref="J771:K771"/>
    <mergeCell ref="L771:M771"/>
    <mergeCell ref="J766:K766"/>
    <mergeCell ref="L766:M766"/>
    <mergeCell ref="J767:K767"/>
    <mergeCell ref="L767:M767"/>
    <mergeCell ref="J768:K768"/>
    <mergeCell ref="L768:M768"/>
    <mergeCell ref="J763:K763"/>
    <mergeCell ref="L763:M763"/>
    <mergeCell ref="J764:K764"/>
    <mergeCell ref="L764:M764"/>
    <mergeCell ref="J765:K765"/>
    <mergeCell ref="L765:M765"/>
    <mergeCell ref="J760:K760"/>
    <mergeCell ref="L760:M760"/>
    <mergeCell ref="J761:K761"/>
    <mergeCell ref="L761:M761"/>
    <mergeCell ref="J762:K762"/>
    <mergeCell ref="L762:M762"/>
    <mergeCell ref="J757:K757"/>
    <mergeCell ref="L757:M757"/>
    <mergeCell ref="J758:K758"/>
    <mergeCell ref="L758:M758"/>
    <mergeCell ref="J759:K759"/>
    <mergeCell ref="L759:M759"/>
    <mergeCell ref="J754:K754"/>
    <mergeCell ref="L754:M754"/>
    <mergeCell ref="J755:K755"/>
    <mergeCell ref="L755:M755"/>
    <mergeCell ref="J756:K756"/>
    <mergeCell ref="L756:M756"/>
    <mergeCell ref="J751:K751"/>
    <mergeCell ref="L751:M751"/>
    <mergeCell ref="J752:K752"/>
    <mergeCell ref="L752:M752"/>
    <mergeCell ref="J753:K753"/>
    <mergeCell ref="L753:M753"/>
    <mergeCell ref="J748:K748"/>
    <mergeCell ref="L748:M748"/>
    <mergeCell ref="J749:K749"/>
    <mergeCell ref="L749:M749"/>
    <mergeCell ref="J750:K750"/>
    <mergeCell ref="L750:M750"/>
    <mergeCell ref="J745:K745"/>
    <mergeCell ref="L745:M745"/>
    <mergeCell ref="J746:K746"/>
    <mergeCell ref="L746:M746"/>
    <mergeCell ref="J747:K747"/>
    <mergeCell ref="L747:M747"/>
    <mergeCell ref="J742:K742"/>
    <mergeCell ref="L742:M742"/>
    <mergeCell ref="J743:K743"/>
    <mergeCell ref="L743:M743"/>
    <mergeCell ref="J744:K744"/>
    <mergeCell ref="L744:M744"/>
    <mergeCell ref="J739:K739"/>
    <mergeCell ref="L739:M739"/>
    <mergeCell ref="J740:K740"/>
    <mergeCell ref="L740:M740"/>
    <mergeCell ref="J741:K741"/>
    <mergeCell ref="L741:M741"/>
    <mergeCell ref="J736:K736"/>
    <mergeCell ref="L736:M736"/>
    <mergeCell ref="J737:K737"/>
    <mergeCell ref="L737:M737"/>
    <mergeCell ref="J738:K738"/>
    <mergeCell ref="L738:M738"/>
    <mergeCell ref="J733:K733"/>
    <mergeCell ref="L733:M733"/>
    <mergeCell ref="J734:K734"/>
    <mergeCell ref="L734:M734"/>
    <mergeCell ref="J735:K735"/>
    <mergeCell ref="L735:M735"/>
    <mergeCell ref="J730:K730"/>
    <mergeCell ref="L730:M730"/>
    <mergeCell ref="J731:K731"/>
    <mergeCell ref="L731:M731"/>
    <mergeCell ref="J732:K732"/>
    <mergeCell ref="L732:M732"/>
    <mergeCell ref="J727:K727"/>
    <mergeCell ref="L727:M727"/>
    <mergeCell ref="J728:K728"/>
    <mergeCell ref="L728:M728"/>
    <mergeCell ref="J729:K729"/>
    <mergeCell ref="L729:M729"/>
    <mergeCell ref="J724:K724"/>
    <mergeCell ref="L724:M724"/>
    <mergeCell ref="J725:K725"/>
    <mergeCell ref="L725:M725"/>
    <mergeCell ref="J726:K726"/>
    <mergeCell ref="L726:M726"/>
    <mergeCell ref="J721:K721"/>
    <mergeCell ref="L721:M721"/>
    <mergeCell ref="J722:K722"/>
    <mergeCell ref="L722:M722"/>
    <mergeCell ref="J723:K723"/>
    <mergeCell ref="L723:M723"/>
    <mergeCell ref="J718:K718"/>
    <mergeCell ref="L718:M718"/>
    <mergeCell ref="J719:K719"/>
    <mergeCell ref="L719:M719"/>
    <mergeCell ref="J720:K720"/>
    <mergeCell ref="L720:M720"/>
    <mergeCell ref="J715:K715"/>
    <mergeCell ref="L715:M715"/>
    <mergeCell ref="J716:K716"/>
    <mergeCell ref="L716:M716"/>
    <mergeCell ref="J717:K717"/>
    <mergeCell ref="L717:M717"/>
    <mergeCell ref="J712:K712"/>
    <mergeCell ref="L712:M712"/>
    <mergeCell ref="J713:K713"/>
    <mergeCell ref="L713:M713"/>
    <mergeCell ref="J714:K714"/>
    <mergeCell ref="L714:M714"/>
    <mergeCell ref="J709:K709"/>
    <mergeCell ref="L709:M709"/>
    <mergeCell ref="J710:K710"/>
    <mergeCell ref="L710:M710"/>
    <mergeCell ref="J711:K711"/>
    <mergeCell ref="L711:M711"/>
    <mergeCell ref="J706:K706"/>
    <mergeCell ref="L706:M706"/>
    <mergeCell ref="J707:K707"/>
    <mergeCell ref="L707:M707"/>
    <mergeCell ref="J708:K708"/>
    <mergeCell ref="L708:M708"/>
    <mergeCell ref="J703:K703"/>
    <mergeCell ref="L703:M703"/>
    <mergeCell ref="J704:K704"/>
    <mergeCell ref="L704:M704"/>
    <mergeCell ref="J705:K705"/>
    <mergeCell ref="L705:M705"/>
    <mergeCell ref="J700:K700"/>
    <mergeCell ref="L700:M700"/>
    <mergeCell ref="J701:K701"/>
    <mergeCell ref="L701:M701"/>
    <mergeCell ref="J702:K702"/>
    <mergeCell ref="L702:M702"/>
    <mergeCell ref="J697:K697"/>
    <mergeCell ref="L697:M697"/>
    <mergeCell ref="J698:K698"/>
    <mergeCell ref="L698:M698"/>
    <mergeCell ref="J699:K699"/>
    <mergeCell ref="L699:M699"/>
    <mergeCell ref="J694:K694"/>
    <mergeCell ref="L694:M694"/>
    <mergeCell ref="J695:K695"/>
    <mergeCell ref="L695:M695"/>
    <mergeCell ref="J696:K696"/>
    <mergeCell ref="L696:M696"/>
    <mergeCell ref="J691:K691"/>
    <mergeCell ref="L691:M691"/>
    <mergeCell ref="J692:K692"/>
    <mergeCell ref="L692:M692"/>
    <mergeCell ref="J693:K693"/>
    <mergeCell ref="L693:M693"/>
    <mergeCell ref="J688:K688"/>
    <mergeCell ref="L688:M688"/>
    <mergeCell ref="J689:K689"/>
    <mergeCell ref="L689:M689"/>
    <mergeCell ref="J690:K690"/>
    <mergeCell ref="L690:M690"/>
    <mergeCell ref="J685:K685"/>
    <mergeCell ref="L685:M685"/>
    <mergeCell ref="J686:K686"/>
    <mergeCell ref="L686:M686"/>
    <mergeCell ref="J687:K687"/>
    <mergeCell ref="L687:M687"/>
    <mergeCell ref="J682:K682"/>
    <mergeCell ref="L682:M682"/>
    <mergeCell ref="J683:K683"/>
    <mergeCell ref="L683:M683"/>
    <mergeCell ref="J684:K684"/>
    <mergeCell ref="L684:M684"/>
    <mergeCell ref="J679:K679"/>
    <mergeCell ref="L679:M679"/>
    <mergeCell ref="J680:K680"/>
    <mergeCell ref="L680:M680"/>
    <mergeCell ref="J681:K681"/>
    <mergeCell ref="L681:M681"/>
    <mergeCell ref="J676:K676"/>
    <mergeCell ref="L676:M676"/>
    <mergeCell ref="J677:K677"/>
    <mergeCell ref="L677:M677"/>
    <mergeCell ref="J678:K678"/>
    <mergeCell ref="L678:M678"/>
    <mergeCell ref="J673:K673"/>
    <mergeCell ref="L673:M673"/>
    <mergeCell ref="J674:K674"/>
    <mergeCell ref="L674:M674"/>
    <mergeCell ref="J675:K675"/>
    <mergeCell ref="L675:M675"/>
    <mergeCell ref="J670:K670"/>
    <mergeCell ref="L670:M670"/>
    <mergeCell ref="J671:K671"/>
    <mergeCell ref="L671:M671"/>
    <mergeCell ref="J672:K672"/>
    <mergeCell ref="L672:M672"/>
    <mergeCell ref="J667:K667"/>
    <mergeCell ref="L667:M667"/>
    <mergeCell ref="J668:K668"/>
    <mergeCell ref="L668:M668"/>
    <mergeCell ref="J669:K669"/>
    <mergeCell ref="L669:M669"/>
    <mergeCell ref="J664:K664"/>
    <mergeCell ref="L664:M664"/>
    <mergeCell ref="J665:K665"/>
    <mergeCell ref="L665:M665"/>
    <mergeCell ref="J666:K666"/>
    <mergeCell ref="L666:M666"/>
    <mergeCell ref="J661:K661"/>
    <mergeCell ref="L661:M661"/>
    <mergeCell ref="J662:K662"/>
    <mergeCell ref="L662:M662"/>
    <mergeCell ref="J663:K663"/>
    <mergeCell ref="L663:M663"/>
    <mergeCell ref="J658:K658"/>
    <mergeCell ref="L658:M658"/>
    <mergeCell ref="J659:K659"/>
    <mergeCell ref="L659:M659"/>
    <mergeCell ref="J660:K660"/>
    <mergeCell ref="L660:M660"/>
    <mergeCell ref="J655:K655"/>
    <mergeCell ref="L655:M655"/>
    <mergeCell ref="J656:K656"/>
    <mergeCell ref="L656:M656"/>
    <mergeCell ref="J657:K657"/>
    <mergeCell ref="L657:M657"/>
    <mergeCell ref="J652:K652"/>
    <mergeCell ref="L652:M652"/>
    <mergeCell ref="J653:K653"/>
    <mergeCell ref="L653:M653"/>
    <mergeCell ref="J654:K654"/>
    <mergeCell ref="L654:M654"/>
    <mergeCell ref="J649:K649"/>
    <mergeCell ref="L649:M649"/>
    <mergeCell ref="J650:K650"/>
    <mergeCell ref="L650:M650"/>
    <mergeCell ref="J651:K651"/>
    <mergeCell ref="L651:M651"/>
    <mergeCell ref="J646:K646"/>
    <mergeCell ref="L646:M646"/>
    <mergeCell ref="J647:K647"/>
    <mergeCell ref="L647:M647"/>
    <mergeCell ref="J648:K648"/>
    <mergeCell ref="L648:M648"/>
    <mergeCell ref="J643:K643"/>
    <mergeCell ref="L643:M643"/>
    <mergeCell ref="J644:K644"/>
    <mergeCell ref="L644:M644"/>
    <mergeCell ref="J645:K645"/>
    <mergeCell ref="L645:M645"/>
    <mergeCell ref="J640:K640"/>
    <mergeCell ref="L640:M640"/>
    <mergeCell ref="J641:K641"/>
    <mergeCell ref="L641:M641"/>
    <mergeCell ref="J642:K642"/>
    <mergeCell ref="L642:M642"/>
    <mergeCell ref="J637:K637"/>
    <mergeCell ref="L637:M637"/>
    <mergeCell ref="J638:K638"/>
    <mergeCell ref="L638:M638"/>
    <mergeCell ref="J639:K639"/>
    <mergeCell ref="L639:M639"/>
    <mergeCell ref="J634:K634"/>
    <mergeCell ref="L634:M634"/>
    <mergeCell ref="J635:K635"/>
    <mergeCell ref="L635:M635"/>
    <mergeCell ref="J636:K636"/>
    <mergeCell ref="L636:M636"/>
    <mergeCell ref="J631:K631"/>
    <mergeCell ref="L631:M631"/>
    <mergeCell ref="J632:K632"/>
    <mergeCell ref="L632:M632"/>
    <mergeCell ref="J633:K633"/>
    <mergeCell ref="L633:M633"/>
    <mergeCell ref="J628:K628"/>
    <mergeCell ref="L628:M628"/>
    <mergeCell ref="J629:K629"/>
    <mergeCell ref="L629:M629"/>
    <mergeCell ref="J630:K630"/>
    <mergeCell ref="L630:M630"/>
    <mergeCell ref="J625:K625"/>
    <mergeCell ref="L625:M625"/>
    <mergeCell ref="J626:K626"/>
    <mergeCell ref="L626:M626"/>
    <mergeCell ref="J627:K627"/>
    <mergeCell ref="L627:M627"/>
    <mergeCell ref="J622:K622"/>
    <mergeCell ref="L622:M622"/>
    <mergeCell ref="J623:K623"/>
    <mergeCell ref="L623:M623"/>
    <mergeCell ref="J624:K624"/>
    <mergeCell ref="L624:M624"/>
    <mergeCell ref="J619:K619"/>
    <mergeCell ref="L619:M619"/>
    <mergeCell ref="J620:K620"/>
    <mergeCell ref="L620:M620"/>
    <mergeCell ref="J621:K621"/>
    <mergeCell ref="L621:M621"/>
    <mergeCell ref="J616:K616"/>
    <mergeCell ref="L616:M616"/>
    <mergeCell ref="J617:K617"/>
    <mergeCell ref="L617:M617"/>
    <mergeCell ref="J618:K618"/>
    <mergeCell ref="L618:M618"/>
    <mergeCell ref="J613:K613"/>
    <mergeCell ref="L613:M613"/>
    <mergeCell ref="J614:K614"/>
    <mergeCell ref="L614:M614"/>
    <mergeCell ref="J615:K615"/>
    <mergeCell ref="L615:M615"/>
    <mergeCell ref="J610:K610"/>
    <mergeCell ref="L610:M610"/>
    <mergeCell ref="J611:K611"/>
    <mergeCell ref="L611:M611"/>
    <mergeCell ref="J612:K612"/>
    <mergeCell ref="L612:M612"/>
    <mergeCell ref="J607:K607"/>
    <mergeCell ref="L607:M607"/>
    <mergeCell ref="J608:K608"/>
    <mergeCell ref="L608:M608"/>
    <mergeCell ref="J609:K609"/>
    <mergeCell ref="L609:M609"/>
    <mergeCell ref="J604:K604"/>
    <mergeCell ref="L604:M604"/>
    <mergeCell ref="J605:K605"/>
    <mergeCell ref="L605:M605"/>
    <mergeCell ref="J606:K606"/>
    <mergeCell ref="L606:M606"/>
    <mergeCell ref="J601:K601"/>
    <mergeCell ref="L601:M601"/>
    <mergeCell ref="J602:K602"/>
    <mergeCell ref="L602:M602"/>
    <mergeCell ref="J603:K603"/>
    <mergeCell ref="L603:M603"/>
    <mergeCell ref="J598:K598"/>
    <mergeCell ref="L598:M598"/>
    <mergeCell ref="J599:K599"/>
    <mergeCell ref="L599:M599"/>
    <mergeCell ref="J600:K600"/>
    <mergeCell ref="L600:M600"/>
    <mergeCell ref="J595:K595"/>
    <mergeCell ref="L595:M595"/>
    <mergeCell ref="J596:K596"/>
    <mergeCell ref="L596:M596"/>
    <mergeCell ref="J597:K597"/>
    <mergeCell ref="L597:M597"/>
    <mergeCell ref="J592:K592"/>
    <mergeCell ref="L592:M592"/>
    <mergeCell ref="J593:K593"/>
    <mergeCell ref="L593:M593"/>
    <mergeCell ref="J594:K594"/>
    <mergeCell ref="L594:M594"/>
    <mergeCell ref="J589:K589"/>
    <mergeCell ref="L589:M589"/>
    <mergeCell ref="J590:K590"/>
    <mergeCell ref="L590:M590"/>
    <mergeCell ref="J591:K591"/>
    <mergeCell ref="L591:M591"/>
    <mergeCell ref="J586:K586"/>
    <mergeCell ref="L586:M586"/>
    <mergeCell ref="J587:K587"/>
    <mergeCell ref="L587:M587"/>
    <mergeCell ref="J588:K588"/>
    <mergeCell ref="L588:M588"/>
    <mergeCell ref="J583:K583"/>
    <mergeCell ref="L583:M583"/>
    <mergeCell ref="J584:K584"/>
    <mergeCell ref="L584:M584"/>
    <mergeCell ref="J585:K585"/>
    <mergeCell ref="L585:M585"/>
    <mergeCell ref="J580:K580"/>
    <mergeCell ref="L580:M580"/>
    <mergeCell ref="J581:K581"/>
    <mergeCell ref="L581:M581"/>
    <mergeCell ref="J582:K582"/>
    <mergeCell ref="L582:M582"/>
    <mergeCell ref="J577:K577"/>
    <mergeCell ref="L577:M577"/>
    <mergeCell ref="J578:K578"/>
    <mergeCell ref="L578:M578"/>
    <mergeCell ref="J579:K579"/>
    <mergeCell ref="L579:M579"/>
    <mergeCell ref="J574:K574"/>
    <mergeCell ref="L574:M574"/>
    <mergeCell ref="J575:K575"/>
    <mergeCell ref="L575:M575"/>
    <mergeCell ref="J576:K576"/>
    <mergeCell ref="L576:M576"/>
    <mergeCell ref="J571:K571"/>
    <mergeCell ref="L571:M571"/>
    <mergeCell ref="J572:K572"/>
    <mergeCell ref="L572:M572"/>
    <mergeCell ref="J573:K573"/>
    <mergeCell ref="L573:M573"/>
    <mergeCell ref="J568:K568"/>
    <mergeCell ref="L568:M568"/>
    <mergeCell ref="J569:K569"/>
    <mergeCell ref="L569:M569"/>
    <mergeCell ref="J570:K570"/>
    <mergeCell ref="L570:M570"/>
    <mergeCell ref="J565:K565"/>
    <mergeCell ref="L565:M565"/>
    <mergeCell ref="J566:K566"/>
    <mergeCell ref="L566:M566"/>
    <mergeCell ref="J567:K567"/>
    <mergeCell ref="L567:M567"/>
    <mergeCell ref="J562:K562"/>
    <mergeCell ref="L562:M562"/>
    <mergeCell ref="J563:K563"/>
    <mergeCell ref="L563:M563"/>
    <mergeCell ref="J564:K564"/>
    <mergeCell ref="L564:M564"/>
    <mergeCell ref="J559:K559"/>
    <mergeCell ref="L559:M559"/>
    <mergeCell ref="J560:K560"/>
    <mergeCell ref="L560:M560"/>
    <mergeCell ref="J561:K561"/>
    <mergeCell ref="L561:M561"/>
    <mergeCell ref="J556:K556"/>
    <mergeCell ref="L556:M556"/>
    <mergeCell ref="J557:K557"/>
    <mergeCell ref="L557:M557"/>
    <mergeCell ref="J558:K558"/>
    <mergeCell ref="L558:M558"/>
    <mergeCell ref="J553:K553"/>
    <mergeCell ref="L553:M553"/>
    <mergeCell ref="J554:K554"/>
    <mergeCell ref="L554:M554"/>
    <mergeCell ref="J555:K555"/>
    <mergeCell ref="L555:M555"/>
    <mergeCell ref="J550:K550"/>
    <mergeCell ref="L550:M550"/>
    <mergeCell ref="J551:K551"/>
    <mergeCell ref="L551:M551"/>
    <mergeCell ref="J552:K552"/>
    <mergeCell ref="L552:M552"/>
    <mergeCell ref="J547:K547"/>
    <mergeCell ref="L547:M547"/>
    <mergeCell ref="J548:K548"/>
    <mergeCell ref="L548:M548"/>
    <mergeCell ref="J549:K549"/>
    <mergeCell ref="L549:M549"/>
    <mergeCell ref="J544:K544"/>
    <mergeCell ref="L544:M544"/>
    <mergeCell ref="J545:K545"/>
    <mergeCell ref="L545:M545"/>
    <mergeCell ref="J546:K546"/>
    <mergeCell ref="L546:M546"/>
    <mergeCell ref="J541:K541"/>
    <mergeCell ref="L541:M541"/>
    <mergeCell ref="J542:K542"/>
    <mergeCell ref="L542:M542"/>
    <mergeCell ref="J543:K543"/>
    <mergeCell ref="L543:M543"/>
    <mergeCell ref="J538:K538"/>
    <mergeCell ref="L538:M538"/>
    <mergeCell ref="J539:K539"/>
    <mergeCell ref="L539:M539"/>
    <mergeCell ref="J540:K540"/>
    <mergeCell ref="L540:M540"/>
    <mergeCell ref="J535:K535"/>
    <mergeCell ref="L535:M535"/>
    <mergeCell ref="J536:K536"/>
    <mergeCell ref="L536:M536"/>
    <mergeCell ref="J537:K537"/>
    <mergeCell ref="L537:M537"/>
    <mergeCell ref="J532:K532"/>
    <mergeCell ref="L532:M532"/>
    <mergeCell ref="J533:K533"/>
    <mergeCell ref="L533:M533"/>
    <mergeCell ref="J534:K534"/>
    <mergeCell ref="L534:M534"/>
    <mergeCell ref="J529:K529"/>
    <mergeCell ref="L529:M529"/>
    <mergeCell ref="J530:K530"/>
    <mergeCell ref="L530:M530"/>
    <mergeCell ref="J531:K531"/>
    <mergeCell ref="L531:M531"/>
    <mergeCell ref="J526:K526"/>
    <mergeCell ref="L526:M526"/>
    <mergeCell ref="J527:K527"/>
    <mergeCell ref="L527:M527"/>
    <mergeCell ref="J528:K528"/>
    <mergeCell ref="L528:M528"/>
    <mergeCell ref="J523:K523"/>
    <mergeCell ref="L523:M523"/>
    <mergeCell ref="J524:K524"/>
    <mergeCell ref="L524:M524"/>
    <mergeCell ref="J525:K525"/>
    <mergeCell ref="L525:M525"/>
    <mergeCell ref="J520:K520"/>
    <mergeCell ref="L520:M520"/>
    <mergeCell ref="J521:K521"/>
    <mergeCell ref="L521:M521"/>
    <mergeCell ref="J522:K522"/>
    <mergeCell ref="L522:M522"/>
    <mergeCell ref="J517:K517"/>
    <mergeCell ref="L517:M517"/>
    <mergeCell ref="J518:K518"/>
    <mergeCell ref="L518:M518"/>
    <mergeCell ref="J519:K519"/>
    <mergeCell ref="L519:M519"/>
    <mergeCell ref="J514:K514"/>
    <mergeCell ref="L514:M514"/>
    <mergeCell ref="J515:K515"/>
    <mergeCell ref="L515:M515"/>
    <mergeCell ref="J516:K516"/>
    <mergeCell ref="L516:M516"/>
    <mergeCell ref="J511:K511"/>
    <mergeCell ref="L511:M511"/>
    <mergeCell ref="J512:K512"/>
    <mergeCell ref="L512:M512"/>
    <mergeCell ref="J513:K513"/>
    <mergeCell ref="L513:M513"/>
    <mergeCell ref="J508:K508"/>
    <mergeCell ref="L508:M508"/>
    <mergeCell ref="J509:K509"/>
    <mergeCell ref="L509:M509"/>
    <mergeCell ref="J510:K510"/>
    <mergeCell ref="L510:M510"/>
    <mergeCell ref="J505:K505"/>
    <mergeCell ref="L505:M505"/>
    <mergeCell ref="J506:K506"/>
    <mergeCell ref="L506:M506"/>
    <mergeCell ref="J507:K507"/>
    <mergeCell ref="L507:M507"/>
    <mergeCell ref="J502:K502"/>
    <mergeCell ref="L502:M502"/>
    <mergeCell ref="J503:K503"/>
    <mergeCell ref="L503:M503"/>
    <mergeCell ref="J504:K504"/>
    <mergeCell ref="L504:M504"/>
    <mergeCell ref="J499:K499"/>
    <mergeCell ref="L499:M499"/>
    <mergeCell ref="J500:K500"/>
    <mergeCell ref="L500:M500"/>
    <mergeCell ref="J501:K501"/>
    <mergeCell ref="L501:M501"/>
    <mergeCell ref="J496:K496"/>
    <mergeCell ref="L496:M496"/>
    <mergeCell ref="J497:K497"/>
    <mergeCell ref="L497:M497"/>
    <mergeCell ref="J498:K498"/>
    <mergeCell ref="L498:M498"/>
    <mergeCell ref="J493:K493"/>
    <mergeCell ref="L493:M493"/>
    <mergeCell ref="J494:K494"/>
    <mergeCell ref="L494:M494"/>
    <mergeCell ref="J495:K495"/>
    <mergeCell ref="L495:M495"/>
    <mergeCell ref="J490:K490"/>
    <mergeCell ref="L490:M490"/>
    <mergeCell ref="J491:K491"/>
    <mergeCell ref="L491:M491"/>
    <mergeCell ref="J492:K492"/>
    <mergeCell ref="L492:M492"/>
    <mergeCell ref="J487:K487"/>
    <mergeCell ref="L487:M487"/>
    <mergeCell ref="J488:K488"/>
    <mergeCell ref="L488:M488"/>
    <mergeCell ref="J489:K489"/>
    <mergeCell ref="L489:M489"/>
    <mergeCell ref="J484:K484"/>
    <mergeCell ref="L484:M484"/>
    <mergeCell ref="J485:K485"/>
    <mergeCell ref="L485:M485"/>
    <mergeCell ref="J486:K486"/>
    <mergeCell ref="L486:M486"/>
    <mergeCell ref="J481:K481"/>
    <mergeCell ref="L481:M481"/>
    <mergeCell ref="J482:K482"/>
    <mergeCell ref="L482:M482"/>
    <mergeCell ref="J483:K483"/>
    <mergeCell ref="L483:M483"/>
    <mergeCell ref="J478:K478"/>
    <mergeCell ref="L478:M478"/>
    <mergeCell ref="J479:K479"/>
    <mergeCell ref="L479:M479"/>
    <mergeCell ref="J480:K480"/>
    <mergeCell ref="L480:M480"/>
    <mergeCell ref="J475:K475"/>
    <mergeCell ref="L475:M475"/>
    <mergeCell ref="J476:K476"/>
    <mergeCell ref="L476:M476"/>
    <mergeCell ref="J477:K477"/>
    <mergeCell ref="L477:M477"/>
    <mergeCell ref="J472:K472"/>
    <mergeCell ref="L472:M472"/>
    <mergeCell ref="J473:K473"/>
    <mergeCell ref="L473:M473"/>
    <mergeCell ref="J474:K474"/>
    <mergeCell ref="L474:M474"/>
    <mergeCell ref="J469:K469"/>
    <mergeCell ref="L469:M469"/>
    <mergeCell ref="J470:K470"/>
    <mergeCell ref="L470:M470"/>
    <mergeCell ref="J471:K471"/>
    <mergeCell ref="L471:M471"/>
    <mergeCell ref="J466:K466"/>
    <mergeCell ref="L466:M466"/>
    <mergeCell ref="J467:K467"/>
    <mergeCell ref="L467:M467"/>
    <mergeCell ref="J468:K468"/>
    <mergeCell ref="L468:M468"/>
    <mergeCell ref="J463:K463"/>
    <mergeCell ref="L463:M463"/>
    <mergeCell ref="J464:K464"/>
    <mergeCell ref="L464:M464"/>
    <mergeCell ref="J465:K465"/>
    <mergeCell ref="L465:M465"/>
    <mergeCell ref="J460:K460"/>
    <mergeCell ref="L460:M460"/>
    <mergeCell ref="J461:K461"/>
    <mergeCell ref="L461:M461"/>
    <mergeCell ref="J462:K462"/>
    <mergeCell ref="L462:M462"/>
    <mergeCell ref="J457:K457"/>
    <mergeCell ref="L457:M457"/>
    <mergeCell ref="J458:K458"/>
    <mergeCell ref="L458:M458"/>
    <mergeCell ref="J459:K459"/>
    <mergeCell ref="L459:M459"/>
    <mergeCell ref="J454:K454"/>
    <mergeCell ref="L454:M454"/>
    <mergeCell ref="J455:K455"/>
    <mergeCell ref="L455:M455"/>
    <mergeCell ref="J456:K456"/>
    <mergeCell ref="L456:M456"/>
    <mergeCell ref="J451:K451"/>
    <mergeCell ref="L451:M451"/>
    <mergeCell ref="J452:K452"/>
    <mergeCell ref="L452:M452"/>
    <mergeCell ref="J453:K453"/>
    <mergeCell ref="L453:M453"/>
    <mergeCell ref="J448:K448"/>
    <mergeCell ref="L448:M448"/>
    <mergeCell ref="J449:K449"/>
    <mergeCell ref="L449:M449"/>
    <mergeCell ref="J450:K450"/>
    <mergeCell ref="L450:M450"/>
    <mergeCell ref="J445:K445"/>
    <mergeCell ref="L445:M445"/>
    <mergeCell ref="J446:K446"/>
    <mergeCell ref="L446:M446"/>
    <mergeCell ref="J447:K447"/>
    <mergeCell ref="L447:M447"/>
    <mergeCell ref="J442:K442"/>
    <mergeCell ref="L442:M442"/>
    <mergeCell ref="J443:K443"/>
    <mergeCell ref="L443:M443"/>
    <mergeCell ref="J444:K444"/>
    <mergeCell ref="L444:M444"/>
    <mergeCell ref="J439:K439"/>
    <mergeCell ref="L439:M439"/>
    <mergeCell ref="J440:K440"/>
    <mergeCell ref="L440:M440"/>
    <mergeCell ref="J441:K441"/>
    <mergeCell ref="L441:M441"/>
    <mergeCell ref="J436:K436"/>
    <mergeCell ref="L436:M436"/>
    <mergeCell ref="J437:K437"/>
    <mergeCell ref="L437:M437"/>
    <mergeCell ref="J438:K438"/>
    <mergeCell ref="L438:M438"/>
    <mergeCell ref="J433:K433"/>
    <mergeCell ref="L433:M433"/>
    <mergeCell ref="J434:K434"/>
    <mergeCell ref="L434:M434"/>
    <mergeCell ref="J435:K435"/>
    <mergeCell ref="L435:M435"/>
    <mergeCell ref="J430:K430"/>
    <mergeCell ref="L430:M430"/>
    <mergeCell ref="J431:K431"/>
    <mergeCell ref="L431:M431"/>
    <mergeCell ref="J432:K432"/>
    <mergeCell ref="L432:M432"/>
    <mergeCell ref="J427:K427"/>
    <mergeCell ref="L427:M427"/>
    <mergeCell ref="J428:K428"/>
    <mergeCell ref="L428:M428"/>
    <mergeCell ref="J429:K429"/>
    <mergeCell ref="L429:M429"/>
    <mergeCell ref="J424:K424"/>
    <mergeCell ref="L424:M424"/>
    <mergeCell ref="J425:K425"/>
    <mergeCell ref="L425:M425"/>
    <mergeCell ref="J426:K426"/>
    <mergeCell ref="L426:M426"/>
    <mergeCell ref="J421:K421"/>
    <mergeCell ref="L421:M421"/>
    <mergeCell ref="J422:K422"/>
    <mergeCell ref="L422:M422"/>
    <mergeCell ref="J423:K423"/>
    <mergeCell ref="L423:M423"/>
    <mergeCell ref="J418:K418"/>
    <mergeCell ref="L418:M418"/>
    <mergeCell ref="J419:K419"/>
    <mergeCell ref="L419:M419"/>
    <mergeCell ref="J420:K420"/>
    <mergeCell ref="L420:M420"/>
    <mergeCell ref="J415:K415"/>
    <mergeCell ref="L415:M415"/>
    <mergeCell ref="J416:K416"/>
    <mergeCell ref="L416:M416"/>
    <mergeCell ref="J417:K417"/>
    <mergeCell ref="L417:M417"/>
    <mergeCell ref="J412:K412"/>
    <mergeCell ref="L412:M412"/>
    <mergeCell ref="J413:K413"/>
    <mergeCell ref="L413:M413"/>
    <mergeCell ref="J414:K414"/>
    <mergeCell ref="L414:M414"/>
    <mergeCell ref="J409:K409"/>
    <mergeCell ref="L409:M409"/>
    <mergeCell ref="J410:K410"/>
    <mergeCell ref="L410:M410"/>
    <mergeCell ref="J411:K411"/>
    <mergeCell ref="L411:M411"/>
    <mergeCell ref="J406:K406"/>
    <mergeCell ref="L406:M406"/>
    <mergeCell ref="J407:K407"/>
    <mergeCell ref="L407:M407"/>
    <mergeCell ref="J408:K408"/>
    <mergeCell ref="L408:M408"/>
    <mergeCell ref="J403:K403"/>
    <mergeCell ref="L403:M403"/>
    <mergeCell ref="J404:K404"/>
    <mergeCell ref="L404:M404"/>
    <mergeCell ref="J405:K405"/>
    <mergeCell ref="L405:M405"/>
    <mergeCell ref="J400:K400"/>
    <mergeCell ref="L400:M400"/>
    <mergeCell ref="J401:K401"/>
    <mergeCell ref="L401:M401"/>
    <mergeCell ref="J402:K402"/>
    <mergeCell ref="L402:M402"/>
    <mergeCell ref="J397:K397"/>
    <mergeCell ref="L397:M397"/>
    <mergeCell ref="J398:K398"/>
    <mergeCell ref="L398:M398"/>
    <mergeCell ref="J399:K399"/>
    <mergeCell ref="L399:M399"/>
    <mergeCell ref="J394:K394"/>
    <mergeCell ref="L394:M394"/>
    <mergeCell ref="J395:K395"/>
    <mergeCell ref="L395:M395"/>
    <mergeCell ref="J396:K396"/>
    <mergeCell ref="L396:M396"/>
    <mergeCell ref="J391:K391"/>
    <mergeCell ref="L391:M391"/>
    <mergeCell ref="J392:K392"/>
    <mergeCell ref="L392:M392"/>
    <mergeCell ref="J393:K393"/>
    <mergeCell ref="L393:M393"/>
    <mergeCell ref="J388:K388"/>
    <mergeCell ref="L388:M388"/>
    <mergeCell ref="J389:K389"/>
    <mergeCell ref="L389:M389"/>
    <mergeCell ref="J390:K390"/>
    <mergeCell ref="L390:M390"/>
    <mergeCell ref="J385:K385"/>
    <mergeCell ref="L385:M385"/>
    <mergeCell ref="J386:K386"/>
    <mergeCell ref="L386:M386"/>
    <mergeCell ref="J387:K387"/>
    <mergeCell ref="L387:M387"/>
    <mergeCell ref="J382:K382"/>
    <mergeCell ref="L382:M382"/>
    <mergeCell ref="J383:K383"/>
    <mergeCell ref="L383:M383"/>
    <mergeCell ref="J384:K384"/>
    <mergeCell ref="L384:M384"/>
    <mergeCell ref="J379:K379"/>
    <mergeCell ref="L379:M379"/>
    <mergeCell ref="J380:K380"/>
    <mergeCell ref="L380:M380"/>
    <mergeCell ref="J381:K381"/>
    <mergeCell ref="L381:M381"/>
    <mergeCell ref="J376:K376"/>
    <mergeCell ref="L376:M376"/>
    <mergeCell ref="J377:K377"/>
    <mergeCell ref="L377:M377"/>
    <mergeCell ref="J378:K378"/>
    <mergeCell ref="L378:M378"/>
    <mergeCell ref="J373:K373"/>
    <mergeCell ref="L373:M373"/>
    <mergeCell ref="J374:K374"/>
    <mergeCell ref="L374:M374"/>
    <mergeCell ref="J375:K375"/>
    <mergeCell ref="L375:M375"/>
    <mergeCell ref="J370:K370"/>
    <mergeCell ref="L370:M370"/>
    <mergeCell ref="J371:K371"/>
    <mergeCell ref="L371:M371"/>
    <mergeCell ref="J372:K372"/>
    <mergeCell ref="L372:M372"/>
    <mergeCell ref="J367:K367"/>
    <mergeCell ref="L367:M367"/>
    <mergeCell ref="J368:K368"/>
    <mergeCell ref="L368:M368"/>
    <mergeCell ref="J369:K369"/>
    <mergeCell ref="L369:M369"/>
    <mergeCell ref="J364:K364"/>
    <mergeCell ref="L364:M364"/>
    <mergeCell ref="J365:K365"/>
    <mergeCell ref="L365:M365"/>
    <mergeCell ref="J366:K366"/>
    <mergeCell ref="L366:M366"/>
    <mergeCell ref="J361:K361"/>
    <mergeCell ref="L361:M361"/>
    <mergeCell ref="J362:K362"/>
    <mergeCell ref="L362:M362"/>
    <mergeCell ref="J363:K363"/>
    <mergeCell ref="L363:M363"/>
    <mergeCell ref="J358:K358"/>
    <mergeCell ref="L358:M358"/>
    <mergeCell ref="J359:K359"/>
    <mergeCell ref="L359:M359"/>
    <mergeCell ref="J360:K360"/>
    <mergeCell ref="L360:M360"/>
    <mergeCell ref="J355:K355"/>
    <mergeCell ref="L355:M355"/>
    <mergeCell ref="J356:K356"/>
    <mergeCell ref="L356:M356"/>
    <mergeCell ref="J357:K357"/>
    <mergeCell ref="L357:M357"/>
    <mergeCell ref="J352:K352"/>
    <mergeCell ref="L352:M352"/>
    <mergeCell ref="J353:K353"/>
    <mergeCell ref="L353:M353"/>
    <mergeCell ref="J354:K354"/>
    <mergeCell ref="L354:M354"/>
    <mergeCell ref="J349:K349"/>
    <mergeCell ref="L349:M349"/>
    <mergeCell ref="J350:K350"/>
    <mergeCell ref="L350:M350"/>
    <mergeCell ref="J351:K351"/>
    <mergeCell ref="L351:M351"/>
    <mergeCell ref="J346:K346"/>
    <mergeCell ref="L346:M346"/>
    <mergeCell ref="J347:K347"/>
    <mergeCell ref="L347:M347"/>
    <mergeCell ref="J348:K348"/>
    <mergeCell ref="L348:M348"/>
    <mergeCell ref="J343:K343"/>
    <mergeCell ref="L343:M343"/>
    <mergeCell ref="J344:K344"/>
    <mergeCell ref="L344:M344"/>
    <mergeCell ref="J345:K345"/>
    <mergeCell ref="L345:M345"/>
    <mergeCell ref="J340:K340"/>
    <mergeCell ref="L340:M340"/>
    <mergeCell ref="J341:K341"/>
    <mergeCell ref="L341:M341"/>
    <mergeCell ref="J342:K342"/>
    <mergeCell ref="L342:M342"/>
    <mergeCell ref="J337:K337"/>
    <mergeCell ref="L337:M337"/>
    <mergeCell ref="J338:K338"/>
    <mergeCell ref="L338:M338"/>
    <mergeCell ref="J339:K339"/>
    <mergeCell ref="L339:M339"/>
    <mergeCell ref="J334:K334"/>
    <mergeCell ref="L334:M334"/>
    <mergeCell ref="J335:K335"/>
    <mergeCell ref="L335:M335"/>
    <mergeCell ref="J336:K336"/>
    <mergeCell ref="L336:M336"/>
    <mergeCell ref="J331:K331"/>
    <mergeCell ref="L331:M331"/>
    <mergeCell ref="J332:K332"/>
    <mergeCell ref="L332:M332"/>
    <mergeCell ref="J333:K333"/>
    <mergeCell ref="L333:M333"/>
    <mergeCell ref="J328:K328"/>
    <mergeCell ref="L328:M328"/>
    <mergeCell ref="J329:K329"/>
    <mergeCell ref="L329:M329"/>
    <mergeCell ref="J330:K330"/>
    <mergeCell ref="L330:M330"/>
    <mergeCell ref="J325:K325"/>
    <mergeCell ref="L325:M325"/>
    <mergeCell ref="J326:K326"/>
    <mergeCell ref="L326:M326"/>
    <mergeCell ref="J327:K327"/>
    <mergeCell ref="L327:M327"/>
    <mergeCell ref="J322:K322"/>
    <mergeCell ref="L322:M322"/>
    <mergeCell ref="J323:K323"/>
    <mergeCell ref="L323:M323"/>
    <mergeCell ref="J324:K324"/>
    <mergeCell ref="L324:M324"/>
    <mergeCell ref="J319:K319"/>
    <mergeCell ref="L319:M319"/>
    <mergeCell ref="J320:K320"/>
    <mergeCell ref="L320:M320"/>
    <mergeCell ref="J321:K321"/>
    <mergeCell ref="L321:M321"/>
    <mergeCell ref="J316:K316"/>
    <mergeCell ref="L316:M316"/>
    <mergeCell ref="J317:K317"/>
    <mergeCell ref="L317:M317"/>
    <mergeCell ref="J318:K318"/>
    <mergeCell ref="L318:M318"/>
    <mergeCell ref="J313:K313"/>
    <mergeCell ref="L313:M313"/>
    <mergeCell ref="J314:K314"/>
    <mergeCell ref="L314:M314"/>
    <mergeCell ref="J315:K315"/>
    <mergeCell ref="L315:M315"/>
    <mergeCell ref="J310:K310"/>
    <mergeCell ref="L310:M310"/>
    <mergeCell ref="J311:K311"/>
    <mergeCell ref="L311:M311"/>
    <mergeCell ref="J312:K312"/>
    <mergeCell ref="L312:M312"/>
    <mergeCell ref="J307:K307"/>
    <mergeCell ref="L307:M307"/>
    <mergeCell ref="J308:K308"/>
    <mergeCell ref="L308:M308"/>
    <mergeCell ref="J309:K309"/>
    <mergeCell ref="L309:M309"/>
    <mergeCell ref="J304:K304"/>
    <mergeCell ref="L304:M304"/>
    <mergeCell ref="J305:K305"/>
    <mergeCell ref="L305:M305"/>
    <mergeCell ref="J306:K306"/>
    <mergeCell ref="L306:M306"/>
    <mergeCell ref="J301:K301"/>
    <mergeCell ref="L301:M301"/>
    <mergeCell ref="J302:K302"/>
    <mergeCell ref="L302:M302"/>
    <mergeCell ref="J303:K303"/>
    <mergeCell ref="L303:M303"/>
    <mergeCell ref="J298:K298"/>
    <mergeCell ref="L298:M298"/>
    <mergeCell ref="J299:K299"/>
    <mergeCell ref="L299:M299"/>
    <mergeCell ref="J300:K300"/>
    <mergeCell ref="L300:M300"/>
    <mergeCell ref="J295:K295"/>
    <mergeCell ref="L295:M295"/>
    <mergeCell ref="J296:K296"/>
    <mergeCell ref="L296:M296"/>
    <mergeCell ref="J297:K297"/>
    <mergeCell ref="L297:M297"/>
    <mergeCell ref="J292:K292"/>
    <mergeCell ref="L292:M292"/>
    <mergeCell ref="J293:K293"/>
    <mergeCell ref="L293:M293"/>
    <mergeCell ref="J294:K294"/>
    <mergeCell ref="L294:M294"/>
    <mergeCell ref="J289:K289"/>
    <mergeCell ref="L289:M289"/>
    <mergeCell ref="J290:K290"/>
    <mergeCell ref="L290:M290"/>
    <mergeCell ref="J291:K291"/>
    <mergeCell ref="L291:M291"/>
    <mergeCell ref="J286:K286"/>
    <mergeCell ref="L286:M286"/>
    <mergeCell ref="J287:K287"/>
    <mergeCell ref="L287:M287"/>
    <mergeCell ref="J288:K288"/>
    <mergeCell ref="L288:M288"/>
    <mergeCell ref="J283:K283"/>
    <mergeCell ref="L283:M283"/>
    <mergeCell ref="J284:K284"/>
    <mergeCell ref="L284:M284"/>
    <mergeCell ref="J285:K285"/>
    <mergeCell ref="L285:M285"/>
    <mergeCell ref="J280:K280"/>
    <mergeCell ref="L280:M280"/>
    <mergeCell ref="J281:K281"/>
    <mergeCell ref="L281:M281"/>
    <mergeCell ref="J282:K282"/>
    <mergeCell ref="L282:M282"/>
    <mergeCell ref="J277:K277"/>
    <mergeCell ref="L277:M277"/>
    <mergeCell ref="J278:K278"/>
    <mergeCell ref="L278:M278"/>
    <mergeCell ref="J279:K279"/>
    <mergeCell ref="L279:M279"/>
    <mergeCell ref="J274:K274"/>
    <mergeCell ref="L274:M274"/>
    <mergeCell ref="J275:K275"/>
    <mergeCell ref="L275:M275"/>
    <mergeCell ref="J276:K276"/>
    <mergeCell ref="L276:M276"/>
    <mergeCell ref="J271:K271"/>
    <mergeCell ref="L271:M271"/>
    <mergeCell ref="J272:K272"/>
    <mergeCell ref="L272:M272"/>
    <mergeCell ref="J273:K273"/>
    <mergeCell ref="L273:M273"/>
    <mergeCell ref="J268:K268"/>
    <mergeCell ref="L268:M268"/>
    <mergeCell ref="J269:K269"/>
    <mergeCell ref="L269:M269"/>
    <mergeCell ref="J270:K270"/>
    <mergeCell ref="L270:M270"/>
    <mergeCell ref="J265:K265"/>
    <mergeCell ref="L265:M265"/>
    <mergeCell ref="J266:K266"/>
    <mergeCell ref="L266:M266"/>
    <mergeCell ref="J267:K267"/>
    <mergeCell ref="L267:M267"/>
    <mergeCell ref="J262:K262"/>
    <mergeCell ref="L262:M262"/>
    <mergeCell ref="J263:K263"/>
    <mergeCell ref="L263:M263"/>
    <mergeCell ref="J264:K264"/>
    <mergeCell ref="L264:M264"/>
    <mergeCell ref="J259:K259"/>
    <mergeCell ref="L259:M259"/>
    <mergeCell ref="J260:K260"/>
    <mergeCell ref="L260:M260"/>
    <mergeCell ref="J261:K261"/>
    <mergeCell ref="L261:M261"/>
    <mergeCell ref="J256:K256"/>
    <mergeCell ref="L256:M256"/>
    <mergeCell ref="J257:K257"/>
    <mergeCell ref="L257:M257"/>
    <mergeCell ref="J258:K258"/>
    <mergeCell ref="L258:M258"/>
    <mergeCell ref="J253:K253"/>
    <mergeCell ref="L253:M253"/>
    <mergeCell ref="J254:K254"/>
    <mergeCell ref="L254:M254"/>
    <mergeCell ref="J255:K255"/>
    <mergeCell ref="L255:M255"/>
    <mergeCell ref="J250:K250"/>
    <mergeCell ref="L250:M250"/>
    <mergeCell ref="J251:K251"/>
    <mergeCell ref="L251:M251"/>
    <mergeCell ref="J252:K252"/>
    <mergeCell ref="L252:M252"/>
    <mergeCell ref="J247:K247"/>
    <mergeCell ref="L247:M247"/>
    <mergeCell ref="J248:K248"/>
    <mergeCell ref="L248:M248"/>
    <mergeCell ref="J249:K249"/>
    <mergeCell ref="L249:M249"/>
    <mergeCell ref="J244:K244"/>
    <mergeCell ref="L244:M244"/>
    <mergeCell ref="J245:K245"/>
    <mergeCell ref="L245:M245"/>
    <mergeCell ref="J246:K246"/>
    <mergeCell ref="L246:M246"/>
    <mergeCell ref="J241:K241"/>
    <mergeCell ref="L241:M241"/>
    <mergeCell ref="J242:K242"/>
    <mergeCell ref="L242:M242"/>
    <mergeCell ref="J243:K243"/>
    <mergeCell ref="L243:M243"/>
    <mergeCell ref="J238:K238"/>
    <mergeCell ref="L238:M238"/>
    <mergeCell ref="J239:K239"/>
    <mergeCell ref="L239:M239"/>
    <mergeCell ref="J240:K240"/>
    <mergeCell ref="L240:M240"/>
    <mergeCell ref="J235:K235"/>
    <mergeCell ref="L235:M235"/>
    <mergeCell ref="J236:K236"/>
    <mergeCell ref="L236:M236"/>
    <mergeCell ref="J237:K237"/>
    <mergeCell ref="L237:M237"/>
    <mergeCell ref="J232:K232"/>
    <mergeCell ref="L232:M232"/>
    <mergeCell ref="J233:K233"/>
    <mergeCell ref="L233:M233"/>
    <mergeCell ref="J234:K234"/>
    <mergeCell ref="L234:M234"/>
    <mergeCell ref="J229:K229"/>
    <mergeCell ref="L229:M229"/>
    <mergeCell ref="J230:K230"/>
    <mergeCell ref="L230:M230"/>
    <mergeCell ref="J231:K231"/>
    <mergeCell ref="L231:M231"/>
    <mergeCell ref="J226:K226"/>
    <mergeCell ref="L226:M226"/>
    <mergeCell ref="J227:K227"/>
    <mergeCell ref="L227:M227"/>
    <mergeCell ref="J228:K228"/>
    <mergeCell ref="L228:M228"/>
    <mergeCell ref="J223:K223"/>
    <mergeCell ref="L223:M223"/>
    <mergeCell ref="J224:K224"/>
    <mergeCell ref="L224:M224"/>
    <mergeCell ref="J225:K225"/>
    <mergeCell ref="L225:M225"/>
    <mergeCell ref="J220:K220"/>
    <mergeCell ref="L220:M220"/>
    <mergeCell ref="J221:K221"/>
    <mergeCell ref="L221:M221"/>
    <mergeCell ref="J222:K222"/>
    <mergeCell ref="L222:M222"/>
    <mergeCell ref="J217:K217"/>
    <mergeCell ref="L217:M217"/>
    <mergeCell ref="J218:K218"/>
    <mergeCell ref="L218:M218"/>
    <mergeCell ref="J219:K219"/>
    <mergeCell ref="L219:M219"/>
    <mergeCell ref="J214:K214"/>
    <mergeCell ref="L214:M214"/>
    <mergeCell ref="J215:K215"/>
    <mergeCell ref="L215:M215"/>
    <mergeCell ref="J216:K216"/>
    <mergeCell ref="L216:M216"/>
    <mergeCell ref="J211:K211"/>
    <mergeCell ref="L211:M211"/>
    <mergeCell ref="J212:K212"/>
    <mergeCell ref="L212:M212"/>
    <mergeCell ref="J213:K213"/>
    <mergeCell ref="L213:M213"/>
    <mergeCell ref="J208:K208"/>
    <mergeCell ref="L208:M208"/>
    <mergeCell ref="J209:K209"/>
    <mergeCell ref="L209:M209"/>
    <mergeCell ref="J210:K210"/>
    <mergeCell ref="L210:M210"/>
    <mergeCell ref="J205:K205"/>
    <mergeCell ref="L205:M205"/>
    <mergeCell ref="J206:K206"/>
    <mergeCell ref="L206:M206"/>
    <mergeCell ref="J207:K207"/>
    <mergeCell ref="L207:M207"/>
    <mergeCell ref="J202:K202"/>
    <mergeCell ref="L202:M202"/>
    <mergeCell ref="J203:K203"/>
    <mergeCell ref="L203:M203"/>
    <mergeCell ref="J204:K204"/>
    <mergeCell ref="L204:M204"/>
    <mergeCell ref="J199:K199"/>
    <mergeCell ref="L199:M199"/>
    <mergeCell ref="J200:K200"/>
    <mergeCell ref="L200:M200"/>
    <mergeCell ref="J201:K201"/>
    <mergeCell ref="L201:M201"/>
    <mergeCell ref="J196:K196"/>
    <mergeCell ref="L196:M196"/>
    <mergeCell ref="J197:K197"/>
    <mergeCell ref="L197:M197"/>
    <mergeCell ref="J198:K198"/>
    <mergeCell ref="L198:M198"/>
    <mergeCell ref="J193:K193"/>
    <mergeCell ref="L193:M193"/>
    <mergeCell ref="J194:K194"/>
    <mergeCell ref="L194:M194"/>
    <mergeCell ref="J195:K195"/>
    <mergeCell ref="L195:M195"/>
    <mergeCell ref="J190:K190"/>
    <mergeCell ref="L190:M190"/>
    <mergeCell ref="J191:K191"/>
    <mergeCell ref="L191:M191"/>
    <mergeCell ref="J192:K192"/>
    <mergeCell ref="L192:M192"/>
    <mergeCell ref="J187:K187"/>
    <mergeCell ref="L187:M187"/>
    <mergeCell ref="J188:K188"/>
    <mergeCell ref="L188:M188"/>
    <mergeCell ref="J189:K189"/>
    <mergeCell ref="L189:M189"/>
    <mergeCell ref="J184:K184"/>
    <mergeCell ref="L184:M184"/>
    <mergeCell ref="J185:K185"/>
    <mergeCell ref="L185:M185"/>
    <mergeCell ref="J186:K186"/>
    <mergeCell ref="L186:M186"/>
    <mergeCell ref="J181:K181"/>
    <mergeCell ref="L181:M181"/>
    <mergeCell ref="J182:K182"/>
    <mergeCell ref="L182:M182"/>
    <mergeCell ref="J183:K183"/>
    <mergeCell ref="L183:M183"/>
    <mergeCell ref="J178:K178"/>
    <mergeCell ref="L178:M178"/>
    <mergeCell ref="J179:K179"/>
    <mergeCell ref="L179:M179"/>
    <mergeCell ref="J180:K180"/>
    <mergeCell ref="L180:M180"/>
    <mergeCell ref="J175:K175"/>
    <mergeCell ref="L175:M175"/>
    <mergeCell ref="J176:K176"/>
    <mergeCell ref="L176:M176"/>
    <mergeCell ref="J177:K177"/>
    <mergeCell ref="L177:M177"/>
    <mergeCell ref="J172:K172"/>
    <mergeCell ref="L172:M172"/>
    <mergeCell ref="J173:K173"/>
    <mergeCell ref="L173:M173"/>
    <mergeCell ref="J174:K174"/>
    <mergeCell ref="L174:M174"/>
    <mergeCell ref="J169:K169"/>
    <mergeCell ref="L169:M169"/>
    <mergeCell ref="J170:K170"/>
    <mergeCell ref="L170:M170"/>
    <mergeCell ref="J171:K171"/>
    <mergeCell ref="L171:M171"/>
    <mergeCell ref="J166:K166"/>
    <mergeCell ref="L166:M166"/>
    <mergeCell ref="J167:K167"/>
    <mergeCell ref="L167:M167"/>
    <mergeCell ref="J168:K168"/>
    <mergeCell ref="L168:M168"/>
    <mergeCell ref="J163:K163"/>
    <mergeCell ref="L163:M163"/>
    <mergeCell ref="J164:K164"/>
    <mergeCell ref="L164:M164"/>
    <mergeCell ref="J165:K165"/>
    <mergeCell ref="L165:M165"/>
    <mergeCell ref="J160:K160"/>
    <mergeCell ref="L160:M160"/>
    <mergeCell ref="J161:K161"/>
    <mergeCell ref="L161:M161"/>
    <mergeCell ref="J162:K162"/>
    <mergeCell ref="L162:M162"/>
    <mergeCell ref="J157:K157"/>
    <mergeCell ref="L157:M157"/>
    <mergeCell ref="J158:K158"/>
    <mergeCell ref="L158:M158"/>
    <mergeCell ref="J159:K159"/>
    <mergeCell ref="L159:M159"/>
    <mergeCell ref="J154:K154"/>
    <mergeCell ref="L154:M154"/>
    <mergeCell ref="J155:K155"/>
    <mergeCell ref="L155:M155"/>
    <mergeCell ref="J156:K156"/>
    <mergeCell ref="L156:M156"/>
    <mergeCell ref="J151:K151"/>
    <mergeCell ref="L151:M151"/>
    <mergeCell ref="J152:K152"/>
    <mergeCell ref="L152:M152"/>
    <mergeCell ref="J153:K153"/>
    <mergeCell ref="L153:M153"/>
    <mergeCell ref="J148:K148"/>
    <mergeCell ref="L148:M148"/>
    <mergeCell ref="J149:K149"/>
    <mergeCell ref="L149:M149"/>
    <mergeCell ref="J150:K150"/>
    <mergeCell ref="L150:M150"/>
    <mergeCell ref="J145:K145"/>
    <mergeCell ref="L145:M145"/>
    <mergeCell ref="J146:K146"/>
    <mergeCell ref="L146:M146"/>
    <mergeCell ref="J147:K147"/>
    <mergeCell ref="L147:M147"/>
    <mergeCell ref="J142:K142"/>
    <mergeCell ref="L142:M142"/>
    <mergeCell ref="J143:K143"/>
    <mergeCell ref="L143:M143"/>
    <mergeCell ref="J144:K144"/>
    <mergeCell ref="L144:M144"/>
    <mergeCell ref="J139:K139"/>
    <mergeCell ref="L139:M139"/>
    <mergeCell ref="J140:K140"/>
    <mergeCell ref="L140:M140"/>
    <mergeCell ref="J141:K141"/>
    <mergeCell ref="L141:M141"/>
    <mergeCell ref="J136:K136"/>
    <mergeCell ref="L136:M136"/>
    <mergeCell ref="J137:K137"/>
    <mergeCell ref="L137:M137"/>
    <mergeCell ref="J138:K138"/>
    <mergeCell ref="L138:M138"/>
    <mergeCell ref="J133:K133"/>
    <mergeCell ref="L133:M133"/>
    <mergeCell ref="J134:K134"/>
    <mergeCell ref="L134:M134"/>
    <mergeCell ref="J135:K135"/>
    <mergeCell ref="L135:M135"/>
    <mergeCell ref="J130:K130"/>
    <mergeCell ref="L130:M130"/>
    <mergeCell ref="J131:K131"/>
    <mergeCell ref="L131:M131"/>
    <mergeCell ref="J132:K132"/>
    <mergeCell ref="L132:M132"/>
    <mergeCell ref="J127:K127"/>
    <mergeCell ref="L127:M127"/>
    <mergeCell ref="J128:K128"/>
    <mergeCell ref="L128:M128"/>
    <mergeCell ref="J129:K129"/>
    <mergeCell ref="L129:M129"/>
    <mergeCell ref="J124:K124"/>
    <mergeCell ref="L124:M124"/>
    <mergeCell ref="J125:K125"/>
    <mergeCell ref="L125:M125"/>
    <mergeCell ref="J126:K126"/>
    <mergeCell ref="L126:M126"/>
    <mergeCell ref="J121:K121"/>
    <mergeCell ref="L121:M121"/>
    <mergeCell ref="J122:K122"/>
    <mergeCell ref="L122:M122"/>
    <mergeCell ref="J123:K123"/>
    <mergeCell ref="L123:M123"/>
    <mergeCell ref="J118:K118"/>
    <mergeCell ref="L118:M118"/>
    <mergeCell ref="J119:K119"/>
    <mergeCell ref="L119:M119"/>
    <mergeCell ref="J120:K120"/>
    <mergeCell ref="L120:M120"/>
    <mergeCell ref="J115:K115"/>
    <mergeCell ref="L115:M115"/>
    <mergeCell ref="J116:K116"/>
    <mergeCell ref="L116:M116"/>
    <mergeCell ref="J117:K117"/>
    <mergeCell ref="L117:M117"/>
    <mergeCell ref="J112:K112"/>
    <mergeCell ref="L112:M112"/>
    <mergeCell ref="J113:K113"/>
    <mergeCell ref="L113:M113"/>
    <mergeCell ref="J114:K114"/>
    <mergeCell ref="L114:M114"/>
    <mergeCell ref="J109:K109"/>
    <mergeCell ref="L109:M109"/>
    <mergeCell ref="J110:K110"/>
    <mergeCell ref="L110:M110"/>
    <mergeCell ref="J111:K111"/>
    <mergeCell ref="L111:M111"/>
    <mergeCell ref="J106:K106"/>
    <mergeCell ref="L106:M106"/>
    <mergeCell ref="J107:K107"/>
    <mergeCell ref="L107:M107"/>
    <mergeCell ref="J108:K108"/>
    <mergeCell ref="L108:M108"/>
    <mergeCell ref="J103:K103"/>
    <mergeCell ref="L103:M103"/>
    <mergeCell ref="J104:K104"/>
    <mergeCell ref="L104:M104"/>
    <mergeCell ref="J105:K105"/>
    <mergeCell ref="L105:M105"/>
    <mergeCell ref="J100:K100"/>
    <mergeCell ref="L100:M100"/>
    <mergeCell ref="J101:K101"/>
    <mergeCell ref="L101:M101"/>
    <mergeCell ref="J102:K102"/>
    <mergeCell ref="L102:M102"/>
    <mergeCell ref="J97:K97"/>
    <mergeCell ref="L97:M97"/>
    <mergeCell ref="J98:K98"/>
    <mergeCell ref="L98:M98"/>
    <mergeCell ref="J99:K99"/>
    <mergeCell ref="L99:M99"/>
    <mergeCell ref="J94:K94"/>
    <mergeCell ref="L94:M94"/>
    <mergeCell ref="J95:K95"/>
    <mergeCell ref="L95:M95"/>
    <mergeCell ref="J96:K96"/>
    <mergeCell ref="L96:M96"/>
    <mergeCell ref="J91:K91"/>
    <mergeCell ref="L91:M91"/>
    <mergeCell ref="J92:K92"/>
    <mergeCell ref="L92:M92"/>
    <mergeCell ref="J93:K93"/>
    <mergeCell ref="L93:M93"/>
    <mergeCell ref="J88:K88"/>
    <mergeCell ref="L88:M88"/>
    <mergeCell ref="J89:K89"/>
    <mergeCell ref="L89:M89"/>
    <mergeCell ref="J90:K90"/>
    <mergeCell ref="L90:M90"/>
    <mergeCell ref="J85:K85"/>
    <mergeCell ref="L85:M85"/>
    <mergeCell ref="J86:K86"/>
    <mergeCell ref="L86:M86"/>
    <mergeCell ref="J87:K87"/>
    <mergeCell ref="L87:M87"/>
    <mergeCell ref="J82:K82"/>
    <mergeCell ref="L82:M82"/>
    <mergeCell ref="J83:K83"/>
    <mergeCell ref="L83:M83"/>
    <mergeCell ref="J84:K84"/>
    <mergeCell ref="L84:M84"/>
    <mergeCell ref="J79:K79"/>
    <mergeCell ref="L79:M79"/>
    <mergeCell ref="J80:K80"/>
    <mergeCell ref="L80:M80"/>
    <mergeCell ref="J81:K81"/>
    <mergeCell ref="L81:M81"/>
    <mergeCell ref="J76:K76"/>
    <mergeCell ref="L76:M76"/>
    <mergeCell ref="J77:K77"/>
    <mergeCell ref="L77:M77"/>
    <mergeCell ref="J78:K78"/>
    <mergeCell ref="L78:M78"/>
    <mergeCell ref="J73:K73"/>
    <mergeCell ref="L73:M73"/>
    <mergeCell ref="J74:K74"/>
    <mergeCell ref="L74:M74"/>
    <mergeCell ref="J75:K75"/>
    <mergeCell ref="L75:M75"/>
    <mergeCell ref="J70:K70"/>
    <mergeCell ref="L70:M70"/>
    <mergeCell ref="J71:K71"/>
    <mergeCell ref="L71:M71"/>
    <mergeCell ref="J72:K72"/>
    <mergeCell ref="L72:M72"/>
    <mergeCell ref="J67:K67"/>
    <mergeCell ref="L67:M67"/>
    <mergeCell ref="J68:K68"/>
    <mergeCell ref="L68:M68"/>
    <mergeCell ref="J69:K69"/>
    <mergeCell ref="L69:M69"/>
    <mergeCell ref="J64:K64"/>
    <mergeCell ref="L64:M64"/>
    <mergeCell ref="J65:K65"/>
    <mergeCell ref="L65:M65"/>
    <mergeCell ref="J66:K66"/>
    <mergeCell ref="L66:M66"/>
    <mergeCell ref="J61:K61"/>
    <mergeCell ref="L61:M61"/>
    <mergeCell ref="J62:K62"/>
    <mergeCell ref="L62:M62"/>
    <mergeCell ref="J63:K63"/>
    <mergeCell ref="L63:M63"/>
    <mergeCell ref="J58:K58"/>
    <mergeCell ref="L58:M58"/>
    <mergeCell ref="J59:K59"/>
    <mergeCell ref="L59:M59"/>
    <mergeCell ref="J60:K60"/>
    <mergeCell ref="L60:M60"/>
    <mergeCell ref="J55:K55"/>
    <mergeCell ref="L55:M55"/>
    <mergeCell ref="J56:K56"/>
    <mergeCell ref="L56:M56"/>
    <mergeCell ref="J57:K57"/>
    <mergeCell ref="L57:M57"/>
    <mergeCell ref="J52:K52"/>
    <mergeCell ref="L52:M52"/>
    <mergeCell ref="J53:K53"/>
    <mergeCell ref="L53:M53"/>
    <mergeCell ref="J54:K54"/>
    <mergeCell ref="L54:M54"/>
    <mergeCell ref="J49:K49"/>
    <mergeCell ref="L49:M49"/>
    <mergeCell ref="J50:K50"/>
    <mergeCell ref="L50:M50"/>
    <mergeCell ref="J51:K51"/>
    <mergeCell ref="L51:M51"/>
    <mergeCell ref="J46:K46"/>
    <mergeCell ref="L46:M46"/>
    <mergeCell ref="J47:K47"/>
    <mergeCell ref="L47:M47"/>
    <mergeCell ref="J48:K48"/>
    <mergeCell ref="L48:M48"/>
    <mergeCell ref="J43:K43"/>
    <mergeCell ref="L43:M43"/>
    <mergeCell ref="J44:K44"/>
    <mergeCell ref="L44:M44"/>
    <mergeCell ref="J45:K45"/>
    <mergeCell ref="L45:M45"/>
    <mergeCell ref="J40:K40"/>
    <mergeCell ref="L40:M40"/>
    <mergeCell ref="J41:K41"/>
    <mergeCell ref="L41:M41"/>
    <mergeCell ref="J42:K42"/>
    <mergeCell ref="L42:M42"/>
    <mergeCell ref="J37:K37"/>
    <mergeCell ref="L37:M37"/>
    <mergeCell ref="J38:K38"/>
    <mergeCell ref="L38:M38"/>
    <mergeCell ref="J39:K39"/>
    <mergeCell ref="L39:M39"/>
    <mergeCell ref="J34:K34"/>
    <mergeCell ref="L34:M34"/>
    <mergeCell ref="J35:K35"/>
    <mergeCell ref="L35:M35"/>
    <mergeCell ref="J36:K36"/>
    <mergeCell ref="L36:M36"/>
    <mergeCell ref="J31:K31"/>
    <mergeCell ref="L31:M31"/>
    <mergeCell ref="J32:K32"/>
    <mergeCell ref="L32:M32"/>
    <mergeCell ref="J33:K33"/>
    <mergeCell ref="L33:M33"/>
    <mergeCell ref="J28:K28"/>
    <mergeCell ref="L28:M28"/>
    <mergeCell ref="J29:K29"/>
    <mergeCell ref="L29:M29"/>
    <mergeCell ref="J30:K30"/>
    <mergeCell ref="L30:M30"/>
    <mergeCell ref="J25:K25"/>
    <mergeCell ref="L25:M25"/>
    <mergeCell ref="J26:K26"/>
    <mergeCell ref="L26:M26"/>
    <mergeCell ref="J27:K27"/>
    <mergeCell ref="L27:M27"/>
    <mergeCell ref="J22:K22"/>
    <mergeCell ref="L22:M22"/>
    <mergeCell ref="J23:K23"/>
    <mergeCell ref="L23:M23"/>
    <mergeCell ref="J24:K24"/>
    <mergeCell ref="L24:M24"/>
    <mergeCell ref="J19:K19"/>
    <mergeCell ref="L19:M19"/>
    <mergeCell ref="J20:K20"/>
    <mergeCell ref="L20:M20"/>
    <mergeCell ref="J21:K21"/>
    <mergeCell ref="L21:M21"/>
    <mergeCell ref="J17:K17"/>
    <mergeCell ref="L17:M17"/>
    <mergeCell ref="J18:K18"/>
    <mergeCell ref="L18:M18"/>
    <mergeCell ref="J13:K13"/>
    <mergeCell ref="L13:M13"/>
    <mergeCell ref="J14:K14"/>
    <mergeCell ref="L14:M14"/>
    <mergeCell ref="J15:K15"/>
    <mergeCell ref="L15:M15"/>
    <mergeCell ref="T9:Y9"/>
    <mergeCell ref="J10:K10"/>
    <mergeCell ref="L10:M10"/>
    <mergeCell ref="J11:K11"/>
    <mergeCell ref="L11:M11"/>
    <mergeCell ref="J12:K12"/>
    <mergeCell ref="L12:M12"/>
    <mergeCell ref="B8:C8"/>
    <mergeCell ref="D8:E8"/>
    <mergeCell ref="F8:G8"/>
    <mergeCell ref="H8:I8"/>
    <mergeCell ref="T8:Y8"/>
    <mergeCell ref="B5:C5"/>
    <mergeCell ref="D5:E5"/>
    <mergeCell ref="F5:G5"/>
    <mergeCell ref="H5:I5"/>
    <mergeCell ref="T5:Y5"/>
    <mergeCell ref="B6:C6"/>
    <mergeCell ref="D6:E6"/>
    <mergeCell ref="F6:G6"/>
    <mergeCell ref="H6:I6"/>
    <mergeCell ref="T6:Y6"/>
    <mergeCell ref="J16:K16"/>
    <mergeCell ref="L16:M16"/>
    <mergeCell ref="K3:L3"/>
    <mergeCell ref="N3:O3"/>
    <mergeCell ref="T3:Y3"/>
    <mergeCell ref="B4:C4"/>
    <mergeCell ref="D4:E4"/>
    <mergeCell ref="F4:G4"/>
    <mergeCell ref="H4:I4"/>
    <mergeCell ref="T4:Y4"/>
    <mergeCell ref="B1:C1"/>
    <mergeCell ref="B2:C2"/>
    <mergeCell ref="B3:C3"/>
    <mergeCell ref="D3:E3"/>
    <mergeCell ref="F3:G3"/>
    <mergeCell ref="H3:I3"/>
    <mergeCell ref="B7:C7"/>
    <mergeCell ref="D7:E7"/>
    <mergeCell ref="F7:G7"/>
    <mergeCell ref="H7:I7"/>
    <mergeCell ref="T7:Y7"/>
  </mergeCells>
  <dataValidations count="1">
    <dataValidation type="list" allowBlank="1" showInputMessage="1" showErrorMessage="1" sqref="L4" xr:uid="{0B361B86-D573-4A77-B2F2-77B0EC0952E5}">
      <formula1>$O$11:$O$12</formula1>
    </dataValidation>
  </dataValidations>
  <pageMargins left="0.25" right="0.25" top="0.75" bottom="0.75" header="0.3" footer="0.3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3DC6C-2245-48EE-A5EC-CAF4FDBAE368}">
  <sheetPr codeName="Sheet5"/>
  <dimension ref="A1:Y813"/>
  <sheetViews>
    <sheetView showGridLines="0" zoomScaleNormal="100" workbookViewId="0">
      <selection activeCell="T4" sqref="T4:Y4"/>
    </sheetView>
  </sheetViews>
  <sheetFormatPr defaultColWidth="9" defaultRowHeight="13.8"/>
  <cols>
    <col min="1" max="1" width="1.88671875" style="24" customWidth="1"/>
    <col min="2" max="9" width="9.6640625" style="24" customWidth="1"/>
    <col min="10" max="10" width="3.6640625" style="24" customWidth="1"/>
    <col min="11" max="11" width="6.6640625" style="24" customWidth="1"/>
    <col min="12" max="12" width="7.6640625" style="24" customWidth="1"/>
    <col min="13" max="13" width="3.6640625" style="24" customWidth="1"/>
    <col min="14" max="14" width="6.6640625" style="24" bestFit="1" customWidth="1"/>
    <col min="15" max="15" width="7.21875" style="24" bestFit="1" customWidth="1"/>
    <col min="16" max="16" width="4.33203125" style="24" customWidth="1"/>
    <col min="17" max="17" width="1.88671875" style="24" customWidth="1"/>
    <col min="18" max="16384" width="9" style="24"/>
  </cols>
  <sheetData>
    <row r="1" spans="1:25">
      <c r="A1" s="23"/>
      <c r="B1" s="88">
        <v>44767.514594907407</v>
      </c>
      <c r="C1" s="88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65" t="s">
        <v>70</v>
      </c>
    </row>
    <row r="2" spans="1:25">
      <c r="A2" s="23"/>
      <c r="B2" s="95" t="s">
        <v>50</v>
      </c>
      <c r="C2" s="9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4" t="s">
        <v>71</v>
      </c>
      <c r="S2" s="24" t="s">
        <v>69</v>
      </c>
      <c r="T2" s="24" t="s">
        <v>68</v>
      </c>
    </row>
    <row r="3" spans="1:25" ht="14.25" customHeight="1">
      <c r="A3" s="23"/>
      <c r="B3" s="89" t="s">
        <v>15</v>
      </c>
      <c r="C3" s="96"/>
      <c r="D3" s="93" t="s">
        <v>64</v>
      </c>
      <c r="E3" s="90"/>
      <c r="F3" s="89" t="s">
        <v>16</v>
      </c>
      <c r="G3" s="90"/>
      <c r="H3" s="89" t="s">
        <v>61</v>
      </c>
      <c r="I3" s="90"/>
      <c r="J3" s="25"/>
      <c r="K3" s="102" t="s">
        <v>17</v>
      </c>
      <c r="L3" s="103"/>
      <c r="M3" s="23"/>
      <c r="N3" s="98"/>
      <c r="O3" s="98"/>
      <c r="P3" s="23"/>
      <c r="Q3" s="23"/>
      <c r="R3" s="66" t="s">
        <v>75</v>
      </c>
      <c r="S3" s="66" t="s">
        <v>76</v>
      </c>
      <c r="T3" s="106"/>
      <c r="U3" s="107"/>
      <c r="V3" s="107"/>
      <c r="W3" s="107"/>
      <c r="X3" s="107"/>
      <c r="Y3" s="108"/>
    </row>
    <row r="4" spans="1:25" ht="13.5" customHeight="1">
      <c r="A4" s="23"/>
      <c r="B4" s="91" t="s">
        <v>18</v>
      </c>
      <c r="C4" s="97"/>
      <c r="D4" s="94" t="s">
        <v>55</v>
      </c>
      <c r="E4" s="92"/>
      <c r="F4" s="91" t="s">
        <v>19</v>
      </c>
      <c r="G4" s="92"/>
      <c r="H4" s="91" t="s">
        <v>59</v>
      </c>
      <c r="I4" s="92"/>
      <c r="J4" s="25"/>
      <c r="K4" s="26" t="s">
        <v>20</v>
      </c>
      <c r="L4" s="27" t="str">
        <f>C10</f>
        <v>Frequency</v>
      </c>
      <c r="M4" s="23"/>
      <c r="N4" s="28"/>
      <c r="O4" s="28"/>
      <c r="P4" s="23"/>
      <c r="Q4" s="23"/>
      <c r="R4" s="66"/>
      <c r="S4" s="66"/>
      <c r="T4" s="106"/>
      <c r="U4" s="107"/>
      <c r="V4" s="107"/>
      <c r="W4" s="107"/>
      <c r="X4" s="107"/>
      <c r="Y4" s="108"/>
    </row>
    <row r="5" spans="1:25" ht="13.5" customHeight="1">
      <c r="A5" s="23"/>
      <c r="B5" s="91" t="s">
        <v>21</v>
      </c>
      <c r="C5" s="97"/>
      <c r="D5" s="94" t="s">
        <v>56</v>
      </c>
      <c r="E5" s="92"/>
      <c r="F5" s="91" t="s">
        <v>22</v>
      </c>
      <c r="G5" s="92"/>
      <c r="H5" s="91">
        <v>5</v>
      </c>
      <c r="I5" s="92"/>
      <c r="J5" s="25"/>
      <c r="K5" s="29" t="s">
        <v>23</v>
      </c>
      <c r="L5" s="30" t="s">
        <v>65</v>
      </c>
      <c r="M5" s="23"/>
      <c r="N5" s="28"/>
      <c r="O5" s="28"/>
      <c r="P5" s="23"/>
      <c r="Q5" s="23"/>
      <c r="R5" s="66"/>
      <c r="S5" s="66"/>
      <c r="T5" s="106"/>
      <c r="U5" s="107"/>
      <c r="V5" s="107"/>
      <c r="W5" s="107"/>
      <c r="X5" s="107"/>
      <c r="Y5" s="108"/>
    </row>
    <row r="6" spans="1:25" ht="13.5" customHeight="1">
      <c r="A6" s="23"/>
      <c r="B6" s="91" t="s">
        <v>24</v>
      </c>
      <c r="C6" s="97"/>
      <c r="D6" s="94">
        <v>201</v>
      </c>
      <c r="E6" s="92"/>
      <c r="F6" s="91" t="s">
        <v>25</v>
      </c>
      <c r="G6" s="92"/>
      <c r="H6" s="91" t="s">
        <v>59</v>
      </c>
      <c r="I6" s="92"/>
      <c r="J6" s="25"/>
      <c r="K6" s="31" t="s">
        <v>14</v>
      </c>
      <c r="L6" s="32" t="s">
        <v>66</v>
      </c>
      <c r="M6" s="23"/>
      <c r="N6" s="28"/>
      <c r="O6" s="28"/>
      <c r="P6" s="23"/>
      <c r="Q6" s="23"/>
      <c r="R6" s="66"/>
      <c r="S6" s="66"/>
      <c r="T6" s="106"/>
      <c r="U6" s="107"/>
      <c r="V6" s="107"/>
      <c r="W6" s="107"/>
      <c r="X6" s="107"/>
      <c r="Y6" s="108"/>
    </row>
    <row r="7" spans="1:25" ht="13.5" customHeight="1">
      <c r="A7" s="23"/>
      <c r="B7" s="91" t="s">
        <v>26</v>
      </c>
      <c r="C7" s="97"/>
      <c r="D7" s="94" t="s">
        <v>57</v>
      </c>
      <c r="E7" s="92"/>
      <c r="F7" s="91" t="s">
        <v>27</v>
      </c>
      <c r="G7" s="92"/>
      <c r="H7" s="91" t="s">
        <v>59</v>
      </c>
      <c r="I7" s="92"/>
      <c r="J7" s="25"/>
      <c r="K7" s="33"/>
      <c r="L7" s="33"/>
      <c r="M7" s="23"/>
      <c r="N7" s="28"/>
      <c r="O7" s="28"/>
      <c r="P7" s="23"/>
      <c r="Q7" s="23"/>
      <c r="R7" s="66"/>
      <c r="S7" s="66"/>
      <c r="T7" s="106"/>
      <c r="U7" s="107"/>
      <c r="V7" s="107"/>
      <c r="W7" s="107"/>
      <c r="X7" s="107"/>
      <c r="Y7" s="108"/>
    </row>
    <row r="8" spans="1:25">
      <c r="A8" s="23"/>
      <c r="B8" s="100" t="s">
        <v>28</v>
      </c>
      <c r="C8" s="101"/>
      <c r="D8" s="104" t="s">
        <v>58</v>
      </c>
      <c r="E8" s="105"/>
      <c r="F8" s="100" t="s">
        <v>67</v>
      </c>
      <c r="G8" s="105"/>
      <c r="H8" s="91" t="s">
        <v>13</v>
      </c>
      <c r="I8" s="92"/>
      <c r="J8" s="34"/>
      <c r="K8" s="33"/>
      <c r="L8" s="33"/>
      <c r="M8" s="23"/>
      <c r="N8" s="28"/>
      <c r="O8" s="28"/>
      <c r="P8" s="23"/>
      <c r="Q8" s="23"/>
      <c r="R8" s="66"/>
      <c r="S8" s="66"/>
      <c r="T8" s="106"/>
      <c r="U8" s="107"/>
      <c r="V8" s="107"/>
      <c r="W8" s="107"/>
      <c r="X8" s="107"/>
      <c r="Y8" s="108"/>
    </row>
    <row r="9" spans="1:25">
      <c r="A9" s="23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23"/>
      <c r="N9" s="23"/>
      <c r="O9" s="23"/>
      <c r="P9" s="23"/>
      <c r="Q9" s="23"/>
      <c r="R9" s="66"/>
      <c r="S9" s="66"/>
      <c r="T9" s="106"/>
      <c r="U9" s="107"/>
      <c r="V9" s="107"/>
      <c r="W9" s="107"/>
      <c r="X9" s="107"/>
      <c r="Y9" s="108"/>
    </row>
    <row r="10" spans="1:25" ht="27.75" customHeight="1" thickBot="1">
      <c r="A10" s="23"/>
      <c r="B10" s="36" t="s">
        <v>30</v>
      </c>
      <c r="C10" s="36" t="s">
        <v>60</v>
      </c>
      <c r="D10" s="51" t="s">
        <v>51</v>
      </c>
      <c r="E10" s="51" t="s">
        <v>52</v>
      </c>
      <c r="F10" s="51" t="s">
        <v>53</v>
      </c>
      <c r="G10" s="51" t="s">
        <v>54</v>
      </c>
      <c r="H10" s="37"/>
      <c r="I10" s="37"/>
      <c r="J10" s="99"/>
      <c r="K10" s="99"/>
      <c r="L10" s="99"/>
      <c r="M10" s="99"/>
      <c r="N10" s="38" t="s">
        <v>32</v>
      </c>
      <c r="O10" s="39" t="s">
        <v>33</v>
      </c>
      <c r="P10" s="23"/>
      <c r="Q10" s="23"/>
    </row>
    <row r="11" spans="1:25" ht="14.4" thickTop="1">
      <c r="A11" s="23"/>
      <c r="B11" s="53">
        <v>1</v>
      </c>
      <c r="C11" s="58">
        <v>40</v>
      </c>
      <c r="D11" s="59">
        <v>970891776</v>
      </c>
      <c r="E11" s="59">
        <v>0</v>
      </c>
      <c r="F11" s="59">
        <v>-75.890953063964844</v>
      </c>
      <c r="G11" s="42">
        <v>0</v>
      </c>
      <c r="H11" s="23"/>
      <c r="I11" s="23"/>
      <c r="J11" s="99"/>
      <c r="K11" s="99"/>
      <c r="L11" s="99"/>
      <c r="M11" s="99"/>
      <c r="N11" s="43">
        <f t="shared" ref="N11:N74" si="0">IF($L$4=$C$10,C11,IF(D11="","",B11))</f>
        <v>40</v>
      </c>
      <c r="O11" s="39" t="str">
        <f>B10</f>
        <v>Point#</v>
      </c>
      <c r="P11" s="23"/>
      <c r="Q11" s="23"/>
    </row>
    <row r="12" spans="1:25">
      <c r="A12" s="23"/>
      <c r="B12" s="53">
        <v>2</v>
      </c>
      <c r="C12" s="58">
        <v>42.759998321533203</v>
      </c>
      <c r="D12" s="59">
        <v>1086881024</v>
      </c>
      <c r="E12" s="59">
        <v>0</v>
      </c>
      <c r="F12" s="59">
        <v>-71.854408264160156</v>
      </c>
      <c r="G12" s="42">
        <v>0</v>
      </c>
      <c r="H12" s="23"/>
      <c r="I12" s="23"/>
      <c r="J12" s="99"/>
      <c r="K12" s="99"/>
      <c r="L12" s="99"/>
      <c r="M12" s="99"/>
      <c r="N12" s="43">
        <f t="shared" si="0"/>
        <v>42.759998321533203</v>
      </c>
      <c r="O12" s="39" t="str">
        <f>C10</f>
        <v>Frequency</v>
      </c>
      <c r="P12" s="23"/>
      <c r="Q12" s="23"/>
    </row>
    <row r="13" spans="1:25">
      <c r="A13" s="23"/>
      <c r="B13" s="53">
        <v>3</v>
      </c>
      <c r="C13" s="58">
        <v>45.71099853515625</v>
      </c>
      <c r="D13" s="59">
        <v>937894080</v>
      </c>
      <c r="E13" s="59">
        <v>0</v>
      </c>
      <c r="F13" s="59">
        <v>-81.160293579101563</v>
      </c>
      <c r="G13" s="42">
        <v>0</v>
      </c>
      <c r="H13" s="23"/>
      <c r="I13" s="23"/>
      <c r="J13" s="99"/>
      <c r="K13" s="99"/>
      <c r="L13" s="99"/>
      <c r="M13" s="99"/>
      <c r="N13" s="43">
        <f t="shared" si="0"/>
        <v>45.71099853515625</v>
      </c>
      <c r="O13" s="43"/>
      <c r="P13" s="23"/>
      <c r="Q13" s="23"/>
    </row>
    <row r="14" spans="1:25">
      <c r="A14" s="23"/>
      <c r="B14" s="53">
        <v>4</v>
      </c>
      <c r="C14" s="58">
        <v>48.865001678466797</v>
      </c>
      <c r="D14" s="59">
        <v>1005817984</v>
      </c>
      <c r="E14" s="59">
        <v>0</v>
      </c>
      <c r="F14" s="59">
        <v>-80.045326232910156</v>
      </c>
      <c r="G14" s="42">
        <v>0</v>
      </c>
      <c r="H14" s="23"/>
      <c r="I14" s="23"/>
      <c r="J14" s="99"/>
      <c r="K14" s="99"/>
      <c r="L14" s="99"/>
      <c r="M14" s="99"/>
      <c r="N14" s="43">
        <f t="shared" si="0"/>
        <v>48.865001678466797</v>
      </c>
      <c r="O14" s="43"/>
      <c r="P14" s="23"/>
      <c r="Q14" s="23"/>
    </row>
    <row r="15" spans="1:25">
      <c r="A15" s="23"/>
      <c r="B15" s="53">
        <v>5</v>
      </c>
      <c r="C15" s="58">
        <v>52.23699951171875</v>
      </c>
      <c r="D15" s="59">
        <v>765917888</v>
      </c>
      <c r="E15" s="59">
        <v>0</v>
      </c>
      <c r="F15" s="59">
        <v>-85.977203369140625</v>
      </c>
      <c r="G15" s="42">
        <v>0</v>
      </c>
      <c r="H15" s="23"/>
      <c r="I15" s="23"/>
      <c r="J15" s="99"/>
      <c r="K15" s="99"/>
      <c r="L15" s="99"/>
      <c r="M15" s="99"/>
      <c r="N15" s="43">
        <f t="shared" si="0"/>
        <v>52.23699951171875</v>
      </c>
      <c r="O15" s="43"/>
      <c r="P15" s="23"/>
      <c r="Q15" s="23"/>
    </row>
    <row r="16" spans="1:25">
      <c r="A16" s="23"/>
      <c r="B16" s="53">
        <v>6</v>
      </c>
      <c r="C16" s="58">
        <v>55.840999603271484</v>
      </c>
      <c r="D16" s="59">
        <v>720180608</v>
      </c>
      <c r="E16" s="59">
        <v>0</v>
      </c>
      <c r="F16" s="59">
        <v>-81.033828735351563</v>
      </c>
      <c r="G16" s="42">
        <v>0</v>
      </c>
      <c r="H16" s="23"/>
      <c r="I16" s="23"/>
      <c r="J16" s="99"/>
      <c r="K16" s="99"/>
      <c r="L16" s="99"/>
      <c r="M16" s="99"/>
      <c r="N16" s="43">
        <f t="shared" si="0"/>
        <v>55.840999603271484</v>
      </c>
      <c r="O16" s="43"/>
      <c r="P16" s="23"/>
      <c r="Q16" s="23"/>
    </row>
    <row r="17" spans="1:17">
      <c r="A17" s="23"/>
      <c r="B17" s="53">
        <v>7</v>
      </c>
      <c r="C17" s="58">
        <v>59.694999694824219</v>
      </c>
      <c r="D17" s="59">
        <v>645919680</v>
      </c>
      <c r="E17" s="59">
        <v>0</v>
      </c>
      <c r="F17" s="59">
        <v>-78.637077331542969</v>
      </c>
      <c r="G17" s="42">
        <v>0</v>
      </c>
      <c r="H17" s="23"/>
      <c r="I17" s="23"/>
      <c r="J17" s="99"/>
      <c r="K17" s="99"/>
      <c r="L17" s="99"/>
      <c r="M17" s="99"/>
      <c r="N17" s="43">
        <f t="shared" si="0"/>
        <v>59.694999694824219</v>
      </c>
      <c r="O17" s="43"/>
      <c r="P17" s="23"/>
      <c r="Q17" s="23"/>
    </row>
    <row r="18" spans="1:17">
      <c r="A18" s="23"/>
      <c r="B18" s="53">
        <v>8</v>
      </c>
      <c r="C18" s="58">
        <v>63.813999176025391</v>
      </c>
      <c r="D18" s="59">
        <v>623789824</v>
      </c>
      <c r="E18" s="59">
        <v>0</v>
      </c>
      <c r="F18" s="59">
        <v>-83.449661254882813</v>
      </c>
      <c r="G18" s="42">
        <v>0</v>
      </c>
      <c r="H18" s="23"/>
      <c r="I18" s="23"/>
      <c r="J18" s="99"/>
      <c r="K18" s="99"/>
      <c r="L18" s="99"/>
      <c r="M18" s="99"/>
      <c r="N18" s="43">
        <f t="shared" si="0"/>
        <v>63.813999176025391</v>
      </c>
      <c r="O18" s="43"/>
      <c r="P18" s="23"/>
      <c r="Q18" s="23"/>
    </row>
    <row r="19" spans="1:17">
      <c r="A19" s="23"/>
      <c r="B19" s="53">
        <v>9</v>
      </c>
      <c r="C19" s="58">
        <v>68.217002868652344</v>
      </c>
      <c r="D19" s="59">
        <v>559350400</v>
      </c>
      <c r="E19" s="59">
        <v>0</v>
      </c>
      <c r="F19" s="59">
        <v>-82.752601623535156</v>
      </c>
      <c r="G19" s="42">
        <v>0</v>
      </c>
      <c r="H19" s="23"/>
      <c r="I19" s="23"/>
      <c r="J19" s="99"/>
      <c r="K19" s="99"/>
      <c r="L19" s="99"/>
      <c r="M19" s="99"/>
      <c r="N19" s="43">
        <f t="shared" si="0"/>
        <v>68.217002868652344</v>
      </c>
      <c r="O19" s="43"/>
      <c r="P19" s="23"/>
      <c r="Q19" s="23"/>
    </row>
    <row r="20" spans="1:17">
      <c r="A20" s="23"/>
      <c r="B20" s="53">
        <v>10</v>
      </c>
      <c r="C20" s="58">
        <v>72.925003051757813</v>
      </c>
      <c r="D20" s="59">
        <v>552649920</v>
      </c>
      <c r="E20" s="59">
        <v>0</v>
      </c>
      <c r="F20" s="59">
        <v>-84.470550537109375</v>
      </c>
      <c r="G20" s="42">
        <v>0</v>
      </c>
      <c r="H20" s="23"/>
      <c r="I20" s="23"/>
      <c r="J20" s="99"/>
      <c r="K20" s="99"/>
      <c r="L20" s="99"/>
      <c r="M20" s="99"/>
      <c r="N20" s="43">
        <f t="shared" si="0"/>
        <v>72.925003051757813</v>
      </c>
      <c r="O20" s="43"/>
      <c r="P20" s="23"/>
      <c r="Q20" s="23"/>
    </row>
    <row r="21" spans="1:17">
      <c r="A21" s="23"/>
      <c r="B21" s="53">
        <v>11</v>
      </c>
      <c r="C21" s="58">
        <v>77.957000732421875</v>
      </c>
      <c r="D21" s="59">
        <v>553675072</v>
      </c>
      <c r="E21" s="59">
        <v>0</v>
      </c>
      <c r="F21" s="59">
        <v>-85.054336547851563</v>
      </c>
      <c r="G21" s="42">
        <v>0</v>
      </c>
      <c r="H21" s="23"/>
      <c r="I21" s="23"/>
      <c r="J21" s="99"/>
      <c r="K21" s="99"/>
      <c r="L21" s="99"/>
      <c r="M21" s="99"/>
      <c r="N21" s="43">
        <f t="shared" si="0"/>
        <v>77.957000732421875</v>
      </c>
      <c r="O21" s="43"/>
      <c r="P21" s="23"/>
      <c r="Q21" s="23"/>
    </row>
    <row r="22" spans="1:17">
      <c r="A22" s="23"/>
      <c r="B22" s="53">
        <v>12</v>
      </c>
      <c r="C22" s="58">
        <v>83.33599853515625</v>
      </c>
      <c r="D22" s="59">
        <v>476815616</v>
      </c>
      <c r="E22" s="59">
        <v>0</v>
      </c>
      <c r="F22" s="59">
        <v>-83.752510070800781</v>
      </c>
      <c r="G22" s="42">
        <v>0</v>
      </c>
      <c r="H22" s="23"/>
      <c r="I22" s="23"/>
      <c r="J22" s="99"/>
      <c r="K22" s="99"/>
      <c r="L22" s="99"/>
      <c r="M22" s="99"/>
      <c r="N22" s="43">
        <f t="shared" si="0"/>
        <v>83.33599853515625</v>
      </c>
      <c r="O22" s="43"/>
      <c r="P22" s="23"/>
      <c r="Q22" s="23"/>
    </row>
    <row r="23" spans="1:17">
      <c r="A23" s="23"/>
      <c r="B23" s="53">
        <v>13</v>
      </c>
      <c r="C23" s="58">
        <v>89.086997985839844</v>
      </c>
      <c r="D23" s="59">
        <v>449935200</v>
      </c>
      <c r="E23" s="59">
        <v>0</v>
      </c>
      <c r="F23" s="59">
        <v>-83.287216186523438</v>
      </c>
      <c r="G23" s="42">
        <v>0</v>
      </c>
      <c r="H23" s="23"/>
      <c r="I23" s="23"/>
      <c r="J23" s="99"/>
      <c r="K23" s="99"/>
      <c r="L23" s="99"/>
      <c r="M23" s="99"/>
      <c r="N23" s="43">
        <f t="shared" si="0"/>
        <v>89.086997985839844</v>
      </c>
      <c r="O23" s="43"/>
      <c r="P23" s="23"/>
      <c r="Q23" s="23"/>
    </row>
    <row r="24" spans="1:17">
      <c r="A24" s="23"/>
      <c r="B24" s="53">
        <v>14</v>
      </c>
      <c r="C24" s="58">
        <v>95.234001159667969</v>
      </c>
      <c r="D24" s="59">
        <v>422187392</v>
      </c>
      <c r="E24" s="59">
        <v>0</v>
      </c>
      <c r="F24" s="59">
        <v>-88.478416442871094</v>
      </c>
      <c r="G24" s="42">
        <v>0</v>
      </c>
      <c r="H24" s="23"/>
      <c r="I24" s="23"/>
      <c r="J24" s="99"/>
      <c r="K24" s="99"/>
      <c r="L24" s="99"/>
      <c r="M24" s="99"/>
      <c r="N24" s="43">
        <f t="shared" si="0"/>
        <v>95.234001159667969</v>
      </c>
      <c r="O24" s="43"/>
      <c r="P24" s="23"/>
      <c r="Q24" s="23"/>
    </row>
    <row r="25" spans="1:17">
      <c r="A25" s="23"/>
      <c r="B25" s="53">
        <v>15</v>
      </c>
      <c r="C25" s="58">
        <v>101.80599975585938</v>
      </c>
      <c r="D25" s="59">
        <v>396908288</v>
      </c>
      <c r="E25" s="59">
        <v>0</v>
      </c>
      <c r="F25" s="59">
        <v>-86.144546508789063</v>
      </c>
      <c r="G25" s="42">
        <v>0</v>
      </c>
      <c r="H25" s="23"/>
      <c r="I25" s="23"/>
      <c r="J25" s="99"/>
      <c r="K25" s="99"/>
      <c r="L25" s="99"/>
      <c r="M25" s="99"/>
      <c r="N25" s="43">
        <f t="shared" si="0"/>
        <v>101.80599975585938</v>
      </c>
      <c r="O25" s="43"/>
      <c r="P25" s="23"/>
      <c r="Q25" s="23"/>
    </row>
    <row r="26" spans="1:17">
      <c r="A26" s="23"/>
      <c r="B26" s="53">
        <v>16</v>
      </c>
      <c r="C26" s="58">
        <v>108.83100128173828</v>
      </c>
      <c r="D26" s="59">
        <v>406646688</v>
      </c>
      <c r="E26" s="59">
        <v>0</v>
      </c>
      <c r="F26" s="59">
        <v>-89.955451965332031</v>
      </c>
      <c r="G26" s="42">
        <v>0</v>
      </c>
      <c r="H26" s="23"/>
      <c r="I26" s="23"/>
      <c r="J26" s="99"/>
      <c r="K26" s="99"/>
      <c r="L26" s="99"/>
      <c r="M26" s="99"/>
      <c r="N26" s="43">
        <f t="shared" si="0"/>
        <v>108.83100128173828</v>
      </c>
      <c r="O26" s="43"/>
      <c r="P26" s="23"/>
      <c r="Q26" s="23"/>
    </row>
    <row r="27" spans="1:17">
      <c r="A27" s="23"/>
      <c r="B27" s="53">
        <v>17</v>
      </c>
      <c r="C27" s="58">
        <v>116.33999633789063</v>
      </c>
      <c r="D27" s="59">
        <v>351531808</v>
      </c>
      <c r="E27" s="59">
        <v>0</v>
      </c>
      <c r="F27" s="59">
        <v>-88.72833251953125</v>
      </c>
      <c r="G27" s="42">
        <v>0</v>
      </c>
      <c r="H27" s="23"/>
      <c r="I27" s="23"/>
      <c r="J27" s="99"/>
      <c r="K27" s="99"/>
      <c r="L27" s="99"/>
      <c r="M27" s="99"/>
      <c r="N27" s="43">
        <f t="shared" si="0"/>
        <v>116.33999633789063</v>
      </c>
      <c r="O27" s="43"/>
      <c r="P27" s="23"/>
      <c r="Q27" s="23"/>
    </row>
    <row r="28" spans="1:17">
      <c r="A28" s="23"/>
      <c r="B28" s="53">
        <v>18</v>
      </c>
      <c r="C28" s="58">
        <v>124.36799621582031</v>
      </c>
      <c r="D28" s="59">
        <v>347584992</v>
      </c>
      <c r="E28" s="59">
        <v>0</v>
      </c>
      <c r="F28" s="59">
        <v>-90.797271728515625</v>
      </c>
      <c r="G28" s="42">
        <v>0</v>
      </c>
      <c r="H28" s="23"/>
      <c r="I28" s="23"/>
      <c r="J28" s="99"/>
      <c r="K28" s="99"/>
      <c r="L28" s="99"/>
      <c r="M28" s="99"/>
      <c r="N28" s="43">
        <f t="shared" si="0"/>
        <v>124.36799621582031</v>
      </c>
      <c r="O28" s="43"/>
      <c r="P28" s="23"/>
      <c r="Q28" s="23"/>
    </row>
    <row r="29" spans="1:17">
      <c r="A29" s="23"/>
      <c r="B29" s="53">
        <v>19</v>
      </c>
      <c r="C29" s="58">
        <v>132.94999694824219</v>
      </c>
      <c r="D29" s="59">
        <v>315955904</v>
      </c>
      <c r="E29" s="59">
        <v>0</v>
      </c>
      <c r="F29" s="59">
        <v>-87.552017211914063</v>
      </c>
      <c r="G29" s="42">
        <v>0</v>
      </c>
      <c r="H29" s="23"/>
      <c r="I29" s="23"/>
      <c r="J29" s="99"/>
      <c r="K29" s="99"/>
      <c r="L29" s="99"/>
      <c r="M29" s="99"/>
      <c r="N29" s="43">
        <f t="shared" si="0"/>
        <v>132.94999694824219</v>
      </c>
      <c r="O29" s="43"/>
      <c r="P29" s="23"/>
      <c r="Q29" s="23"/>
    </row>
    <row r="30" spans="1:17">
      <c r="A30" s="23"/>
      <c r="B30" s="53">
        <v>20</v>
      </c>
      <c r="C30" s="58">
        <v>142.12399291992188</v>
      </c>
      <c r="D30" s="59">
        <v>293805696</v>
      </c>
      <c r="E30" s="59">
        <v>0</v>
      </c>
      <c r="F30" s="59">
        <v>-89.6094970703125</v>
      </c>
      <c r="G30" s="42">
        <v>0</v>
      </c>
      <c r="H30" s="23"/>
      <c r="I30" s="23"/>
      <c r="J30" s="99"/>
      <c r="K30" s="99"/>
      <c r="L30" s="99"/>
      <c r="M30" s="99"/>
      <c r="N30" s="43">
        <f t="shared" si="0"/>
        <v>142.12399291992188</v>
      </c>
      <c r="O30" s="43"/>
      <c r="P30" s="23"/>
      <c r="Q30" s="23"/>
    </row>
    <row r="31" spans="1:17">
      <c r="A31" s="23"/>
      <c r="B31" s="53">
        <v>21</v>
      </c>
      <c r="C31" s="58">
        <v>151.9320068359375</v>
      </c>
      <c r="D31" s="59">
        <v>272630784</v>
      </c>
      <c r="E31" s="59">
        <v>0</v>
      </c>
      <c r="F31" s="59">
        <v>-86.083137512207031</v>
      </c>
      <c r="G31" s="42">
        <v>0</v>
      </c>
      <c r="H31" s="23"/>
      <c r="I31" s="23"/>
      <c r="J31" s="99"/>
      <c r="K31" s="99"/>
      <c r="L31" s="99"/>
      <c r="M31" s="99"/>
      <c r="N31" s="43">
        <f t="shared" si="0"/>
        <v>151.9320068359375</v>
      </c>
      <c r="O31" s="43"/>
      <c r="P31" s="23"/>
      <c r="Q31" s="23"/>
    </row>
    <row r="32" spans="1:17">
      <c r="A32" s="23"/>
      <c r="B32" s="53">
        <v>22</v>
      </c>
      <c r="C32" s="58">
        <v>162.41499328613281</v>
      </c>
      <c r="D32" s="59">
        <v>243663296</v>
      </c>
      <c r="E32" s="59">
        <v>0</v>
      </c>
      <c r="F32" s="59">
        <v>-86.501441955566406</v>
      </c>
      <c r="G32" s="42">
        <v>0</v>
      </c>
      <c r="H32" s="23"/>
      <c r="I32" s="23"/>
      <c r="J32" s="99"/>
      <c r="K32" s="99"/>
      <c r="L32" s="99"/>
      <c r="M32" s="99"/>
      <c r="N32" s="43">
        <f t="shared" si="0"/>
        <v>162.41499328613281</v>
      </c>
      <c r="O32" s="43"/>
      <c r="P32" s="23"/>
      <c r="Q32" s="23"/>
    </row>
    <row r="33" spans="1:17">
      <c r="A33" s="23"/>
      <c r="B33" s="53">
        <v>23</v>
      </c>
      <c r="C33" s="58">
        <v>173.62300109863281</v>
      </c>
      <c r="D33" s="59">
        <v>240619008</v>
      </c>
      <c r="E33" s="59">
        <v>0</v>
      </c>
      <c r="F33" s="59">
        <v>-88.901779174804688</v>
      </c>
      <c r="G33" s="42">
        <v>0</v>
      </c>
      <c r="H33" s="23"/>
      <c r="I33" s="23"/>
      <c r="J33" s="99"/>
      <c r="K33" s="99"/>
      <c r="L33" s="99"/>
      <c r="M33" s="99"/>
      <c r="N33" s="43">
        <f t="shared" si="0"/>
        <v>173.62300109863281</v>
      </c>
      <c r="O33" s="43"/>
      <c r="P33" s="23"/>
      <c r="Q33" s="23"/>
    </row>
    <row r="34" spans="1:17">
      <c r="A34" s="23"/>
      <c r="B34" s="53">
        <v>24</v>
      </c>
      <c r="C34" s="58">
        <v>185.60400390625</v>
      </c>
      <c r="D34" s="59">
        <v>216173696</v>
      </c>
      <c r="E34" s="59">
        <v>0</v>
      </c>
      <c r="F34" s="59">
        <v>-88.306282043457031</v>
      </c>
      <c r="G34" s="42">
        <v>0</v>
      </c>
      <c r="H34" s="23"/>
      <c r="I34" s="23"/>
      <c r="J34" s="99"/>
      <c r="K34" s="99"/>
      <c r="L34" s="99"/>
      <c r="M34" s="99"/>
      <c r="N34" s="43">
        <f t="shared" si="0"/>
        <v>185.60400390625</v>
      </c>
      <c r="O34" s="43"/>
      <c r="P34" s="23"/>
      <c r="Q34" s="23"/>
    </row>
    <row r="35" spans="1:17">
      <c r="A35" s="23"/>
      <c r="B35" s="53">
        <v>25</v>
      </c>
      <c r="C35" s="58">
        <v>198.41099548339844</v>
      </c>
      <c r="D35" s="59">
        <v>217937904</v>
      </c>
      <c r="E35" s="59">
        <v>0</v>
      </c>
      <c r="F35" s="59">
        <v>-91.787811279296875</v>
      </c>
      <c r="G35" s="42">
        <v>0</v>
      </c>
      <c r="H35" s="23"/>
      <c r="I35" s="23"/>
      <c r="J35" s="99"/>
      <c r="K35" s="99"/>
      <c r="L35" s="99"/>
      <c r="M35" s="99"/>
      <c r="N35" s="43">
        <f t="shared" si="0"/>
        <v>198.41099548339844</v>
      </c>
      <c r="O35" s="43"/>
      <c r="P35" s="23"/>
      <c r="Q35" s="23"/>
    </row>
    <row r="36" spans="1:17">
      <c r="A36" s="23"/>
      <c r="B36" s="53">
        <v>26</v>
      </c>
      <c r="C36" s="58">
        <v>212.10200500488281</v>
      </c>
      <c r="D36" s="59">
        <v>202915504</v>
      </c>
      <c r="E36" s="59">
        <v>0</v>
      </c>
      <c r="F36" s="59">
        <v>-86.965431213378906</v>
      </c>
      <c r="G36" s="42">
        <v>0</v>
      </c>
      <c r="H36" s="23"/>
      <c r="I36" s="23"/>
      <c r="J36" s="99"/>
      <c r="K36" s="99"/>
      <c r="L36" s="99"/>
      <c r="M36" s="99"/>
      <c r="N36" s="43">
        <f t="shared" si="0"/>
        <v>212.10200500488281</v>
      </c>
      <c r="O36" s="43"/>
      <c r="P36" s="23"/>
      <c r="Q36" s="23"/>
    </row>
    <row r="37" spans="1:17">
      <c r="A37" s="23"/>
      <c r="B37" s="53">
        <v>27</v>
      </c>
      <c r="C37" s="58">
        <v>226.73800659179688</v>
      </c>
      <c r="D37" s="59">
        <v>183952304</v>
      </c>
      <c r="E37" s="59">
        <v>0</v>
      </c>
      <c r="F37" s="59">
        <v>-86.508651733398438</v>
      </c>
      <c r="G37" s="42">
        <v>0</v>
      </c>
      <c r="H37" s="23"/>
      <c r="I37" s="23"/>
      <c r="J37" s="99"/>
      <c r="K37" s="99"/>
      <c r="L37" s="99"/>
      <c r="M37" s="99"/>
      <c r="N37" s="43">
        <f t="shared" si="0"/>
        <v>226.73800659179688</v>
      </c>
      <c r="O37" s="43"/>
      <c r="P37" s="23"/>
      <c r="Q37" s="23"/>
    </row>
    <row r="38" spans="1:17">
      <c r="A38" s="23"/>
      <c r="B38" s="53">
        <v>28</v>
      </c>
      <c r="C38" s="58">
        <v>242.38400268554688</v>
      </c>
      <c r="D38" s="59">
        <v>169435808</v>
      </c>
      <c r="E38" s="59">
        <v>0</v>
      </c>
      <c r="F38" s="59">
        <v>-89.984329223632813</v>
      </c>
      <c r="G38" s="42">
        <v>0</v>
      </c>
      <c r="H38" s="23"/>
      <c r="I38" s="23"/>
      <c r="J38" s="99"/>
      <c r="K38" s="99"/>
      <c r="L38" s="99"/>
      <c r="M38" s="99"/>
      <c r="N38" s="43">
        <f t="shared" si="0"/>
        <v>242.38400268554688</v>
      </c>
      <c r="O38" s="43"/>
      <c r="P38" s="23"/>
      <c r="Q38" s="23"/>
    </row>
    <row r="39" spans="1:17">
      <c r="A39" s="23"/>
      <c r="B39" s="53">
        <v>29</v>
      </c>
      <c r="C39" s="58">
        <v>259.1090087890625</v>
      </c>
      <c r="D39" s="59">
        <v>159534304</v>
      </c>
      <c r="E39" s="59">
        <v>0</v>
      </c>
      <c r="F39" s="59">
        <v>-88.609001159667969</v>
      </c>
      <c r="G39" s="42">
        <v>0</v>
      </c>
      <c r="H39" s="23"/>
      <c r="I39" s="23"/>
      <c r="J39" s="99"/>
      <c r="K39" s="99"/>
      <c r="L39" s="99"/>
      <c r="M39" s="99"/>
      <c r="N39" s="43">
        <f t="shared" si="0"/>
        <v>259.1090087890625</v>
      </c>
      <c r="O39" s="43"/>
      <c r="P39" s="23"/>
      <c r="Q39" s="23"/>
    </row>
    <row r="40" spans="1:17">
      <c r="A40" s="23"/>
      <c r="B40" s="53">
        <v>30</v>
      </c>
      <c r="C40" s="58">
        <v>276.989013671875</v>
      </c>
      <c r="D40" s="59">
        <v>149744704</v>
      </c>
      <c r="E40" s="59">
        <v>0</v>
      </c>
      <c r="F40" s="59">
        <v>-89.773368835449219</v>
      </c>
      <c r="G40" s="42">
        <v>0</v>
      </c>
      <c r="H40" s="23"/>
      <c r="I40" s="23"/>
      <c r="J40" s="99"/>
      <c r="K40" s="99"/>
      <c r="L40" s="99"/>
      <c r="M40" s="99"/>
      <c r="N40" s="43">
        <f t="shared" si="0"/>
        <v>276.989013671875</v>
      </c>
      <c r="O40" s="43"/>
      <c r="P40" s="23"/>
      <c r="Q40" s="23"/>
    </row>
    <row r="41" spans="1:17">
      <c r="A41" s="23"/>
      <c r="B41" s="53">
        <v>31</v>
      </c>
      <c r="C41" s="58">
        <v>296.10198974609375</v>
      </c>
      <c r="D41" s="59">
        <v>138582592</v>
      </c>
      <c r="E41" s="59">
        <v>0</v>
      </c>
      <c r="F41" s="59">
        <v>-89.483352661132813</v>
      </c>
      <c r="G41" s="42">
        <v>0</v>
      </c>
      <c r="H41" s="23"/>
      <c r="I41" s="23"/>
      <c r="J41" s="99"/>
      <c r="K41" s="99"/>
      <c r="L41" s="99"/>
      <c r="M41" s="99"/>
      <c r="N41" s="43">
        <f t="shared" si="0"/>
        <v>296.10198974609375</v>
      </c>
      <c r="O41" s="43"/>
      <c r="P41" s="23"/>
      <c r="Q41" s="23"/>
    </row>
    <row r="42" spans="1:17">
      <c r="A42" s="23"/>
      <c r="B42" s="53">
        <v>32</v>
      </c>
      <c r="C42" s="58">
        <v>316.53500366210938</v>
      </c>
      <c r="D42" s="59">
        <v>132090304</v>
      </c>
      <c r="E42" s="59">
        <v>0</v>
      </c>
      <c r="F42" s="59">
        <v>-89.474327087402344</v>
      </c>
      <c r="G42" s="42">
        <v>0</v>
      </c>
      <c r="H42" s="23"/>
      <c r="I42" s="23"/>
      <c r="J42" s="99"/>
      <c r="K42" s="99"/>
      <c r="L42" s="99"/>
      <c r="M42" s="99"/>
      <c r="N42" s="43">
        <f t="shared" si="0"/>
        <v>316.53500366210938</v>
      </c>
      <c r="O42" s="43"/>
      <c r="P42" s="23"/>
      <c r="Q42" s="23"/>
    </row>
    <row r="43" spans="1:17">
      <c r="A43" s="23"/>
      <c r="B43" s="53">
        <v>33</v>
      </c>
      <c r="C43" s="58">
        <v>338.37701416015625</v>
      </c>
      <c r="D43" s="59">
        <v>122909504</v>
      </c>
      <c r="E43" s="59">
        <v>0</v>
      </c>
      <c r="F43" s="59">
        <v>-88.577659606933594</v>
      </c>
      <c r="G43" s="42">
        <v>0</v>
      </c>
      <c r="H43" s="23"/>
      <c r="I43" s="23"/>
      <c r="J43" s="99"/>
      <c r="K43" s="99"/>
      <c r="L43" s="99"/>
      <c r="M43" s="99"/>
      <c r="N43" s="43">
        <f t="shared" si="0"/>
        <v>338.37701416015625</v>
      </c>
      <c r="O43" s="43"/>
      <c r="P43" s="23"/>
      <c r="Q43" s="23"/>
    </row>
    <row r="44" spans="1:17">
      <c r="A44" s="23"/>
      <c r="B44" s="53">
        <v>34</v>
      </c>
      <c r="C44" s="58">
        <v>361.72601318359375</v>
      </c>
      <c r="D44" s="59">
        <v>114463104</v>
      </c>
      <c r="E44" s="59">
        <v>0</v>
      </c>
      <c r="F44" s="59">
        <v>-88.186882019042969</v>
      </c>
      <c r="G44" s="42">
        <v>0</v>
      </c>
      <c r="H44" s="23"/>
      <c r="I44" s="23"/>
      <c r="J44" s="99"/>
      <c r="K44" s="99"/>
      <c r="L44" s="99"/>
      <c r="M44" s="99"/>
      <c r="N44" s="43">
        <f t="shared" si="0"/>
        <v>361.72601318359375</v>
      </c>
      <c r="O44" s="43"/>
      <c r="P44" s="23"/>
      <c r="Q44" s="23"/>
    </row>
    <row r="45" spans="1:17">
      <c r="A45" s="23"/>
      <c r="B45" s="53">
        <v>35</v>
      </c>
      <c r="C45" s="58">
        <v>386.68701171875</v>
      </c>
      <c r="D45" s="59">
        <v>107938800</v>
      </c>
      <c r="E45" s="59">
        <v>0</v>
      </c>
      <c r="F45" s="59">
        <v>-89.120033264160156</v>
      </c>
      <c r="G45" s="42">
        <v>0</v>
      </c>
      <c r="H45" s="23"/>
      <c r="I45" s="23"/>
      <c r="J45" s="99"/>
      <c r="K45" s="99"/>
      <c r="L45" s="99"/>
      <c r="M45" s="99"/>
      <c r="N45" s="43">
        <f t="shared" si="0"/>
        <v>386.68701171875</v>
      </c>
      <c r="O45" s="43"/>
      <c r="P45" s="23"/>
      <c r="Q45" s="23"/>
    </row>
    <row r="46" spans="1:17">
      <c r="A46" s="23"/>
      <c r="B46" s="53">
        <v>36</v>
      </c>
      <c r="C46" s="58">
        <v>413.3699951171875</v>
      </c>
      <c r="D46" s="59">
        <v>100757000</v>
      </c>
      <c r="E46" s="59">
        <v>0</v>
      </c>
      <c r="F46" s="59">
        <v>-88.8553466796875</v>
      </c>
      <c r="G46" s="42">
        <v>0</v>
      </c>
      <c r="H46" s="23"/>
      <c r="I46" s="23"/>
      <c r="J46" s="99"/>
      <c r="K46" s="99"/>
      <c r="L46" s="99"/>
      <c r="M46" s="99"/>
      <c r="N46" s="43">
        <f t="shared" si="0"/>
        <v>413.3699951171875</v>
      </c>
      <c r="O46" s="43"/>
      <c r="P46" s="23"/>
      <c r="Q46" s="23"/>
    </row>
    <row r="47" spans="1:17">
      <c r="A47" s="23"/>
      <c r="B47" s="53">
        <v>37</v>
      </c>
      <c r="C47" s="58">
        <v>441.89401245117188</v>
      </c>
      <c r="D47" s="59">
        <v>94134928</v>
      </c>
      <c r="E47" s="59">
        <v>0</v>
      </c>
      <c r="F47" s="59">
        <v>-89.092483520507813</v>
      </c>
      <c r="G47" s="42">
        <v>0</v>
      </c>
      <c r="H47" s="23"/>
      <c r="I47" s="23"/>
      <c r="J47" s="99"/>
      <c r="K47" s="99"/>
      <c r="L47" s="99"/>
      <c r="M47" s="99"/>
      <c r="N47" s="43">
        <f t="shared" si="0"/>
        <v>441.89401245117188</v>
      </c>
      <c r="O47" s="43"/>
      <c r="P47" s="23"/>
      <c r="Q47" s="23"/>
    </row>
    <row r="48" spans="1:17">
      <c r="A48" s="23"/>
      <c r="B48" s="53">
        <v>38</v>
      </c>
      <c r="C48" s="58">
        <v>472.38699340820313</v>
      </c>
      <c r="D48" s="59">
        <v>87658464</v>
      </c>
      <c r="E48" s="59">
        <v>0</v>
      </c>
      <c r="F48" s="59">
        <v>-88.960441589355469</v>
      </c>
      <c r="G48" s="42">
        <v>0</v>
      </c>
      <c r="H48" s="23"/>
      <c r="I48" s="23"/>
      <c r="J48" s="99"/>
      <c r="K48" s="99"/>
      <c r="L48" s="99"/>
      <c r="M48" s="99"/>
      <c r="N48" s="43">
        <f t="shared" si="0"/>
        <v>472.38699340820313</v>
      </c>
      <c r="O48" s="43"/>
      <c r="P48" s="23"/>
      <c r="Q48" s="23"/>
    </row>
    <row r="49" spans="1:17">
      <c r="A49" s="23"/>
      <c r="B49" s="53">
        <v>39</v>
      </c>
      <c r="C49" s="58">
        <v>504.9840087890625</v>
      </c>
      <c r="D49" s="59">
        <v>82602928</v>
      </c>
      <c r="E49" s="59">
        <v>0</v>
      </c>
      <c r="F49" s="59">
        <v>-89.140357971191406</v>
      </c>
      <c r="G49" s="42">
        <v>0</v>
      </c>
      <c r="H49" s="23"/>
      <c r="I49" s="23"/>
      <c r="J49" s="99"/>
      <c r="K49" s="99"/>
      <c r="L49" s="99"/>
      <c r="M49" s="99"/>
      <c r="N49" s="43">
        <f t="shared" si="0"/>
        <v>504.9840087890625</v>
      </c>
      <c r="O49" s="43"/>
      <c r="P49" s="23"/>
      <c r="Q49" s="23"/>
    </row>
    <row r="50" spans="1:17">
      <c r="A50" s="23"/>
      <c r="B50" s="53">
        <v>40</v>
      </c>
      <c r="C50" s="58">
        <v>539.8289794921875</v>
      </c>
      <c r="D50" s="59">
        <v>76532832</v>
      </c>
      <c r="E50" s="59">
        <v>0</v>
      </c>
      <c r="F50" s="59">
        <v>-89.794418334960938</v>
      </c>
      <c r="G50" s="42">
        <v>0</v>
      </c>
      <c r="H50" s="23"/>
      <c r="I50" s="23"/>
      <c r="J50" s="99"/>
      <c r="K50" s="99"/>
      <c r="L50" s="99"/>
      <c r="M50" s="99"/>
      <c r="N50" s="43">
        <f t="shared" si="0"/>
        <v>539.8289794921875</v>
      </c>
      <c r="O50" s="43"/>
      <c r="P50" s="23"/>
      <c r="Q50" s="23"/>
    </row>
    <row r="51" spans="1:17">
      <c r="A51" s="23"/>
      <c r="B51" s="53">
        <v>41</v>
      </c>
      <c r="C51" s="58">
        <v>577.08001708984375</v>
      </c>
      <c r="D51" s="59">
        <v>72158464</v>
      </c>
      <c r="E51" s="59">
        <v>0</v>
      </c>
      <c r="F51" s="59">
        <v>-89.126243591308594</v>
      </c>
      <c r="G51" s="42">
        <v>0</v>
      </c>
      <c r="H51" s="23"/>
      <c r="I51" s="23"/>
      <c r="J51" s="99"/>
      <c r="K51" s="99"/>
      <c r="L51" s="99"/>
      <c r="M51" s="99"/>
      <c r="N51" s="43">
        <f t="shared" si="0"/>
        <v>577.08001708984375</v>
      </c>
      <c r="O51" s="43"/>
      <c r="P51" s="23"/>
      <c r="Q51" s="23"/>
    </row>
    <row r="52" spans="1:17">
      <c r="A52" s="23"/>
      <c r="B52" s="53">
        <v>42</v>
      </c>
      <c r="C52" s="58">
        <v>616.9010009765625</v>
      </c>
      <c r="D52" s="59">
        <v>66966440</v>
      </c>
      <c r="E52" s="59">
        <v>0</v>
      </c>
      <c r="F52" s="59">
        <v>-89.486221313476563</v>
      </c>
      <c r="G52" s="42">
        <v>0</v>
      </c>
      <c r="H52" s="23"/>
      <c r="I52" s="23"/>
      <c r="J52" s="99"/>
      <c r="K52" s="99"/>
      <c r="L52" s="99"/>
      <c r="M52" s="99"/>
      <c r="N52" s="43">
        <f t="shared" si="0"/>
        <v>616.9010009765625</v>
      </c>
      <c r="O52" s="43"/>
      <c r="P52" s="23"/>
      <c r="Q52" s="23"/>
    </row>
    <row r="53" spans="1:17">
      <c r="A53" s="23"/>
      <c r="B53" s="53">
        <v>43</v>
      </c>
      <c r="C53" s="58">
        <v>659.469970703125</v>
      </c>
      <c r="D53" s="59">
        <v>62901280</v>
      </c>
      <c r="E53" s="59">
        <v>0</v>
      </c>
      <c r="F53" s="59">
        <v>-88.883583068847656</v>
      </c>
      <c r="G53" s="42">
        <v>0</v>
      </c>
      <c r="H53" s="23"/>
      <c r="I53" s="23"/>
      <c r="J53" s="99"/>
      <c r="K53" s="99"/>
      <c r="L53" s="99"/>
      <c r="M53" s="99"/>
      <c r="N53" s="43">
        <f t="shared" si="0"/>
        <v>659.469970703125</v>
      </c>
      <c r="O53" s="43"/>
      <c r="P53" s="23"/>
      <c r="Q53" s="23"/>
    </row>
    <row r="54" spans="1:17">
      <c r="A54" s="23"/>
      <c r="B54" s="53">
        <v>44</v>
      </c>
      <c r="C54" s="58">
        <v>704.97601318359375</v>
      </c>
      <c r="D54" s="59">
        <v>58672500</v>
      </c>
      <c r="E54" s="59">
        <v>0</v>
      </c>
      <c r="F54" s="59">
        <v>-89.310997009277344</v>
      </c>
      <c r="G54" s="42">
        <v>0</v>
      </c>
      <c r="H54" s="23"/>
      <c r="I54" s="23"/>
      <c r="J54" s="99"/>
      <c r="K54" s="99"/>
      <c r="L54" s="99"/>
      <c r="M54" s="99"/>
      <c r="N54" s="43">
        <f t="shared" si="0"/>
        <v>704.97601318359375</v>
      </c>
      <c r="O54" s="43"/>
      <c r="P54" s="23"/>
      <c r="Q54" s="23"/>
    </row>
    <row r="55" spans="1:17">
      <c r="A55" s="23"/>
      <c r="B55" s="53">
        <v>45</v>
      </c>
      <c r="C55" s="58">
        <v>753.62200927734375</v>
      </c>
      <c r="D55" s="59">
        <v>55196460</v>
      </c>
      <c r="E55" s="59">
        <v>0</v>
      </c>
      <c r="F55" s="59">
        <v>-89.531593322753906</v>
      </c>
      <c r="G55" s="42">
        <v>0</v>
      </c>
      <c r="H55" s="23"/>
      <c r="I55" s="23"/>
      <c r="J55" s="99"/>
      <c r="K55" s="99"/>
      <c r="L55" s="99"/>
      <c r="M55" s="99"/>
      <c r="N55" s="43">
        <f t="shared" si="0"/>
        <v>753.62200927734375</v>
      </c>
      <c r="O55" s="43"/>
      <c r="P55" s="23"/>
      <c r="Q55" s="23"/>
    </row>
    <row r="56" spans="1:17">
      <c r="A56" s="23"/>
      <c r="B56" s="53">
        <v>46</v>
      </c>
      <c r="C56" s="58">
        <v>805.625</v>
      </c>
      <c r="D56" s="59">
        <v>51616048</v>
      </c>
      <c r="E56" s="59">
        <v>0</v>
      </c>
      <c r="F56" s="59">
        <v>-90.041030883789063</v>
      </c>
      <c r="G56" s="42">
        <v>0</v>
      </c>
      <c r="H56" s="23"/>
      <c r="I56" s="23"/>
      <c r="J56" s="99"/>
      <c r="K56" s="99"/>
      <c r="L56" s="99"/>
      <c r="M56" s="99"/>
      <c r="N56" s="43">
        <f t="shared" si="0"/>
        <v>805.625</v>
      </c>
      <c r="O56" s="43"/>
      <c r="P56" s="23"/>
      <c r="Q56" s="23"/>
    </row>
    <row r="57" spans="1:17">
      <c r="A57" s="23"/>
      <c r="B57" s="53">
        <v>47</v>
      </c>
      <c r="C57" s="58">
        <v>861.21697998046875</v>
      </c>
      <c r="D57" s="59">
        <v>48276712</v>
      </c>
      <c r="E57" s="59">
        <v>0</v>
      </c>
      <c r="F57" s="59">
        <v>-89.602836608886719</v>
      </c>
      <c r="G57" s="42">
        <v>0</v>
      </c>
      <c r="H57" s="23"/>
      <c r="I57" s="23"/>
      <c r="J57" s="99"/>
      <c r="K57" s="99"/>
      <c r="L57" s="99"/>
      <c r="M57" s="99"/>
      <c r="N57" s="43">
        <f t="shared" si="0"/>
        <v>861.21697998046875</v>
      </c>
      <c r="O57" s="43"/>
      <c r="P57" s="23"/>
      <c r="Q57" s="23"/>
    </row>
    <row r="58" spans="1:17">
      <c r="A58" s="23"/>
      <c r="B58" s="53">
        <v>48</v>
      </c>
      <c r="C58" s="58">
        <v>920.64398193359375</v>
      </c>
      <c r="D58" s="59">
        <v>45389352</v>
      </c>
      <c r="E58" s="59">
        <v>0</v>
      </c>
      <c r="F58" s="59">
        <v>-89.082008361816406</v>
      </c>
      <c r="G58" s="42">
        <v>0</v>
      </c>
      <c r="H58" s="23"/>
      <c r="I58" s="23"/>
      <c r="J58" s="99"/>
      <c r="K58" s="99"/>
      <c r="L58" s="99"/>
      <c r="M58" s="99"/>
      <c r="N58" s="43">
        <f t="shared" si="0"/>
        <v>920.64398193359375</v>
      </c>
      <c r="O58" s="43"/>
      <c r="P58" s="23"/>
      <c r="Q58" s="23"/>
    </row>
    <row r="59" spans="1:17">
      <c r="A59" s="23"/>
      <c r="B59" s="53">
        <v>49</v>
      </c>
      <c r="C59" s="58">
        <v>984.1719970703125</v>
      </c>
      <c r="D59" s="59">
        <v>42366060</v>
      </c>
      <c r="E59" s="59">
        <v>0</v>
      </c>
      <c r="F59" s="59">
        <v>-89.336196899414063</v>
      </c>
      <c r="G59" s="42">
        <v>0</v>
      </c>
      <c r="H59" s="23"/>
      <c r="I59" s="23"/>
      <c r="J59" s="99"/>
      <c r="K59" s="99"/>
      <c r="L59" s="99"/>
      <c r="M59" s="99"/>
      <c r="N59" s="43">
        <f t="shared" si="0"/>
        <v>984.1719970703125</v>
      </c>
      <c r="O59" s="43"/>
      <c r="P59" s="23"/>
      <c r="Q59" s="23"/>
    </row>
    <row r="60" spans="1:17">
      <c r="A60" s="23"/>
      <c r="B60" s="53">
        <v>50</v>
      </c>
      <c r="C60" s="58">
        <v>1052.083984375</v>
      </c>
      <c r="D60" s="59">
        <v>39716740</v>
      </c>
      <c r="E60" s="59">
        <v>0</v>
      </c>
      <c r="F60" s="59">
        <v>-89.531532287597656</v>
      </c>
      <c r="G60" s="42">
        <v>0</v>
      </c>
      <c r="H60" s="23"/>
      <c r="I60" s="23"/>
      <c r="J60" s="99"/>
      <c r="K60" s="99"/>
      <c r="L60" s="99"/>
      <c r="M60" s="99"/>
      <c r="N60" s="43">
        <f t="shared" si="0"/>
        <v>1052.083984375</v>
      </c>
      <c r="O60" s="43"/>
      <c r="P60" s="23"/>
      <c r="Q60" s="23"/>
    </row>
    <row r="61" spans="1:17">
      <c r="A61" s="23"/>
      <c r="B61" s="53">
        <v>51</v>
      </c>
      <c r="C61" s="58">
        <v>1124.6829833984375</v>
      </c>
      <c r="D61" s="59">
        <v>37159128</v>
      </c>
      <c r="E61" s="59">
        <v>0</v>
      </c>
      <c r="F61" s="59">
        <v>-89.431480407714844</v>
      </c>
      <c r="G61" s="42">
        <v>0</v>
      </c>
      <c r="H61" s="23"/>
      <c r="I61" s="23"/>
      <c r="J61" s="99"/>
      <c r="K61" s="99"/>
      <c r="L61" s="99"/>
      <c r="M61" s="99"/>
      <c r="N61" s="43">
        <f t="shared" si="0"/>
        <v>1124.6829833984375</v>
      </c>
      <c r="O61" s="43"/>
      <c r="P61" s="23"/>
      <c r="Q61" s="23"/>
    </row>
    <row r="62" spans="1:17">
      <c r="A62" s="23"/>
      <c r="B62" s="53">
        <v>52</v>
      </c>
      <c r="C62" s="58">
        <v>1202.2900390625</v>
      </c>
      <c r="D62" s="59">
        <v>34706240</v>
      </c>
      <c r="E62" s="59">
        <v>0</v>
      </c>
      <c r="F62" s="59">
        <v>-89.461219787597656</v>
      </c>
      <c r="G62" s="42">
        <v>0</v>
      </c>
      <c r="H62" s="23"/>
      <c r="I62" s="23"/>
      <c r="J62" s="99"/>
      <c r="K62" s="99"/>
      <c r="L62" s="99"/>
      <c r="M62" s="99"/>
      <c r="N62" s="43">
        <f t="shared" si="0"/>
        <v>1202.2900390625</v>
      </c>
      <c r="O62" s="43"/>
      <c r="P62" s="23"/>
      <c r="Q62" s="23"/>
    </row>
    <row r="63" spans="1:17">
      <c r="A63" s="23"/>
      <c r="B63" s="53">
        <v>53</v>
      </c>
      <c r="C63" s="58">
        <v>1285.2540283203125</v>
      </c>
      <c r="D63" s="59">
        <v>32585840</v>
      </c>
      <c r="E63" s="59">
        <v>0</v>
      </c>
      <c r="F63" s="59">
        <v>-89.433456420898438</v>
      </c>
      <c r="G63" s="42">
        <v>0</v>
      </c>
      <c r="H63" s="23"/>
      <c r="I63" s="23"/>
      <c r="J63" s="99"/>
      <c r="K63" s="99"/>
      <c r="L63" s="99"/>
      <c r="M63" s="99"/>
      <c r="N63" s="43">
        <f t="shared" si="0"/>
        <v>1285.2540283203125</v>
      </c>
      <c r="O63" s="43"/>
      <c r="P63" s="23"/>
      <c r="Q63" s="23"/>
    </row>
    <row r="64" spans="1:17">
      <c r="A64" s="23"/>
      <c r="B64" s="53">
        <v>54</v>
      </c>
      <c r="C64" s="58">
        <v>1373.9410400390625</v>
      </c>
      <c r="D64" s="59">
        <v>30378260</v>
      </c>
      <c r="E64" s="59">
        <v>0</v>
      </c>
      <c r="F64" s="59">
        <v>-89.579322814941406</v>
      </c>
      <c r="G64" s="42">
        <v>0</v>
      </c>
      <c r="H64" s="23"/>
      <c r="I64" s="23"/>
      <c r="J64" s="99"/>
      <c r="K64" s="99"/>
      <c r="L64" s="99"/>
      <c r="M64" s="99"/>
      <c r="N64" s="43">
        <f t="shared" si="0"/>
        <v>1373.9410400390625</v>
      </c>
      <c r="O64" s="43"/>
      <c r="P64" s="23"/>
      <c r="Q64" s="23"/>
    </row>
    <row r="65" spans="1:17">
      <c r="A65" s="23"/>
      <c r="B65" s="53">
        <v>55</v>
      </c>
      <c r="C65" s="58">
        <v>1468.7490234375</v>
      </c>
      <c r="D65" s="59">
        <v>28404040</v>
      </c>
      <c r="E65" s="59">
        <v>0</v>
      </c>
      <c r="F65" s="59">
        <v>-89.736602783203125</v>
      </c>
      <c r="G65" s="42">
        <v>0</v>
      </c>
      <c r="H65" s="23"/>
      <c r="I65" s="23"/>
      <c r="J65" s="99"/>
      <c r="K65" s="99"/>
      <c r="L65" s="99"/>
      <c r="M65" s="99"/>
      <c r="N65" s="43">
        <f t="shared" si="0"/>
        <v>1468.7490234375</v>
      </c>
      <c r="O65" s="43"/>
      <c r="P65" s="23"/>
      <c r="Q65" s="23"/>
    </row>
    <row r="66" spans="1:17">
      <c r="A66" s="23"/>
      <c r="B66" s="53">
        <v>56</v>
      </c>
      <c r="C66" s="58">
        <v>1570.0989990234375</v>
      </c>
      <c r="D66" s="59">
        <v>26556490</v>
      </c>
      <c r="E66" s="59">
        <v>0</v>
      </c>
      <c r="F66" s="59">
        <v>-89.5888671875</v>
      </c>
      <c r="G66" s="42">
        <v>0</v>
      </c>
      <c r="H66" s="23"/>
      <c r="I66" s="23"/>
      <c r="J66" s="99"/>
      <c r="K66" s="99"/>
      <c r="L66" s="99"/>
      <c r="M66" s="99"/>
      <c r="N66" s="43">
        <f t="shared" si="0"/>
        <v>1570.0989990234375</v>
      </c>
      <c r="O66" s="43"/>
      <c r="P66" s="23"/>
      <c r="Q66" s="23"/>
    </row>
    <row r="67" spans="1:17">
      <c r="A67" s="23"/>
      <c r="B67" s="53">
        <v>57</v>
      </c>
      <c r="C67" s="58">
        <v>1678.4420166015625</v>
      </c>
      <c r="D67" s="59">
        <v>24917630</v>
      </c>
      <c r="E67" s="59">
        <v>0</v>
      </c>
      <c r="F67" s="59">
        <v>-89.733818054199219</v>
      </c>
      <c r="G67" s="42">
        <v>0</v>
      </c>
      <c r="H67" s="23"/>
      <c r="I67" s="23"/>
      <c r="J67" s="99"/>
      <c r="K67" s="99"/>
      <c r="L67" s="99"/>
      <c r="M67" s="99"/>
      <c r="N67" s="43">
        <f t="shared" si="0"/>
        <v>1678.4420166015625</v>
      </c>
      <c r="O67" s="43"/>
      <c r="P67" s="23"/>
      <c r="Q67" s="23"/>
    </row>
    <row r="68" spans="1:17">
      <c r="A68" s="23"/>
      <c r="B68" s="53">
        <v>58</v>
      </c>
      <c r="C68" s="58">
        <v>1794.261962890625</v>
      </c>
      <c r="D68" s="59">
        <v>23286640</v>
      </c>
      <c r="E68" s="59">
        <v>0</v>
      </c>
      <c r="F68" s="59">
        <v>-89.671432495117188</v>
      </c>
      <c r="G68" s="42">
        <v>0</v>
      </c>
      <c r="H68" s="23"/>
      <c r="I68" s="23"/>
      <c r="J68" s="99"/>
      <c r="K68" s="99"/>
      <c r="L68" s="99"/>
      <c r="M68" s="99"/>
      <c r="N68" s="43">
        <f t="shared" si="0"/>
        <v>1794.261962890625</v>
      </c>
      <c r="O68" s="43"/>
      <c r="P68" s="23"/>
      <c r="Q68" s="23"/>
    </row>
    <row r="69" spans="1:17">
      <c r="A69" s="23"/>
      <c r="B69" s="53">
        <v>59</v>
      </c>
      <c r="C69" s="58">
        <v>1918.072998046875</v>
      </c>
      <c r="D69" s="59">
        <v>21787240</v>
      </c>
      <c r="E69" s="59">
        <v>0</v>
      </c>
      <c r="F69" s="59">
        <v>-89.610969543457031</v>
      </c>
      <c r="G69" s="42">
        <v>0</v>
      </c>
      <c r="H69" s="23"/>
      <c r="I69" s="23"/>
      <c r="J69" s="99"/>
      <c r="K69" s="99"/>
      <c r="L69" s="99"/>
      <c r="M69" s="99"/>
      <c r="N69" s="43">
        <f t="shared" si="0"/>
        <v>1918.072998046875</v>
      </c>
      <c r="O69" s="43"/>
      <c r="P69" s="23"/>
      <c r="Q69" s="23"/>
    </row>
    <row r="70" spans="1:17">
      <c r="A70" s="23"/>
      <c r="B70" s="53">
        <v>60</v>
      </c>
      <c r="C70" s="58">
        <v>2050.427978515625</v>
      </c>
      <c r="D70" s="59">
        <v>20349830</v>
      </c>
      <c r="E70" s="59">
        <v>0</v>
      </c>
      <c r="F70" s="59">
        <v>-89.601409912109375</v>
      </c>
      <c r="G70" s="42">
        <v>0</v>
      </c>
      <c r="H70" s="23"/>
      <c r="I70" s="23"/>
      <c r="J70" s="99"/>
      <c r="K70" s="99"/>
      <c r="L70" s="99"/>
      <c r="M70" s="99"/>
      <c r="N70" s="43">
        <f t="shared" si="0"/>
        <v>2050.427978515625</v>
      </c>
      <c r="O70" s="43"/>
      <c r="P70" s="23"/>
      <c r="Q70" s="23"/>
    </row>
    <row r="71" spans="1:17">
      <c r="A71" s="23"/>
      <c r="B71" s="53">
        <v>61</v>
      </c>
      <c r="C71" s="58">
        <v>2191.916015625</v>
      </c>
      <c r="D71" s="59">
        <v>19068650</v>
      </c>
      <c r="E71" s="59">
        <v>0</v>
      </c>
      <c r="F71" s="59">
        <v>-89.694526672363281</v>
      </c>
      <c r="G71" s="42">
        <v>0</v>
      </c>
      <c r="H71" s="23"/>
      <c r="I71" s="23"/>
      <c r="J71" s="99"/>
      <c r="K71" s="99"/>
      <c r="L71" s="99"/>
      <c r="M71" s="99"/>
      <c r="N71" s="43">
        <f t="shared" si="0"/>
        <v>2191.916015625</v>
      </c>
      <c r="O71" s="43"/>
      <c r="P71" s="23"/>
      <c r="Q71" s="23"/>
    </row>
    <row r="72" spans="1:17">
      <c r="A72" s="23"/>
      <c r="B72" s="53">
        <v>62</v>
      </c>
      <c r="C72" s="58">
        <v>2343.16796875</v>
      </c>
      <c r="D72" s="59">
        <v>17837250</v>
      </c>
      <c r="E72" s="59">
        <v>0</v>
      </c>
      <c r="F72" s="59">
        <v>-89.613243103027344</v>
      </c>
      <c r="G72" s="42">
        <v>0</v>
      </c>
      <c r="H72" s="23"/>
      <c r="I72" s="23"/>
      <c r="J72" s="99"/>
      <c r="K72" s="99"/>
      <c r="L72" s="99"/>
      <c r="M72" s="99"/>
      <c r="N72" s="43">
        <f t="shared" si="0"/>
        <v>2343.16796875</v>
      </c>
      <c r="O72" s="43"/>
      <c r="P72" s="23"/>
      <c r="Q72" s="23"/>
    </row>
    <row r="73" spans="1:17">
      <c r="A73" s="23"/>
      <c r="B73" s="53">
        <v>63</v>
      </c>
      <c r="C73" s="58">
        <v>2504.85595703125</v>
      </c>
      <c r="D73" s="59">
        <v>16681970</v>
      </c>
      <c r="E73" s="59">
        <v>0</v>
      </c>
      <c r="F73" s="59">
        <v>-89.640663146972656</v>
      </c>
      <c r="G73" s="42">
        <v>0</v>
      </c>
      <c r="H73" s="23"/>
      <c r="I73" s="23"/>
      <c r="J73" s="99"/>
      <c r="K73" s="99"/>
      <c r="L73" s="99"/>
      <c r="M73" s="99"/>
      <c r="N73" s="43">
        <f t="shared" si="0"/>
        <v>2504.85595703125</v>
      </c>
      <c r="O73" s="43"/>
      <c r="P73" s="23"/>
      <c r="Q73" s="23"/>
    </row>
    <row r="74" spans="1:17">
      <c r="A74" s="23"/>
      <c r="B74" s="53">
        <v>64</v>
      </c>
      <c r="C74" s="58">
        <v>2677.701904296875</v>
      </c>
      <c r="D74" s="59">
        <v>15591760</v>
      </c>
      <c r="E74" s="59">
        <v>0</v>
      </c>
      <c r="F74" s="59">
        <v>-89.614028930664063</v>
      </c>
      <c r="G74" s="42">
        <v>0</v>
      </c>
      <c r="H74" s="23"/>
      <c r="I74" s="23"/>
      <c r="J74" s="99"/>
      <c r="K74" s="99"/>
      <c r="L74" s="99"/>
      <c r="M74" s="99"/>
      <c r="N74" s="43">
        <f t="shared" si="0"/>
        <v>2677.701904296875</v>
      </c>
      <c r="O74" s="43"/>
      <c r="P74" s="23"/>
      <c r="Q74" s="23"/>
    </row>
    <row r="75" spans="1:17">
      <c r="A75" s="23"/>
      <c r="B75" s="53">
        <v>65</v>
      </c>
      <c r="C75" s="58">
        <v>2862.47412109375</v>
      </c>
      <c r="D75" s="59">
        <v>14634050</v>
      </c>
      <c r="E75" s="59">
        <v>0</v>
      </c>
      <c r="F75" s="59">
        <v>-89.667823791503906</v>
      </c>
      <c r="G75" s="42">
        <v>0</v>
      </c>
      <c r="H75" s="23"/>
      <c r="I75" s="23"/>
      <c r="J75" s="99"/>
      <c r="K75" s="99"/>
      <c r="L75" s="99"/>
      <c r="M75" s="99"/>
      <c r="N75" s="43">
        <f t="shared" ref="N75:N138" si="1">IF($L$4=$C$10,C75,IF(D75="","",B75))</f>
        <v>2862.47412109375</v>
      </c>
      <c r="O75" s="43"/>
      <c r="P75" s="23"/>
      <c r="Q75" s="23"/>
    </row>
    <row r="76" spans="1:17">
      <c r="A76" s="23"/>
      <c r="B76" s="53">
        <v>66</v>
      </c>
      <c r="C76" s="58">
        <v>3059.9970703125</v>
      </c>
      <c r="D76" s="59">
        <v>13672630</v>
      </c>
      <c r="E76" s="59">
        <v>0</v>
      </c>
      <c r="F76" s="59">
        <v>-89.6519775390625</v>
      </c>
      <c r="G76" s="42">
        <v>0</v>
      </c>
      <c r="H76" s="23"/>
      <c r="I76" s="23"/>
      <c r="J76" s="99"/>
      <c r="K76" s="99"/>
      <c r="L76" s="99"/>
      <c r="M76" s="99"/>
      <c r="N76" s="43">
        <f t="shared" si="1"/>
        <v>3059.9970703125</v>
      </c>
      <c r="O76" s="43"/>
      <c r="P76" s="23"/>
      <c r="Q76" s="23"/>
    </row>
    <row r="77" spans="1:17">
      <c r="A77" s="23"/>
      <c r="B77" s="53">
        <v>67</v>
      </c>
      <c r="C77" s="58">
        <v>3271.14990234375</v>
      </c>
      <c r="D77" s="59">
        <v>12793790</v>
      </c>
      <c r="E77" s="59">
        <v>0</v>
      </c>
      <c r="F77" s="59">
        <v>-89.682670593261719</v>
      </c>
      <c r="G77" s="42">
        <v>0</v>
      </c>
      <c r="H77" s="23"/>
      <c r="I77" s="23"/>
      <c r="J77" s="99"/>
      <c r="K77" s="99"/>
      <c r="L77" s="99"/>
      <c r="M77" s="99"/>
      <c r="N77" s="43">
        <f t="shared" si="1"/>
        <v>3271.14990234375</v>
      </c>
      <c r="O77" s="43"/>
      <c r="P77" s="23"/>
      <c r="Q77" s="23"/>
    </row>
    <row r="78" spans="1:17">
      <c r="A78" s="23"/>
      <c r="B78" s="53">
        <v>68</v>
      </c>
      <c r="C78" s="58">
        <v>3496.8720703125</v>
      </c>
      <c r="D78" s="59">
        <v>11969210</v>
      </c>
      <c r="E78" s="59">
        <v>0</v>
      </c>
      <c r="F78" s="59">
        <v>-89.7181396484375</v>
      </c>
      <c r="G78" s="42">
        <v>0</v>
      </c>
      <c r="H78" s="23"/>
      <c r="I78" s="23"/>
      <c r="J78" s="99"/>
      <c r="K78" s="99"/>
      <c r="L78" s="99"/>
      <c r="M78" s="99"/>
      <c r="N78" s="43">
        <f t="shared" si="1"/>
        <v>3496.8720703125</v>
      </c>
      <c r="O78" s="43"/>
      <c r="P78" s="23"/>
      <c r="Q78" s="23"/>
    </row>
    <row r="79" spans="1:17">
      <c r="A79" s="23"/>
      <c r="B79" s="53">
        <v>69</v>
      </c>
      <c r="C79" s="58">
        <v>3738.1708984375</v>
      </c>
      <c r="D79" s="59">
        <v>11195070</v>
      </c>
      <c r="E79" s="59">
        <v>0</v>
      </c>
      <c r="F79" s="59">
        <v>-89.717262268066406</v>
      </c>
      <c r="G79" s="42">
        <v>0</v>
      </c>
      <c r="H79" s="23"/>
      <c r="I79" s="23"/>
      <c r="J79" s="99"/>
      <c r="K79" s="99"/>
      <c r="L79" s="99"/>
      <c r="M79" s="99"/>
      <c r="N79" s="43">
        <f t="shared" si="1"/>
        <v>3738.1708984375</v>
      </c>
      <c r="O79" s="43"/>
      <c r="P79" s="23"/>
      <c r="Q79" s="23"/>
    </row>
    <row r="80" spans="1:17">
      <c r="A80" s="23"/>
      <c r="B80" s="53">
        <v>70</v>
      </c>
      <c r="C80" s="58">
        <v>3996.12109375</v>
      </c>
      <c r="D80" s="59">
        <v>10484550</v>
      </c>
      <c r="E80" s="59">
        <v>0</v>
      </c>
      <c r="F80" s="59">
        <v>-89.722526550292969</v>
      </c>
      <c r="G80" s="42">
        <v>0</v>
      </c>
      <c r="H80" s="23"/>
      <c r="I80" s="23"/>
      <c r="J80" s="99"/>
      <c r="K80" s="99"/>
      <c r="L80" s="99"/>
      <c r="M80" s="99"/>
      <c r="N80" s="43">
        <f t="shared" si="1"/>
        <v>3996.12109375</v>
      </c>
      <c r="O80" s="43"/>
      <c r="P80" s="23"/>
      <c r="Q80" s="23"/>
    </row>
    <row r="81" spans="1:17">
      <c r="A81" s="23"/>
      <c r="B81" s="53">
        <v>71</v>
      </c>
      <c r="C81" s="58">
        <v>4271.8701171875</v>
      </c>
      <c r="D81" s="59">
        <v>9804845</v>
      </c>
      <c r="E81" s="59">
        <v>0</v>
      </c>
      <c r="F81" s="59">
        <v>-89.686447143554688</v>
      </c>
      <c r="G81" s="42">
        <v>0</v>
      </c>
      <c r="H81" s="23"/>
      <c r="I81" s="23"/>
      <c r="J81" s="99"/>
      <c r="K81" s="99"/>
      <c r="L81" s="99"/>
      <c r="M81" s="99"/>
      <c r="N81" s="43">
        <f t="shared" si="1"/>
        <v>4271.8701171875</v>
      </c>
      <c r="O81" s="43"/>
      <c r="P81" s="23"/>
      <c r="Q81" s="23"/>
    </row>
    <row r="82" spans="1:17">
      <c r="A82" s="23"/>
      <c r="B82" s="53">
        <v>72</v>
      </c>
      <c r="C82" s="58">
        <v>4566.64697265625</v>
      </c>
      <c r="D82" s="59">
        <v>9168988</v>
      </c>
      <c r="E82" s="59">
        <v>0</v>
      </c>
      <c r="F82" s="59">
        <v>-89.687576293945313</v>
      </c>
      <c r="G82" s="42">
        <v>0</v>
      </c>
      <c r="H82" s="23"/>
      <c r="I82" s="23"/>
      <c r="J82" s="99"/>
      <c r="K82" s="99"/>
      <c r="L82" s="99"/>
      <c r="M82" s="99"/>
      <c r="N82" s="43">
        <f t="shared" si="1"/>
        <v>4566.64697265625</v>
      </c>
      <c r="O82" s="43"/>
      <c r="P82" s="23"/>
      <c r="Q82" s="23"/>
    </row>
    <row r="83" spans="1:17">
      <c r="A83" s="23"/>
      <c r="B83" s="53">
        <v>73</v>
      </c>
      <c r="C83" s="58">
        <v>4881.76416015625</v>
      </c>
      <c r="D83" s="59">
        <v>8575844</v>
      </c>
      <c r="E83" s="59">
        <v>0</v>
      </c>
      <c r="F83" s="59">
        <v>-89.701683044433594</v>
      </c>
      <c r="G83" s="42">
        <v>0</v>
      </c>
      <c r="H83" s="23"/>
      <c r="I83" s="23"/>
      <c r="J83" s="99"/>
      <c r="K83" s="99"/>
      <c r="L83" s="99"/>
      <c r="M83" s="99"/>
      <c r="N83" s="43">
        <f t="shared" si="1"/>
        <v>4881.76416015625</v>
      </c>
      <c r="O83" s="43"/>
      <c r="P83" s="23"/>
      <c r="Q83" s="23"/>
    </row>
    <row r="84" spans="1:17">
      <c r="A84" s="23"/>
      <c r="B84" s="53">
        <v>74</v>
      </c>
      <c r="C84" s="58">
        <v>5218.6259765625</v>
      </c>
      <c r="D84" s="59">
        <v>8028832</v>
      </c>
      <c r="E84" s="59">
        <v>0</v>
      </c>
      <c r="F84" s="59">
        <v>-89.670730590820313</v>
      </c>
      <c r="G84" s="42">
        <v>0</v>
      </c>
      <c r="H84" s="23"/>
      <c r="I84" s="23"/>
      <c r="J84" s="99"/>
      <c r="K84" s="99"/>
      <c r="L84" s="99"/>
      <c r="M84" s="99"/>
      <c r="N84" s="43">
        <f t="shared" si="1"/>
        <v>5218.6259765625</v>
      </c>
      <c r="O84" s="43"/>
      <c r="P84" s="23"/>
      <c r="Q84" s="23"/>
    </row>
    <row r="85" spans="1:17">
      <c r="A85" s="23"/>
      <c r="B85" s="53">
        <v>75</v>
      </c>
      <c r="C85" s="58">
        <v>5578.73291015625</v>
      </c>
      <c r="D85" s="59">
        <v>7512571</v>
      </c>
      <c r="E85" s="59">
        <v>0</v>
      </c>
      <c r="F85" s="59">
        <v>-89.690696716308594</v>
      </c>
      <c r="G85" s="42">
        <v>0</v>
      </c>
      <c r="H85" s="23"/>
      <c r="I85" s="23"/>
      <c r="J85" s="99"/>
      <c r="K85" s="99"/>
      <c r="L85" s="99"/>
      <c r="M85" s="99"/>
      <c r="N85" s="43">
        <f t="shared" si="1"/>
        <v>5578.73291015625</v>
      </c>
      <c r="O85" s="43"/>
      <c r="P85" s="23"/>
      <c r="Q85" s="23"/>
    </row>
    <row r="86" spans="1:17">
      <c r="A86" s="23"/>
      <c r="B86" s="53">
        <v>76</v>
      </c>
      <c r="C86" s="58">
        <v>5963.68896484375</v>
      </c>
      <c r="D86" s="59">
        <v>7026853</v>
      </c>
      <c r="E86" s="59">
        <v>0</v>
      </c>
      <c r="F86" s="59">
        <v>-89.6876220703125</v>
      </c>
      <c r="G86" s="42">
        <v>0</v>
      </c>
      <c r="H86" s="23"/>
      <c r="I86" s="23"/>
      <c r="J86" s="99"/>
      <c r="K86" s="99"/>
      <c r="L86" s="99"/>
      <c r="M86" s="99"/>
      <c r="N86" s="43">
        <f t="shared" si="1"/>
        <v>5963.68896484375</v>
      </c>
      <c r="O86" s="43"/>
      <c r="P86" s="23"/>
      <c r="Q86" s="23"/>
    </row>
    <row r="87" spans="1:17">
      <c r="A87" s="23"/>
      <c r="B87" s="53">
        <v>77</v>
      </c>
      <c r="C87" s="58">
        <v>6375.208984375</v>
      </c>
      <c r="D87" s="59">
        <v>6573215</v>
      </c>
      <c r="E87" s="59">
        <v>0</v>
      </c>
      <c r="F87" s="59">
        <v>-89.717941284179688</v>
      </c>
      <c r="G87" s="42">
        <v>0</v>
      </c>
      <c r="H87" s="23"/>
      <c r="I87" s="23"/>
      <c r="J87" s="99"/>
      <c r="K87" s="99"/>
      <c r="L87" s="99"/>
      <c r="M87" s="99"/>
      <c r="N87" s="43">
        <f t="shared" si="1"/>
        <v>6375.208984375</v>
      </c>
      <c r="O87" s="43"/>
      <c r="P87" s="23"/>
      <c r="Q87" s="23"/>
    </row>
    <row r="88" spans="1:17">
      <c r="A88" s="23"/>
      <c r="B88" s="53">
        <v>78</v>
      </c>
      <c r="C88" s="58">
        <v>6815.125</v>
      </c>
      <c r="D88" s="59">
        <v>6148217</v>
      </c>
      <c r="E88" s="59">
        <v>0</v>
      </c>
      <c r="F88" s="59">
        <v>-89.714179992675781</v>
      </c>
      <c r="G88" s="42">
        <v>0</v>
      </c>
      <c r="H88" s="23"/>
      <c r="I88" s="23"/>
      <c r="J88" s="99"/>
      <c r="K88" s="99"/>
      <c r="L88" s="99"/>
      <c r="M88" s="99"/>
      <c r="N88" s="43">
        <f t="shared" si="1"/>
        <v>6815.125</v>
      </c>
      <c r="O88" s="43"/>
      <c r="P88" s="23"/>
      <c r="Q88" s="23"/>
    </row>
    <row r="89" spans="1:17">
      <c r="A89" s="23"/>
      <c r="B89" s="53">
        <v>79</v>
      </c>
      <c r="C89" s="58">
        <v>7285.39697265625</v>
      </c>
      <c r="D89" s="59">
        <v>5750358</v>
      </c>
      <c r="E89" s="59">
        <v>0</v>
      </c>
      <c r="F89" s="59">
        <v>-89.707321166992188</v>
      </c>
      <c r="G89" s="42">
        <v>0</v>
      </c>
      <c r="H89" s="23"/>
      <c r="I89" s="23"/>
      <c r="J89" s="99"/>
      <c r="K89" s="99"/>
      <c r="L89" s="99"/>
      <c r="M89" s="99"/>
      <c r="N89" s="43">
        <f t="shared" si="1"/>
        <v>7285.39697265625</v>
      </c>
      <c r="O89" s="43"/>
      <c r="P89" s="23"/>
      <c r="Q89" s="23"/>
    </row>
    <row r="90" spans="1:17">
      <c r="A90" s="23"/>
      <c r="B90" s="53">
        <v>80</v>
      </c>
      <c r="C90" s="58">
        <v>7788.119140625</v>
      </c>
      <c r="D90" s="59">
        <v>5378761</v>
      </c>
      <c r="E90" s="59">
        <v>0</v>
      </c>
      <c r="F90" s="59">
        <v>-89.702278137207031</v>
      </c>
      <c r="G90" s="42">
        <v>0</v>
      </c>
      <c r="H90" s="23"/>
      <c r="I90" s="23"/>
      <c r="J90" s="99"/>
      <c r="K90" s="99"/>
      <c r="L90" s="99"/>
      <c r="M90" s="99"/>
      <c r="N90" s="43">
        <f t="shared" si="1"/>
        <v>7788.119140625</v>
      </c>
      <c r="O90" s="43"/>
      <c r="P90" s="23"/>
      <c r="Q90" s="23"/>
    </row>
    <row r="91" spans="1:17">
      <c r="A91" s="23"/>
      <c r="B91" s="53">
        <v>81</v>
      </c>
      <c r="C91" s="58">
        <v>8325.5322265625</v>
      </c>
      <c r="D91" s="59">
        <v>5034592</v>
      </c>
      <c r="E91" s="59">
        <v>0</v>
      </c>
      <c r="F91" s="59">
        <v>-89.717430114746094</v>
      </c>
      <c r="G91" s="42">
        <v>0</v>
      </c>
      <c r="H91" s="23"/>
      <c r="I91" s="23"/>
      <c r="J91" s="99"/>
      <c r="K91" s="99"/>
      <c r="L91" s="99"/>
      <c r="M91" s="99"/>
      <c r="N91" s="43">
        <f t="shared" si="1"/>
        <v>8325.5322265625</v>
      </c>
      <c r="O91" s="43"/>
      <c r="P91" s="23"/>
      <c r="Q91" s="23"/>
    </row>
    <row r="92" spans="1:17">
      <c r="A92" s="23"/>
      <c r="B92" s="53">
        <v>82</v>
      </c>
      <c r="C92" s="58">
        <v>8900.029296875</v>
      </c>
      <c r="D92" s="59">
        <v>4710149</v>
      </c>
      <c r="E92" s="59">
        <v>0</v>
      </c>
      <c r="F92" s="59">
        <v>-89.707427978515625</v>
      </c>
      <c r="G92" s="42">
        <v>0</v>
      </c>
      <c r="H92" s="23"/>
      <c r="I92" s="23"/>
      <c r="J92" s="99"/>
      <c r="K92" s="99"/>
      <c r="L92" s="99"/>
      <c r="M92" s="99"/>
      <c r="N92" s="43">
        <f t="shared" si="1"/>
        <v>8900.029296875</v>
      </c>
      <c r="O92" s="43"/>
      <c r="P92" s="23"/>
      <c r="Q92" s="23"/>
    </row>
    <row r="93" spans="1:17">
      <c r="A93" s="23"/>
      <c r="B93" s="53">
        <v>83</v>
      </c>
      <c r="C93" s="58">
        <v>9514.16796875</v>
      </c>
      <c r="D93" s="59">
        <v>4408019</v>
      </c>
      <c r="E93" s="59">
        <v>0</v>
      </c>
      <c r="F93" s="59">
        <v>-89.732261657714844</v>
      </c>
      <c r="G93" s="42">
        <v>0</v>
      </c>
      <c r="H93" s="23"/>
      <c r="I93" s="23"/>
      <c r="J93" s="99"/>
      <c r="K93" s="99"/>
      <c r="L93" s="99"/>
      <c r="M93" s="99"/>
      <c r="N93" s="43">
        <f t="shared" si="1"/>
        <v>9514.16796875</v>
      </c>
      <c r="O93" s="43"/>
      <c r="P93" s="23"/>
      <c r="Q93" s="23"/>
    </row>
    <row r="94" spans="1:17">
      <c r="A94" s="23"/>
      <c r="B94" s="53">
        <v>84</v>
      </c>
      <c r="C94" s="58">
        <v>10170.6845703125</v>
      </c>
      <c r="D94" s="59">
        <v>4123758</v>
      </c>
      <c r="E94" s="59">
        <v>0</v>
      </c>
      <c r="F94" s="59">
        <v>-89.710357666015625</v>
      </c>
      <c r="G94" s="42">
        <v>0</v>
      </c>
      <c r="H94" s="23"/>
      <c r="I94" s="23"/>
      <c r="J94" s="99"/>
      <c r="K94" s="99"/>
      <c r="L94" s="99"/>
      <c r="M94" s="99"/>
      <c r="N94" s="43">
        <f t="shared" si="1"/>
        <v>10170.6845703125</v>
      </c>
      <c r="O94" s="43"/>
      <c r="P94" s="23"/>
      <c r="Q94" s="23"/>
    </row>
    <row r="95" spans="1:17">
      <c r="A95" s="23"/>
      <c r="B95" s="53">
        <v>85</v>
      </c>
      <c r="C95" s="58">
        <v>10872.5048828125</v>
      </c>
      <c r="D95" s="59">
        <v>3858115</v>
      </c>
      <c r="E95" s="59">
        <v>0</v>
      </c>
      <c r="F95" s="59">
        <v>-89.718948364257813</v>
      </c>
      <c r="G95" s="42">
        <v>0</v>
      </c>
      <c r="H95" s="23"/>
      <c r="I95" s="23"/>
      <c r="J95" s="99"/>
      <c r="K95" s="99"/>
      <c r="L95" s="99"/>
      <c r="M95" s="99"/>
      <c r="N95" s="43">
        <f t="shared" si="1"/>
        <v>10872.5048828125</v>
      </c>
      <c r="O95" s="43"/>
      <c r="P95" s="23"/>
      <c r="Q95" s="23"/>
    </row>
    <row r="96" spans="1:17">
      <c r="A96" s="23"/>
      <c r="B96" s="53">
        <v>86</v>
      </c>
      <c r="C96" s="58">
        <v>11622.7529296875</v>
      </c>
      <c r="D96" s="59">
        <v>3609161</v>
      </c>
      <c r="E96" s="59">
        <v>0</v>
      </c>
      <c r="F96" s="59">
        <v>-89.714126586914063</v>
      </c>
      <c r="G96" s="42">
        <v>0</v>
      </c>
      <c r="H96" s="23"/>
      <c r="I96" s="23"/>
      <c r="J96" s="99"/>
      <c r="K96" s="99"/>
      <c r="L96" s="99"/>
      <c r="M96" s="99"/>
      <c r="N96" s="43">
        <f t="shared" si="1"/>
        <v>11622.7529296875</v>
      </c>
      <c r="O96" s="43"/>
      <c r="P96" s="23"/>
      <c r="Q96" s="23"/>
    </row>
    <row r="97" spans="1:17">
      <c r="A97" s="23"/>
      <c r="B97" s="53">
        <v>87</v>
      </c>
      <c r="C97" s="58">
        <v>12424.771484375</v>
      </c>
      <c r="D97" s="59">
        <v>3377715</v>
      </c>
      <c r="E97" s="59">
        <v>0</v>
      </c>
      <c r="F97" s="59">
        <v>-89.740463256835938</v>
      </c>
      <c r="G97" s="42">
        <v>0</v>
      </c>
      <c r="H97" s="23"/>
      <c r="I97" s="23"/>
      <c r="J97" s="99"/>
      <c r="K97" s="99"/>
      <c r="L97" s="99"/>
      <c r="M97" s="99"/>
      <c r="N97" s="43">
        <f t="shared" si="1"/>
        <v>12424.771484375</v>
      </c>
      <c r="O97" s="43"/>
      <c r="P97" s="23"/>
      <c r="Q97" s="23"/>
    </row>
    <row r="98" spans="1:17">
      <c r="A98" s="23"/>
      <c r="B98" s="53">
        <v>88</v>
      </c>
      <c r="C98" s="58">
        <v>13282.1318359375</v>
      </c>
      <c r="D98" s="59">
        <v>3159608</v>
      </c>
      <c r="E98" s="59">
        <v>0</v>
      </c>
      <c r="F98" s="59">
        <v>-89.728370666503906</v>
      </c>
      <c r="G98" s="42">
        <v>0</v>
      </c>
      <c r="H98" s="23"/>
      <c r="I98" s="23"/>
      <c r="J98" s="99"/>
      <c r="K98" s="99"/>
      <c r="L98" s="99"/>
      <c r="M98" s="99"/>
      <c r="N98" s="43">
        <f t="shared" si="1"/>
        <v>13282.1318359375</v>
      </c>
      <c r="O98" s="43"/>
      <c r="P98" s="23"/>
      <c r="Q98" s="23"/>
    </row>
    <row r="99" spans="1:17">
      <c r="A99" s="23"/>
      <c r="B99" s="53">
        <v>89</v>
      </c>
      <c r="C99" s="58">
        <v>14198.6552734375</v>
      </c>
      <c r="D99" s="59">
        <v>2956402</v>
      </c>
      <c r="E99" s="59">
        <v>0</v>
      </c>
      <c r="F99" s="59">
        <v>-89.721199035644531</v>
      </c>
      <c r="G99" s="42">
        <v>0</v>
      </c>
      <c r="H99" s="23"/>
      <c r="I99" s="23"/>
      <c r="J99" s="99"/>
      <c r="K99" s="99"/>
      <c r="L99" s="99"/>
      <c r="M99" s="99"/>
      <c r="N99" s="43">
        <f t="shared" si="1"/>
        <v>14198.6552734375</v>
      </c>
      <c r="O99" s="43"/>
      <c r="P99" s="23"/>
      <c r="Q99" s="23"/>
    </row>
    <row r="100" spans="1:17">
      <c r="A100" s="23"/>
      <c r="B100" s="53">
        <v>90</v>
      </c>
      <c r="C100" s="58">
        <v>15178.4208984375</v>
      </c>
      <c r="D100" s="59">
        <v>2765745</v>
      </c>
      <c r="E100" s="59">
        <v>0</v>
      </c>
      <c r="F100" s="59">
        <v>-89.720008850097656</v>
      </c>
      <c r="G100" s="42">
        <v>0</v>
      </c>
      <c r="H100" s="23"/>
      <c r="I100" s="23"/>
      <c r="J100" s="99"/>
      <c r="K100" s="99"/>
      <c r="L100" s="99"/>
      <c r="M100" s="99"/>
      <c r="N100" s="43">
        <f t="shared" si="1"/>
        <v>15178.4208984375</v>
      </c>
      <c r="O100" s="43"/>
      <c r="P100" s="23"/>
      <c r="Q100" s="23"/>
    </row>
    <row r="101" spans="1:17">
      <c r="A101" s="23"/>
      <c r="B101" s="53">
        <v>91</v>
      </c>
      <c r="C101" s="58">
        <v>16225.7958984375</v>
      </c>
      <c r="D101" s="59">
        <v>2587522</v>
      </c>
      <c r="E101" s="59">
        <v>0</v>
      </c>
      <c r="F101" s="59">
        <v>-89.715347290039063</v>
      </c>
      <c r="G101" s="42">
        <v>0</v>
      </c>
      <c r="H101" s="23"/>
      <c r="I101" s="23"/>
      <c r="J101" s="99"/>
      <c r="K101" s="99"/>
      <c r="L101" s="99"/>
      <c r="M101" s="99"/>
      <c r="N101" s="43">
        <f t="shared" si="1"/>
        <v>16225.7958984375</v>
      </c>
      <c r="O101" s="43"/>
      <c r="P101" s="23"/>
      <c r="Q101" s="23"/>
    </row>
    <row r="102" spans="1:17">
      <c r="A102" s="23"/>
      <c r="B102" s="53">
        <v>92</v>
      </c>
      <c r="C102" s="58">
        <v>17345.443359375</v>
      </c>
      <c r="D102" s="59">
        <v>2421763</v>
      </c>
      <c r="E102" s="59">
        <v>0</v>
      </c>
      <c r="F102" s="59">
        <v>-89.71893310546875</v>
      </c>
      <c r="G102" s="42">
        <v>0</v>
      </c>
      <c r="H102" s="23"/>
      <c r="I102" s="23"/>
      <c r="J102" s="99"/>
      <c r="K102" s="99"/>
      <c r="L102" s="99"/>
      <c r="M102" s="99"/>
      <c r="N102" s="43">
        <f t="shared" si="1"/>
        <v>17345.443359375</v>
      </c>
      <c r="O102" s="43"/>
      <c r="P102" s="23"/>
      <c r="Q102" s="23"/>
    </row>
    <row r="103" spans="1:17">
      <c r="A103" s="23"/>
      <c r="B103" s="53">
        <v>93</v>
      </c>
      <c r="C103" s="58">
        <v>18542.3515625</v>
      </c>
      <c r="D103" s="59">
        <v>2265562</v>
      </c>
      <c r="E103" s="59">
        <v>0</v>
      </c>
      <c r="F103" s="59">
        <v>-89.718536376953125</v>
      </c>
      <c r="G103" s="42">
        <v>0</v>
      </c>
      <c r="H103" s="23"/>
      <c r="I103" s="23"/>
      <c r="J103" s="99"/>
      <c r="K103" s="99"/>
      <c r="L103" s="99"/>
      <c r="M103" s="99"/>
      <c r="N103" s="43">
        <f t="shared" si="1"/>
        <v>18542.3515625</v>
      </c>
      <c r="O103" s="43"/>
      <c r="P103" s="23"/>
      <c r="Q103" s="23"/>
    </row>
    <row r="104" spans="1:17">
      <c r="A104" s="23"/>
      <c r="B104" s="53">
        <v>94</v>
      </c>
      <c r="C104" s="58">
        <v>19821.8515625</v>
      </c>
      <c r="D104" s="59">
        <v>2119563</v>
      </c>
      <c r="E104" s="59">
        <v>0</v>
      </c>
      <c r="F104" s="59">
        <v>-89.719589233398438</v>
      </c>
      <c r="G104" s="42">
        <v>0</v>
      </c>
      <c r="H104" s="23"/>
      <c r="I104" s="23"/>
      <c r="J104" s="99"/>
      <c r="K104" s="99"/>
      <c r="L104" s="99"/>
      <c r="M104" s="99"/>
      <c r="N104" s="43">
        <f t="shared" si="1"/>
        <v>19821.8515625</v>
      </c>
      <c r="O104" s="43"/>
      <c r="P104" s="23"/>
      <c r="Q104" s="23"/>
    </row>
    <row r="105" spans="1:17">
      <c r="A105" s="23"/>
      <c r="B105" s="53">
        <v>95</v>
      </c>
      <c r="C105" s="58">
        <v>21189.640625</v>
      </c>
      <c r="D105" s="59">
        <v>1983005</v>
      </c>
      <c r="E105" s="59">
        <v>0</v>
      </c>
      <c r="F105" s="59">
        <v>-89.718528747558594</v>
      </c>
      <c r="G105" s="42">
        <v>0</v>
      </c>
      <c r="H105" s="23"/>
      <c r="I105" s="23"/>
      <c r="J105" s="99"/>
      <c r="K105" s="99"/>
      <c r="L105" s="99"/>
      <c r="M105" s="99"/>
      <c r="N105" s="43">
        <f t="shared" si="1"/>
        <v>21189.640625</v>
      </c>
      <c r="O105" s="43"/>
      <c r="P105" s="23"/>
      <c r="Q105" s="23"/>
    </row>
    <row r="106" spans="1:17">
      <c r="A106" s="23"/>
      <c r="B106" s="53">
        <v>96</v>
      </c>
      <c r="C106" s="58">
        <v>22651.814453125</v>
      </c>
      <c r="D106" s="59">
        <v>1855477</v>
      </c>
      <c r="E106" s="59">
        <v>0</v>
      </c>
      <c r="F106" s="59">
        <v>-89.716438293457031</v>
      </c>
      <c r="G106" s="42">
        <v>0</v>
      </c>
      <c r="H106" s="23"/>
      <c r="I106" s="23"/>
      <c r="J106" s="99"/>
      <c r="K106" s="99"/>
      <c r="L106" s="99"/>
      <c r="M106" s="99"/>
      <c r="N106" s="43">
        <f t="shared" si="1"/>
        <v>22651.814453125</v>
      </c>
      <c r="O106" s="43"/>
      <c r="P106" s="23"/>
      <c r="Q106" s="23"/>
    </row>
    <row r="107" spans="1:17">
      <c r="A107" s="23"/>
      <c r="B107" s="53">
        <v>97</v>
      </c>
      <c r="C107" s="58">
        <v>24214.884765625</v>
      </c>
      <c r="D107" s="59">
        <v>1735853</v>
      </c>
      <c r="E107" s="59">
        <v>0</v>
      </c>
      <c r="F107" s="59">
        <v>-89.723007202148438</v>
      </c>
      <c r="G107" s="42">
        <v>0</v>
      </c>
      <c r="H107" s="23"/>
      <c r="I107" s="23"/>
      <c r="J107" s="99"/>
      <c r="K107" s="99"/>
      <c r="L107" s="99"/>
      <c r="M107" s="99"/>
      <c r="N107" s="43">
        <f t="shared" si="1"/>
        <v>24214.884765625</v>
      </c>
      <c r="O107" s="43"/>
      <c r="P107" s="23"/>
      <c r="Q107" s="23"/>
    </row>
    <row r="108" spans="1:17">
      <c r="A108" s="23"/>
      <c r="B108" s="53">
        <v>98</v>
      </c>
      <c r="C108" s="58">
        <v>25885.8125</v>
      </c>
      <c r="D108" s="59">
        <v>1624295</v>
      </c>
      <c r="E108" s="59">
        <v>0</v>
      </c>
      <c r="F108" s="59">
        <v>-89.717643737792969</v>
      </c>
      <c r="G108" s="42">
        <v>0</v>
      </c>
      <c r="H108" s="23"/>
      <c r="I108" s="23"/>
      <c r="J108" s="99"/>
      <c r="K108" s="99"/>
      <c r="L108" s="99"/>
      <c r="M108" s="99"/>
      <c r="N108" s="43">
        <f t="shared" si="1"/>
        <v>25885.8125</v>
      </c>
      <c r="O108" s="43"/>
      <c r="P108" s="23"/>
      <c r="Q108" s="23"/>
    </row>
    <row r="109" spans="1:17">
      <c r="A109" s="23"/>
      <c r="B109" s="53">
        <v>99</v>
      </c>
      <c r="C109" s="58">
        <v>27672.041015625</v>
      </c>
      <c r="D109" s="59">
        <v>1519756</v>
      </c>
      <c r="E109" s="59">
        <v>0</v>
      </c>
      <c r="F109" s="59">
        <v>-89.722183227539063</v>
      </c>
      <c r="G109" s="42">
        <v>0</v>
      </c>
      <c r="H109" s="23"/>
      <c r="I109" s="23"/>
      <c r="J109" s="99"/>
      <c r="K109" s="99"/>
      <c r="L109" s="99"/>
      <c r="M109" s="99"/>
      <c r="N109" s="43">
        <f t="shared" si="1"/>
        <v>27672.041015625</v>
      </c>
      <c r="O109" s="43"/>
      <c r="P109" s="23"/>
      <c r="Q109" s="23"/>
    </row>
    <row r="110" spans="1:17">
      <c r="A110" s="23"/>
      <c r="B110" s="53">
        <v>100</v>
      </c>
      <c r="C110" s="58">
        <v>29581.52734375</v>
      </c>
      <c r="D110" s="59">
        <v>1421846</v>
      </c>
      <c r="E110" s="59">
        <v>0</v>
      </c>
      <c r="F110" s="59">
        <v>-89.714279174804688</v>
      </c>
      <c r="G110" s="42">
        <v>0</v>
      </c>
      <c r="H110" s="23"/>
      <c r="I110" s="23"/>
      <c r="J110" s="99"/>
      <c r="K110" s="99"/>
      <c r="L110" s="99"/>
      <c r="M110" s="99"/>
      <c r="N110" s="43">
        <f t="shared" si="1"/>
        <v>29581.52734375</v>
      </c>
      <c r="O110" s="43"/>
      <c r="P110" s="23"/>
      <c r="Q110" s="23"/>
    </row>
    <row r="111" spans="1:17">
      <c r="A111" s="23"/>
      <c r="B111" s="53">
        <v>101</v>
      </c>
      <c r="C111" s="58">
        <v>31622.77734375</v>
      </c>
      <c r="D111" s="59">
        <v>1330324</v>
      </c>
      <c r="E111" s="59">
        <v>0</v>
      </c>
      <c r="F111" s="59">
        <v>-89.720687866210938</v>
      </c>
      <c r="G111" s="42">
        <v>0</v>
      </c>
      <c r="H111" s="23"/>
      <c r="I111" s="23"/>
      <c r="J111" s="99"/>
      <c r="K111" s="99"/>
      <c r="L111" s="99"/>
      <c r="M111" s="99"/>
      <c r="N111" s="43">
        <f t="shared" si="1"/>
        <v>31622.77734375</v>
      </c>
      <c r="O111" s="43"/>
      <c r="P111" s="23"/>
      <c r="Q111" s="23"/>
    </row>
    <row r="112" spans="1:17">
      <c r="A112" s="23"/>
      <c r="B112" s="53">
        <v>102</v>
      </c>
      <c r="C112" s="58">
        <v>33804.87890625</v>
      </c>
      <c r="D112" s="59">
        <v>1244929</v>
      </c>
      <c r="E112" s="59">
        <v>0</v>
      </c>
      <c r="F112" s="59">
        <v>-89.717666625976563</v>
      </c>
      <c r="G112" s="42">
        <v>0</v>
      </c>
      <c r="H112" s="23"/>
      <c r="I112" s="23"/>
      <c r="J112" s="99"/>
      <c r="K112" s="99"/>
      <c r="L112" s="99"/>
      <c r="M112" s="99"/>
      <c r="N112" s="43">
        <f t="shared" si="1"/>
        <v>33804.87890625</v>
      </c>
      <c r="O112" s="43"/>
      <c r="P112" s="23"/>
      <c r="Q112" s="23"/>
    </row>
    <row r="113" spans="1:17">
      <c r="A113" s="23"/>
      <c r="B113" s="53">
        <v>103</v>
      </c>
      <c r="C113" s="58">
        <v>36137.55859375</v>
      </c>
      <c r="D113" s="59">
        <v>1164569</v>
      </c>
      <c r="E113" s="59">
        <v>0</v>
      </c>
      <c r="F113" s="59">
        <v>-89.717849731445313</v>
      </c>
      <c r="G113" s="42">
        <v>0</v>
      </c>
      <c r="H113" s="23"/>
      <c r="I113" s="23"/>
      <c r="J113" s="99"/>
      <c r="K113" s="99"/>
      <c r="L113" s="99"/>
      <c r="M113" s="99"/>
      <c r="N113" s="43">
        <f t="shared" si="1"/>
        <v>36137.55859375</v>
      </c>
      <c r="O113" s="43"/>
      <c r="P113" s="23"/>
      <c r="Q113" s="23"/>
    </row>
    <row r="114" spans="1:17">
      <c r="A114" s="23"/>
      <c r="B114" s="53">
        <v>104</v>
      </c>
      <c r="C114" s="58">
        <v>38631.19921875</v>
      </c>
      <c r="D114" s="59">
        <v>1089526</v>
      </c>
      <c r="E114" s="59">
        <v>0</v>
      </c>
      <c r="F114" s="59">
        <v>-89.709503173828125</v>
      </c>
      <c r="G114" s="42">
        <v>0</v>
      </c>
      <c r="H114" s="23"/>
      <c r="I114" s="23"/>
      <c r="J114" s="99"/>
      <c r="K114" s="99"/>
      <c r="L114" s="99"/>
      <c r="M114" s="99"/>
      <c r="N114" s="43">
        <f t="shared" si="1"/>
        <v>38631.19921875</v>
      </c>
      <c r="O114" s="43"/>
      <c r="P114" s="23"/>
      <c r="Q114" s="23"/>
    </row>
    <row r="115" spans="1:17">
      <c r="A115" s="23"/>
      <c r="B115" s="53">
        <v>105</v>
      </c>
      <c r="C115" s="58">
        <v>41296.9140625</v>
      </c>
      <c r="D115" s="59">
        <v>1019504</v>
      </c>
      <c r="E115" s="59">
        <v>0</v>
      </c>
      <c r="F115" s="59">
        <v>-89.716583251953125</v>
      </c>
      <c r="G115" s="42">
        <v>0</v>
      </c>
      <c r="H115" s="23"/>
      <c r="I115" s="23"/>
      <c r="J115" s="99"/>
      <c r="K115" s="99"/>
      <c r="L115" s="99"/>
      <c r="M115" s="99"/>
      <c r="N115" s="43">
        <f t="shared" si="1"/>
        <v>41296.9140625</v>
      </c>
      <c r="O115" s="43"/>
      <c r="P115" s="23"/>
      <c r="Q115" s="23"/>
    </row>
    <row r="116" spans="1:17">
      <c r="A116" s="23"/>
      <c r="B116" s="53">
        <v>106</v>
      </c>
      <c r="C116" s="58">
        <v>44146.57421875</v>
      </c>
      <c r="D116" s="59">
        <v>953788</v>
      </c>
      <c r="E116" s="59">
        <v>0</v>
      </c>
      <c r="F116" s="59">
        <v>-89.711082458496094</v>
      </c>
      <c r="G116" s="42">
        <v>0</v>
      </c>
      <c r="H116" s="23"/>
      <c r="I116" s="23"/>
      <c r="J116" s="99"/>
      <c r="K116" s="99"/>
      <c r="L116" s="99"/>
      <c r="M116" s="99"/>
      <c r="N116" s="43">
        <f t="shared" si="1"/>
        <v>44146.57421875</v>
      </c>
      <c r="O116" s="43"/>
      <c r="P116" s="23"/>
      <c r="Q116" s="23"/>
    </row>
    <row r="117" spans="1:17">
      <c r="A117" s="23"/>
      <c r="B117" s="53">
        <v>107</v>
      </c>
      <c r="C117" s="58">
        <v>47192.87109375</v>
      </c>
      <c r="D117" s="59">
        <v>892416.375</v>
      </c>
      <c r="E117" s="59">
        <v>0</v>
      </c>
      <c r="F117" s="59">
        <v>-89.698753356933594</v>
      </c>
      <c r="G117" s="42">
        <v>0</v>
      </c>
      <c r="H117" s="23"/>
      <c r="I117" s="23"/>
      <c r="J117" s="99"/>
      <c r="K117" s="99"/>
      <c r="L117" s="99"/>
      <c r="M117" s="99"/>
      <c r="N117" s="43">
        <f t="shared" si="1"/>
        <v>47192.87109375</v>
      </c>
      <c r="O117" s="43"/>
      <c r="P117" s="23"/>
      <c r="Q117" s="23"/>
    </row>
    <row r="118" spans="1:17">
      <c r="A118" s="23"/>
      <c r="B118" s="53">
        <v>108</v>
      </c>
      <c r="C118" s="58">
        <v>50449.375</v>
      </c>
      <c r="D118" s="59">
        <v>835067.125</v>
      </c>
      <c r="E118" s="59">
        <v>0</v>
      </c>
      <c r="F118" s="59">
        <v>-89.705802917480469</v>
      </c>
      <c r="G118" s="42">
        <v>0</v>
      </c>
      <c r="H118" s="23"/>
      <c r="I118" s="23"/>
      <c r="J118" s="99"/>
      <c r="K118" s="99"/>
      <c r="L118" s="99"/>
      <c r="M118" s="99"/>
      <c r="N118" s="43">
        <f t="shared" si="1"/>
        <v>50449.375</v>
      </c>
      <c r="O118" s="43"/>
      <c r="P118" s="23"/>
      <c r="Q118" s="23"/>
    </row>
    <row r="119" spans="1:17">
      <c r="A119" s="23"/>
      <c r="B119" s="53">
        <v>109</v>
      </c>
      <c r="C119" s="58">
        <v>53930.59375</v>
      </c>
      <c r="D119" s="59">
        <v>781290.125</v>
      </c>
      <c r="E119" s="59">
        <v>0</v>
      </c>
      <c r="F119" s="59">
        <v>-89.704933166503906</v>
      </c>
      <c r="G119" s="42">
        <v>0</v>
      </c>
      <c r="H119" s="23"/>
      <c r="I119" s="23"/>
      <c r="J119" s="99"/>
      <c r="K119" s="99"/>
      <c r="L119" s="99"/>
      <c r="M119" s="99"/>
      <c r="N119" s="43">
        <f t="shared" si="1"/>
        <v>53930.59375</v>
      </c>
      <c r="O119" s="43"/>
      <c r="P119" s="23"/>
      <c r="Q119" s="23"/>
    </row>
    <row r="120" spans="1:17">
      <c r="A120" s="23"/>
      <c r="B120" s="53">
        <v>110</v>
      </c>
      <c r="C120" s="58">
        <v>57652.03125</v>
      </c>
      <c r="D120" s="59">
        <v>731091.8125</v>
      </c>
      <c r="E120" s="59">
        <v>0</v>
      </c>
      <c r="F120" s="59">
        <v>-89.697860717773438</v>
      </c>
      <c r="G120" s="42">
        <v>0</v>
      </c>
      <c r="H120" s="23"/>
      <c r="I120" s="23"/>
      <c r="J120" s="99"/>
      <c r="K120" s="99"/>
      <c r="L120" s="99"/>
      <c r="M120" s="99"/>
      <c r="N120" s="43">
        <f t="shared" si="1"/>
        <v>57652.03125</v>
      </c>
      <c r="O120" s="43"/>
      <c r="P120" s="23"/>
      <c r="Q120" s="23"/>
    </row>
    <row r="121" spans="1:17">
      <c r="A121" s="23"/>
      <c r="B121" s="53">
        <v>111</v>
      </c>
      <c r="C121" s="58">
        <v>61630.26171875</v>
      </c>
      <c r="D121" s="59">
        <v>684031.625</v>
      </c>
      <c r="E121" s="59">
        <v>0</v>
      </c>
      <c r="F121" s="59">
        <v>-89.698356628417969</v>
      </c>
      <c r="G121" s="42">
        <v>0</v>
      </c>
      <c r="H121" s="23"/>
      <c r="I121" s="23"/>
      <c r="J121" s="99"/>
      <c r="K121" s="99"/>
      <c r="L121" s="99"/>
      <c r="M121" s="99"/>
      <c r="N121" s="43">
        <f t="shared" si="1"/>
        <v>61630.26171875</v>
      </c>
      <c r="O121" s="43"/>
      <c r="P121" s="23"/>
      <c r="Q121" s="23"/>
    </row>
    <row r="122" spans="1:17">
      <c r="A122" s="23"/>
      <c r="B122" s="53">
        <v>112</v>
      </c>
      <c r="C122" s="58">
        <v>65883.0078125</v>
      </c>
      <c r="D122" s="59">
        <v>640037.375</v>
      </c>
      <c r="E122" s="59">
        <v>0</v>
      </c>
      <c r="F122" s="59">
        <v>-89.700126647949219</v>
      </c>
      <c r="G122" s="42">
        <v>0</v>
      </c>
      <c r="H122" s="23"/>
      <c r="I122" s="23"/>
      <c r="J122" s="99"/>
      <c r="K122" s="99"/>
      <c r="L122" s="99"/>
      <c r="M122" s="99"/>
      <c r="N122" s="43">
        <f t="shared" si="1"/>
        <v>65883.0078125</v>
      </c>
      <c r="O122" s="43"/>
      <c r="P122" s="23"/>
      <c r="Q122" s="23"/>
    </row>
    <row r="123" spans="1:17">
      <c r="A123" s="23"/>
      <c r="B123" s="53">
        <v>113</v>
      </c>
      <c r="C123" s="58">
        <v>70429.203125</v>
      </c>
      <c r="D123" s="59">
        <v>598856.875</v>
      </c>
      <c r="E123" s="59">
        <v>0</v>
      </c>
      <c r="F123" s="59">
        <v>-89.699470520019531</v>
      </c>
      <c r="G123" s="42">
        <v>0</v>
      </c>
      <c r="H123" s="23"/>
      <c r="I123" s="23"/>
      <c r="J123" s="99"/>
      <c r="K123" s="99"/>
      <c r="L123" s="99"/>
      <c r="M123" s="99"/>
      <c r="N123" s="43">
        <f t="shared" si="1"/>
        <v>70429.203125</v>
      </c>
      <c r="O123" s="43"/>
      <c r="P123" s="23"/>
      <c r="Q123" s="23"/>
    </row>
    <row r="124" spans="1:17">
      <c r="A124" s="23"/>
      <c r="B124" s="53">
        <v>114</v>
      </c>
      <c r="C124" s="58">
        <v>75289.1171875</v>
      </c>
      <c r="D124" s="59">
        <v>560340.8125</v>
      </c>
      <c r="E124" s="59">
        <v>0</v>
      </c>
      <c r="F124" s="59">
        <v>-89.699653625488281</v>
      </c>
      <c r="G124" s="42">
        <v>0</v>
      </c>
      <c r="H124" s="23"/>
      <c r="I124" s="23"/>
      <c r="J124" s="99"/>
      <c r="K124" s="99"/>
      <c r="L124" s="99"/>
      <c r="M124" s="99"/>
      <c r="N124" s="43">
        <f t="shared" si="1"/>
        <v>75289.1171875</v>
      </c>
      <c r="O124" s="43"/>
      <c r="P124" s="23"/>
      <c r="Q124" s="23"/>
    </row>
    <row r="125" spans="1:17">
      <c r="A125" s="23"/>
      <c r="B125" s="53">
        <v>115</v>
      </c>
      <c r="C125" s="58">
        <v>80484.3828125</v>
      </c>
      <c r="D125" s="59">
        <v>524330.375</v>
      </c>
      <c r="E125" s="59">
        <v>0</v>
      </c>
      <c r="F125" s="59">
        <v>-89.701011657714844</v>
      </c>
      <c r="G125" s="42">
        <v>0</v>
      </c>
      <c r="H125" s="23"/>
      <c r="I125" s="23"/>
      <c r="J125" s="99"/>
      <c r="K125" s="99"/>
      <c r="L125" s="99"/>
      <c r="M125" s="99"/>
      <c r="N125" s="43">
        <f t="shared" si="1"/>
        <v>80484.3828125</v>
      </c>
      <c r="O125" s="43"/>
      <c r="P125" s="23"/>
      <c r="Q125" s="23"/>
    </row>
    <row r="126" spans="1:17">
      <c r="A126" s="23"/>
      <c r="B126" s="53">
        <v>116</v>
      </c>
      <c r="C126" s="58">
        <v>86038.140625</v>
      </c>
      <c r="D126" s="59">
        <v>490592.3125</v>
      </c>
      <c r="E126" s="59">
        <v>0</v>
      </c>
      <c r="F126" s="59">
        <v>-89.694198608398438</v>
      </c>
      <c r="G126" s="42">
        <v>0</v>
      </c>
      <c r="H126" s="23"/>
      <c r="I126" s="23"/>
      <c r="J126" s="99"/>
      <c r="K126" s="99"/>
      <c r="L126" s="99"/>
      <c r="M126" s="99"/>
      <c r="N126" s="43">
        <f t="shared" si="1"/>
        <v>86038.140625</v>
      </c>
      <c r="O126" s="43"/>
      <c r="P126" s="23"/>
      <c r="Q126" s="23"/>
    </row>
    <row r="127" spans="1:17">
      <c r="A127" s="23"/>
      <c r="B127" s="53">
        <v>117</v>
      </c>
      <c r="C127" s="58">
        <v>91975.125</v>
      </c>
      <c r="D127" s="59">
        <v>459043.5</v>
      </c>
      <c r="E127" s="59">
        <v>0</v>
      </c>
      <c r="F127" s="59">
        <v>-89.696983337402344</v>
      </c>
      <c r="G127" s="42">
        <v>0</v>
      </c>
      <c r="H127" s="23"/>
      <c r="I127" s="23"/>
      <c r="J127" s="99"/>
      <c r="K127" s="99"/>
      <c r="L127" s="99"/>
      <c r="M127" s="99"/>
      <c r="N127" s="43">
        <f t="shared" si="1"/>
        <v>91975.125</v>
      </c>
      <c r="O127" s="43"/>
      <c r="P127" s="23"/>
      <c r="Q127" s="23"/>
    </row>
    <row r="128" spans="1:17">
      <c r="A128" s="23"/>
      <c r="B128" s="53">
        <v>118</v>
      </c>
      <c r="C128" s="58">
        <v>98321.796875</v>
      </c>
      <c r="D128" s="59">
        <v>429548.59375</v>
      </c>
      <c r="E128" s="59">
        <v>0</v>
      </c>
      <c r="F128" s="59">
        <v>-89.687576293945313</v>
      </c>
      <c r="G128" s="42">
        <v>0</v>
      </c>
      <c r="H128" s="23"/>
      <c r="I128" s="23"/>
      <c r="J128" s="99"/>
      <c r="K128" s="99"/>
      <c r="L128" s="99"/>
      <c r="M128" s="99"/>
      <c r="N128" s="43">
        <f t="shared" si="1"/>
        <v>98321.796875</v>
      </c>
      <c r="O128" s="43"/>
      <c r="P128" s="23"/>
      <c r="Q128" s="23"/>
    </row>
    <row r="129" spans="1:17">
      <c r="A129" s="23"/>
      <c r="B129" s="53">
        <v>119</v>
      </c>
      <c r="C129" s="58">
        <v>105106.40625</v>
      </c>
      <c r="D129" s="59">
        <v>401933</v>
      </c>
      <c r="E129" s="59">
        <v>0</v>
      </c>
      <c r="F129" s="59">
        <v>-89.688880920410156</v>
      </c>
      <c r="G129" s="42">
        <v>0</v>
      </c>
      <c r="H129" s="23"/>
      <c r="I129" s="23"/>
      <c r="J129" s="99"/>
      <c r="K129" s="99"/>
      <c r="L129" s="99"/>
      <c r="M129" s="99"/>
      <c r="N129" s="43">
        <f t="shared" si="1"/>
        <v>105106.40625</v>
      </c>
      <c r="O129" s="43"/>
      <c r="P129" s="23"/>
      <c r="Q129" s="23"/>
    </row>
    <row r="130" spans="1:17">
      <c r="A130" s="23"/>
      <c r="B130" s="53">
        <v>120</v>
      </c>
      <c r="C130" s="58">
        <v>112359.1875</v>
      </c>
      <c r="D130" s="59">
        <v>376069.8125</v>
      </c>
      <c r="E130" s="59">
        <v>0</v>
      </c>
      <c r="F130" s="59">
        <v>-89.680732727050781</v>
      </c>
      <c r="G130" s="42">
        <v>0</v>
      </c>
      <c r="H130" s="23"/>
      <c r="I130" s="23"/>
      <c r="J130" s="99"/>
      <c r="K130" s="99"/>
      <c r="L130" s="99"/>
      <c r="M130" s="99"/>
      <c r="N130" s="43">
        <f t="shared" si="1"/>
        <v>112359.1875</v>
      </c>
      <c r="O130" s="43"/>
      <c r="P130" s="23"/>
      <c r="Q130" s="23"/>
    </row>
    <row r="131" spans="1:17">
      <c r="A131" s="23"/>
      <c r="B131" s="53">
        <v>121</v>
      </c>
      <c r="C131" s="58">
        <v>120112.4453125</v>
      </c>
      <c r="D131" s="59">
        <v>351889.8125</v>
      </c>
      <c r="E131" s="59">
        <v>0</v>
      </c>
      <c r="F131" s="59">
        <v>-89.683937072753906</v>
      </c>
      <c r="G131" s="42">
        <v>0</v>
      </c>
      <c r="H131" s="23"/>
      <c r="I131" s="23"/>
      <c r="J131" s="99"/>
      <c r="K131" s="99"/>
      <c r="L131" s="99"/>
      <c r="M131" s="99"/>
      <c r="N131" s="43">
        <f t="shared" si="1"/>
        <v>120112.4453125</v>
      </c>
      <c r="O131" s="43"/>
      <c r="P131" s="23"/>
      <c r="Q131" s="23"/>
    </row>
    <row r="132" spans="1:17">
      <c r="A132" s="23"/>
      <c r="B132" s="53">
        <v>122</v>
      </c>
      <c r="C132" s="58">
        <v>128400.703125</v>
      </c>
      <c r="D132" s="59">
        <v>329246</v>
      </c>
      <c r="E132" s="59">
        <v>0</v>
      </c>
      <c r="F132" s="59">
        <v>-89.685211181640625</v>
      </c>
      <c r="G132" s="42">
        <v>0</v>
      </c>
      <c r="H132" s="23"/>
      <c r="I132" s="23"/>
      <c r="J132" s="99"/>
      <c r="K132" s="99"/>
      <c r="L132" s="99"/>
      <c r="M132" s="99"/>
      <c r="N132" s="43">
        <f t="shared" si="1"/>
        <v>128400.703125</v>
      </c>
      <c r="O132" s="43"/>
      <c r="P132" s="23"/>
      <c r="Q132" s="23"/>
    </row>
    <row r="133" spans="1:17">
      <c r="A133" s="23"/>
      <c r="B133" s="53">
        <v>123</v>
      </c>
      <c r="C133" s="58">
        <v>137260.890625</v>
      </c>
      <c r="D133" s="59">
        <v>308068.6875</v>
      </c>
      <c r="E133" s="59">
        <v>0</v>
      </c>
      <c r="F133" s="59">
        <v>-89.679977416992188</v>
      </c>
      <c r="G133" s="42">
        <v>0</v>
      </c>
      <c r="H133" s="23"/>
      <c r="I133" s="23"/>
      <c r="J133" s="99"/>
      <c r="K133" s="99"/>
      <c r="L133" s="99"/>
      <c r="M133" s="99"/>
      <c r="N133" s="43">
        <f t="shared" si="1"/>
        <v>137260.890625</v>
      </c>
      <c r="O133" s="43"/>
      <c r="P133" s="23"/>
      <c r="Q133" s="23"/>
    </row>
    <row r="134" spans="1:17">
      <c r="A134" s="23"/>
      <c r="B134" s="53">
        <v>124</v>
      </c>
      <c r="C134" s="58">
        <v>146732.46875</v>
      </c>
      <c r="D134" s="59">
        <v>288252.8125</v>
      </c>
      <c r="E134" s="59">
        <v>0</v>
      </c>
      <c r="F134" s="59">
        <v>-89.67822265625</v>
      </c>
      <c r="G134" s="42">
        <v>0</v>
      </c>
      <c r="H134" s="23"/>
      <c r="I134" s="23"/>
      <c r="J134" s="99"/>
      <c r="K134" s="99"/>
      <c r="L134" s="99"/>
      <c r="M134" s="99"/>
      <c r="N134" s="43">
        <f t="shared" si="1"/>
        <v>146732.46875</v>
      </c>
      <c r="O134" s="43"/>
      <c r="P134" s="23"/>
      <c r="Q134" s="23"/>
    </row>
    <row r="135" spans="1:17">
      <c r="A135" s="23"/>
      <c r="B135" s="53">
        <v>125</v>
      </c>
      <c r="C135" s="58">
        <v>156857.609375</v>
      </c>
      <c r="D135" s="59">
        <v>269709</v>
      </c>
      <c r="E135" s="59">
        <v>0</v>
      </c>
      <c r="F135" s="59">
        <v>-89.682060241699219</v>
      </c>
      <c r="G135" s="42">
        <v>0</v>
      </c>
      <c r="H135" s="23"/>
      <c r="I135" s="23"/>
      <c r="J135" s="99"/>
      <c r="K135" s="99"/>
      <c r="L135" s="99"/>
      <c r="M135" s="99"/>
      <c r="N135" s="43">
        <f t="shared" si="1"/>
        <v>156857.609375</v>
      </c>
      <c r="O135" s="43"/>
      <c r="P135" s="23"/>
      <c r="Q135" s="23"/>
    </row>
    <row r="136" spans="1:17">
      <c r="A136" s="23"/>
      <c r="B136" s="53">
        <v>126</v>
      </c>
      <c r="C136" s="58">
        <v>167681.4375</v>
      </c>
      <c r="D136" s="59">
        <v>252316.703125</v>
      </c>
      <c r="E136" s="59">
        <v>0</v>
      </c>
      <c r="F136" s="59">
        <v>-89.665428161621094</v>
      </c>
      <c r="G136" s="42">
        <v>0</v>
      </c>
      <c r="H136" s="23"/>
      <c r="I136" s="23"/>
      <c r="J136" s="99"/>
      <c r="K136" s="99"/>
      <c r="L136" s="99"/>
      <c r="M136" s="99"/>
      <c r="N136" s="43">
        <f t="shared" si="1"/>
        <v>167681.4375</v>
      </c>
      <c r="O136" s="43"/>
      <c r="P136" s="23"/>
      <c r="Q136" s="23"/>
    </row>
    <row r="137" spans="1:17">
      <c r="A137" s="23"/>
      <c r="B137" s="53">
        <v>127</v>
      </c>
      <c r="C137" s="58">
        <v>179252.15625</v>
      </c>
      <c r="D137" s="59">
        <v>236096.703125</v>
      </c>
      <c r="E137" s="59">
        <v>0</v>
      </c>
      <c r="F137" s="59">
        <v>-89.662239074707031</v>
      </c>
      <c r="G137" s="42">
        <v>0</v>
      </c>
      <c r="H137" s="23"/>
      <c r="I137" s="23"/>
      <c r="J137" s="99"/>
      <c r="K137" s="99"/>
      <c r="L137" s="99"/>
      <c r="M137" s="99"/>
      <c r="N137" s="43">
        <f t="shared" si="1"/>
        <v>179252.15625</v>
      </c>
      <c r="O137" s="43"/>
      <c r="P137" s="23"/>
      <c r="Q137" s="23"/>
    </row>
    <row r="138" spans="1:17">
      <c r="A138" s="23"/>
      <c r="B138" s="53">
        <v>128</v>
      </c>
      <c r="C138" s="58">
        <v>191621.3125</v>
      </c>
      <c r="D138" s="59">
        <v>220919.296875</v>
      </c>
      <c r="E138" s="59">
        <v>0</v>
      </c>
      <c r="F138" s="59">
        <v>-89.664993286132813</v>
      </c>
      <c r="G138" s="42">
        <v>0</v>
      </c>
      <c r="H138" s="23"/>
      <c r="I138" s="23"/>
      <c r="J138" s="99"/>
      <c r="K138" s="99"/>
      <c r="L138" s="99"/>
      <c r="M138" s="99"/>
      <c r="N138" s="43">
        <f t="shared" si="1"/>
        <v>191621.3125</v>
      </c>
      <c r="O138" s="43"/>
      <c r="P138" s="23"/>
      <c r="Q138" s="23"/>
    </row>
    <row r="139" spans="1:17">
      <c r="A139" s="23"/>
      <c r="B139" s="53">
        <v>129</v>
      </c>
      <c r="C139" s="58">
        <v>204843.984375</v>
      </c>
      <c r="D139" s="59">
        <v>206731.40625</v>
      </c>
      <c r="E139" s="59">
        <v>0</v>
      </c>
      <c r="F139" s="59">
        <v>-89.660087585449219</v>
      </c>
      <c r="G139" s="42">
        <v>0</v>
      </c>
      <c r="H139" s="23"/>
      <c r="I139" s="23"/>
      <c r="J139" s="99"/>
      <c r="K139" s="99"/>
      <c r="L139" s="99"/>
      <c r="M139" s="99"/>
      <c r="N139" s="43">
        <f t="shared" ref="N139:N202" si="2">IF($L$4=$C$10,C139,IF(D139="","",B139))</f>
        <v>204843.984375</v>
      </c>
      <c r="O139" s="43"/>
      <c r="P139" s="23"/>
      <c r="Q139" s="23"/>
    </row>
    <row r="140" spans="1:17">
      <c r="A140" s="23"/>
      <c r="B140" s="53">
        <v>130</v>
      </c>
      <c r="C140" s="58">
        <v>218979.0625</v>
      </c>
      <c r="D140" s="59">
        <v>193411.296875</v>
      </c>
      <c r="E140" s="59">
        <v>0</v>
      </c>
      <c r="F140" s="59">
        <v>-89.6593017578125</v>
      </c>
      <c r="G140" s="42">
        <v>0</v>
      </c>
      <c r="H140" s="23"/>
      <c r="I140" s="23"/>
      <c r="J140" s="99"/>
      <c r="K140" s="99"/>
      <c r="L140" s="99"/>
      <c r="M140" s="99"/>
      <c r="N140" s="43">
        <f t="shared" si="2"/>
        <v>218979.0625</v>
      </c>
      <c r="O140" s="43"/>
      <c r="P140" s="23"/>
      <c r="Q140" s="23"/>
    </row>
    <row r="141" spans="1:17">
      <c r="A141" s="23"/>
      <c r="B141" s="53">
        <v>131</v>
      </c>
      <c r="C141" s="58">
        <v>234089.53125</v>
      </c>
      <c r="D141" s="59">
        <v>180983</v>
      </c>
      <c r="E141" s="59">
        <v>0</v>
      </c>
      <c r="F141" s="59">
        <v>-89.659111022949219</v>
      </c>
      <c r="G141" s="42">
        <v>0</v>
      </c>
      <c r="H141" s="23"/>
      <c r="I141" s="23"/>
      <c r="J141" s="99"/>
      <c r="K141" s="99"/>
      <c r="L141" s="99"/>
      <c r="M141" s="99"/>
      <c r="N141" s="43">
        <f t="shared" si="2"/>
        <v>234089.53125</v>
      </c>
      <c r="O141" s="43"/>
      <c r="P141" s="23"/>
      <c r="Q141" s="23"/>
    </row>
    <row r="142" spans="1:17">
      <c r="A142" s="23"/>
      <c r="B142" s="53">
        <v>132</v>
      </c>
      <c r="C142" s="58">
        <v>250242.6875</v>
      </c>
      <c r="D142" s="59">
        <v>169370.59375</v>
      </c>
      <c r="E142" s="59">
        <v>0</v>
      </c>
      <c r="F142" s="59">
        <v>-89.657333374023438</v>
      </c>
      <c r="G142" s="42">
        <v>0</v>
      </c>
      <c r="H142" s="23"/>
      <c r="I142" s="23"/>
      <c r="J142" s="99"/>
      <c r="K142" s="99"/>
      <c r="L142" s="99"/>
      <c r="M142" s="99"/>
      <c r="N142" s="43">
        <f t="shared" si="2"/>
        <v>250242.6875</v>
      </c>
      <c r="O142" s="43"/>
      <c r="P142" s="23"/>
      <c r="Q142" s="23"/>
    </row>
    <row r="143" spans="1:17">
      <c r="A143" s="23"/>
      <c r="B143" s="53">
        <v>133</v>
      </c>
      <c r="C143" s="58">
        <v>267510.46875</v>
      </c>
      <c r="D143" s="59">
        <v>158504.09375</v>
      </c>
      <c r="E143" s="59">
        <v>0</v>
      </c>
      <c r="F143" s="59">
        <v>-89.661163330078125</v>
      </c>
      <c r="G143" s="42">
        <v>0</v>
      </c>
      <c r="H143" s="23"/>
      <c r="I143" s="23"/>
      <c r="J143" s="99"/>
      <c r="K143" s="99"/>
      <c r="L143" s="99"/>
      <c r="M143" s="99"/>
      <c r="N143" s="43">
        <f t="shared" si="2"/>
        <v>267510.46875</v>
      </c>
      <c r="O143" s="43"/>
      <c r="P143" s="23"/>
      <c r="Q143" s="23"/>
    </row>
    <row r="144" spans="1:17">
      <c r="A144" s="23"/>
      <c r="B144" s="53">
        <v>134</v>
      </c>
      <c r="C144" s="58">
        <v>285969.8125</v>
      </c>
      <c r="D144" s="59">
        <v>148309.796875</v>
      </c>
      <c r="E144" s="59">
        <v>0</v>
      </c>
      <c r="F144" s="59">
        <v>-89.653549194335938</v>
      </c>
      <c r="G144" s="42">
        <v>0</v>
      </c>
      <c r="H144" s="23"/>
      <c r="I144" s="23"/>
      <c r="J144" s="99"/>
      <c r="K144" s="99"/>
      <c r="L144" s="99"/>
      <c r="M144" s="99"/>
      <c r="N144" s="43">
        <f t="shared" si="2"/>
        <v>285969.8125</v>
      </c>
      <c r="O144" s="43"/>
      <c r="P144" s="23"/>
      <c r="Q144" s="23"/>
    </row>
    <row r="145" spans="1:17">
      <c r="A145" s="23"/>
      <c r="B145" s="53">
        <v>135</v>
      </c>
      <c r="C145" s="58">
        <v>305702.9375</v>
      </c>
      <c r="D145" s="59">
        <v>138799.59375</v>
      </c>
      <c r="E145" s="59">
        <v>0</v>
      </c>
      <c r="F145" s="59">
        <v>-89.645103454589844</v>
      </c>
      <c r="G145" s="42">
        <v>0</v>
      </c>
      <c r="H145" s="23"/>
      <c r="I145" s="23"/>
      <c r="J145" s="99"/>
      <c r="K145" s="99"/>
      <c r="L145" s="99"/>
      <c r="M145" s="99"/>
      <c r="N145" s="43">
        <f t="shared" si="2"/>
        <v>305702.9375</v>
      </c>
      <c r="O145" s="43"/>
      <c r="P145" s="23"/>
      <c r="Q145" s="23"/>
    </row>
    <row r="146" spans="1:17">
      <c r="A146" s="23"/>
      <c r="B146" s="53">
        <v>136</v>
      </c>
      <c r="C146" s="58">
        <v>326797.71875</v>
      </c>
      <c r="D146" s="59">
        <v>129878.703125</v>
      </c>
      <c r="E146" s="59">
        <v>0</v>
      </c>
      <c r="F146" s="59">
        <v>-89.655197143554688</v>
      </c>
      <c r="G146" s="42">
        <v>0</v>
      </c>
      <c r="H146" s="23"/>
      <c r="I146" s="23"/>
      <c r="J146" s="99"/>
      <c r="K146" s="99"/>
      <c r="L146" s="99"/>
      <c r="M146" s="99"/>
      <c r="N146" s="43">
        <f t="shared" si="2"/>
        <v>326797.71875</v>
      </c>
      <c r="O146" s="43"/>
      <c r="P146" s="23"/>
      <c r="Q146" s="23"/>
    </row>
    <row r="147" spans="1:17">
      <c r="A147" s="23"/>
      <c r="B147" s="53">
        <v>137</v>
      </c>
      <c r="C147" s="58">
        <v>349348.125</v>
      </c>
      <c r="D147" s="59">
        <v>121543.6015625</v>
      </c>
      <c r="E147" s="59">
        <v>0</v>
      </c>
      <c r="F147" s="59">
        <v>-89.657020568847656</v>
      </c>
      <c r="G147" s="42">
        <v>0</v>
      </c>
      <c r="H147" s="23"/>
      <c r="I147" s="23"/>
      <c r="J147" s="99"/>
      <c r="K147" s="99"/>
      <c r="L147" s="99"/>
      <c r="M147" s="99"/>
      <c r="N147" s="43">
        <f t="shared" si="2"/>
        <v>349348.125</v>
      </c>
      <c r="O147" s="43"/>
      <c r="P147" s="23"/>
      <c r="Q147" s="23"/>
    </row>
    <row r="148" spans="1:17">
      <c r="A148" s="23"/>
      <c r="B148" s="53">
        <v>138</v>
      </c>
      <c r="C148" s="58">
        <v>373454.59375</v>
      </c>
      <c r="D148" s="59">
        <v>113733.203125</v>
      </c>
      <c r="E148" s="59">
        <v>0</v>
      </c>
      <c r="F148" s="59">
        <v>-89.650047302246094</v>
      </c>
      <c r="G148" s="42">
        <v>0</v>
      </c>
      <c r="H148" s="23"/>
      <c r="I148" s="23"/>
      <c r="J148" s="99"/>
      <c r="K148" s="99"/>
      <c r="L148" s="99"/>
      <c r="M148" s="99"/>
      <c r="N148" s="43">
        <f t="shared" si="2"/>
        <v>373454.59375</v>
      </c>
      <c r="O148" s="43"/>
      <c r="P148" s="23"/>
      <c r="Q148" s="23"/>
    </row>
    <row r="149" spans="1:17">
      <c r="A149" s="23"/>
      <c r="B149" s="53">
        <v>139</v>
      </c>
      <c r="C149" s="58">
        <v>399224.53125</v>
      </c>
      <c r="D149" s="59">
        <v>106429.296875</v>
      </c>
      <c r="E149" s="59">
        <v>0</v>
      </c>
      <c r="F149" s="59">
        <v>-89.653556823730469</v>
      </c>
      <c r="G149" s="42">
        <v>0</v>
      </c>
      <c r="H149" s="23"/>
      <c r="I149" s="23"/>
      <c r="J149" s="99"/>
      <c r="K149" s="99"/>
      <c r="L149" s="99"/>
      <c r="M149" s="99"/>
      <c r="N149" s="43">
        <f t="shared" si="2"/>
        <v>399224.53125</v>
      </c>
      <c r="O149" s="43"/>
      <c r="P149" s="23"/>
      <c r="Q149" s="23"/>
    </row>
    <row r="150" spans="1:17">
      <c r="A150" s="23"/>
      <c r="B150" s="53">
        <v>140</v>
      </c>
      <c r="C150" s="58">
        <v>426772.6875</v>
      </c>
      <c r="D150" s="59">
        <v>99597.3828125</v>
      </c>
      <c r="E150" s="59">
        <v>0</v>
      </c>
      <c r="F150" s="59">
        <v>-89.652008056640625</v>
      </c>
      <c r="G150" s="42">
        <v>0</v>
      </c>
      <c r="H150" s="23"/>
      <c r="I150" s="23"/>
      <c r="J150" s="99"/>
      <c r="K150" s="99"/>
      <c r="L150" s="99"/>
      <c r="M150" s="99"/>
      <c r="N150" s="43">
        <f t="shared" si="2"/>
        <v>426772.6875</v>
      </c>
      <c r="O150" s="43"/>
      <c r="P150" s="23"/>
      <c r="Q150" s="23"/>
    </row>
    <row r="151" spans="1:17">
      <c r="A151" s="23"/>
      <c r="B151" s="53">
        <v>141</v>
      </c>
      <c r="C151" s="58">
        <v>456221.78125</v>
      </c>
      <c r="D151" s="59">
        <v>93212.78125</v>
      </c>
      <c r="E151" s="59">
        <v>0</v>
      </c>
      <c r="F151" s="59">
        <v>-89.656562805175781</v>
      </c>
      <c r="G151" s="42">
        <v>0</v>
      </c>
      <c r="H151" s="23"/>
      <c r="I151" s="23"/>
      <c r="J151" s="99"/>
      <c r="K151" s="99"/>
      <c r="L151" s="99"/>
      <c r="M151" s="99"/>
      <c r="N151" s="43">
        <f t="shared" si="2"/>
        <v>456221.78125</v>
      </c>
      <c r="O151" s="43"/>
      <c r="P151" s="23"/>
      <c r="Q151" s="23"/>
    </row>
    <row r="152" spans="1:17">
      <c r="A152" s="23"/>
      <c r="B152" s="53">
        <v>142</v>
      </c>
      <c r="C152" s="58">
        <v>487702.96875</v>
      </c>
      <c r="D152" s="59">
        <v>87238.359375</v>
      </c>
      <c r="E152" s="59">
        <v>0</v>
      </c>
      <c r="F152" s="59">
        <v>-89.655296325683594</v>
      </c>
      <c r="G152" s="42">
        <v>0</v>
      </c>
      <c r="H152" s="23"/>
      <c r="I152" s="23"/>
      <c r="J152" s="99"/>
      <c r="K152" s="99"/>
      <c r="L152" s="99"/>
      <c r="M152" s="99"/>
      <c r="N152" s="43">
        <f t="shared" si="2"/>
        <v>487702.96875</v>
      </c>
      <c r="O152" s="43"/>
      <c r="P152" s="23"/>
      <c r="Q152" s="23"/>
    </row>
    <row r="153" spans="1:17">
      <c r="A153" s="23"/>
      <c r="B153" s="53">
        <v>143</v>
      </c>
      <c r="C153" s="58">
        <v>521356.5</v>
      </c>
      <c r="D153" s="59">
        <v>81642.9609375</v>
      </c>
      <c r="E153" s="59">
        <v>0</v>
      </c>
      <c r="F153" s="59">
        <v>-89.655723571777344</v>
      </c>
      <c r="G153" s="42">
        <v>0</v>
      </c>
      <c r="H153" s="23"/>
      <c r="I153" s="23"/>
      <c r="J153" s="99"/>
      <c r="K153" s="99"/>
      <c r="L153" s="99"/>
      <c r="M153" s="99"/>
      <c r="N153" s="43">
        <f t="shared" si="2"/>
        <v>521356.5</v>
      </c>
      <c r="O153" s="43"/>
      <c r="P153" s="23"/>
      <c r="Q153" s="23"/>
    </row>
    <row r="154" spans="1:17">
      <c r="A154" s="23"/>
      <c r="B154" s="53">
        <v>144</v>
      </c>
      <c r="C154" s="58">
        <v>557332.3125</v>
      </c>
      <c r="D154" s="59">
        <v>76413.4765625</v>
      </c>
      <c r="E154" s="59">
        <v>0</v>
      </c>
      <c r="F154" s="59">
        <v>-89.654960632324219</v>
      </c>
      <c r="G154" s="42">
        <v>0</v>
      </c>
      <c r="H154" s="23"/>
      <c r="I154" s="23"/>
      <c r="J154" s="99"/>
      <c r="K154" s="99"/>
      <c r="L154" s="99"/>
      <c r="M154" s="99"/>
      <c r="N154" s="43">
        <f t="shared" si="2"/>
        <v>557332.3125</v>
      </c>
      <c r="O154" s="43"/>
      <c r="P154" s="23"/>
      <c r="Q154" s="23"/>
    </row>
    <row r="155" spans="1:17">
      <c r="A155" s="23"/>
      <c r="B155" s="53">
        <v>145</v>
      </c>
      <c r="C155" s="58">
        <v>595790.5625</v>
      </c>
      <c r="D155" s="59">
        <v>71523.546875</v>
      </c>
      <c r="E155" s="59">
        <v>0</v>
      </c>
      <c r="F155" s="59">
        <v>-89.658126831054688</v>
      </c>
      <c r="G155" s="42">
        <v>0</v>
      </c>
      <c r="H155" s="23"/>
      <c r="I155" s="23"/>
      <c r="J155" s="99"/>
      <c r="K155" s="99"/>
      <c r="L155" s="99"/>
      <c r="M155" s="99"/>
      <c r="N155" s="43">
        <f t="shared" si="2"/>
        <v>595790.5625</v>
      </c>
      <c r="O155" s="43"/>
      <c r="P155" s="23"/>
      <c r="Q155" s="23"/>
    </row>
    <row r="156" spans="1:17">
      <c r="A156" s="23"/>
      <c r="B156" s="53">
        <v>146</v>
      </c>
      <c r="C156" s="58">
        <v>636902.5625</v>
      </c>
      <c r="D156" s="59">
        <v>66944.390625</v>
      </c>
      <c r="E156" s="59">
        <v>0</v>
      </c>
      <c r="F156" s="59">
        <v>-89.665840148925781</v>
      </c>
      <c r="G156" s="42">
        <v>0</v>
      </c>
      <c r="H156" s="23"/>
      <c r="I156" s="23"/>
      <c r="J156" s="99"/>
      <c r="K156" s="99"/>
      <c r="L156" s="99"/>
      <c r="M156" s="99"/>
      <c r="N156" s="43">
        <f t="shared" si="2"/>
        <v>636902.5625</v>
      </c>
      <c r="O156" s="43"/>
      <c r="P156" s="23"/>
      <c r="Q156" s="23"/>
    </row>
    <row r="157" spans="1:17">
      <c r="A157" s="23"/>
      <c r="B157" s="53">
        <v>147</v>
      </c>
      <c r="C157" s="58">
        <v>680851.5</v>
      </c>
      <c r="D157" s="59">
        <v>62662.48828125</v>
      </c>
      <c r="E157" s="59">
        <v>0</v>
      </c>
      <c r="F157" s="59">
        <v>-89.668411254882813</v>
      </c>
      <c r="G157" s="42">
        <v>0</v>
      </c>
      <c r="H157" s="23"/>
      <c r="I157" s="23"/>
      <c r="J157" s="99"/>
      <c r="K157" s="99"/>
      <c r="L157" s="99"/>
      <c r="M157" s="99"/>
      <c r="N157" s="43">
        <f t="shared" si="2"/>
        <v>680851.5</v>
      </c>
      <c r="O157" s="43"/>
      <c r="P157" s="23"/>
      <c r="Q157" s="23"/>
    </row>
    <row r="158" spans="1:17">
      <c r="A158" s="23"/>
      <c r="B158" s="53">
        <v>148</v>
      </c>
      <c r="C158" s="58">
        <v>727833.125</v>
      </c>
      <c r="D158" s="59">
        <v>58660.55859375</v>
      </c>
      <c r="E158" s="59">
        <v>0</v>
      </c>
      <c r="F158" s="59">
        <v>-89.669090270996094</v>
      </c>
      <c r="G158" s="42">
        <v>0</v>
      </c>
      <c r="H158" s="23"/>
      <c r="I158" s="23"/>
      <c r="J158" s="99"/>
      <c r="K158" s="99"/>
      <c r="L158" s="99"/>
      <c r="M158" s="99"/>
      <c r="N158" s="43">
        <f t="shared" si="2"/>
        <v>727833.125</v>
      </c>
      <c r="O158" s="43"/>
      <c r="P158" s="23"/>
      <c r="Q158" s="23"/>
    </row>
    <row r="159" spans="1:17">
      <c r="A159" s="23"/>
      <c r="B159" s="53">
        <v>149</v>
      </c>
      <c r="C159" s="58">
        <v>778056.625</v>
      </c>
      <c r="D159" s="59">
        <v>54912.828125</v>
      </c>
      <c r="E159" s="59">
        <v>0</v>
      </c>
      <c r="F159" s="59">
        <v>-89.670356750488281</v>
      </c>
      <c r="G159" s="42">
        <v>0</v>
      </c>
      <c r="H159" s="23"/>
      <c r="I159" s="23"/>
      <c r="J159" s="99"/>
      <c r="K159" s="99"/>
      <c r="L159" s="99"/>
      <c r="M159" s="99"/>
      <c r="N159" s="43">
        <f t="shared" si="2"/>
        <v>778056.625</v>
      </c>
      <c r="O159" s="43"/>
      <c r="P159" s="23"/>
      <c r="Q159" s="23"/>
    </row>
    <row r="160" spans="1:17">
      <c r="A160" s="23"/>
      <c r="B160" s="53">
        <v>150</v>
      </c>
      <c r="C160" s="58">
        <v>831745.75</v>
      </c>
      <c r="D160" s="59">
        <v>51404.9609375</v>
      </c>
      <c r="E160" s="59">
        <v>0</v>
      </c>
      <c r="F160" s="59">
        <v>-89.672470092773438</v>
      </c>
      <c r="G160" s="42">
        <v>0</v>
      </c>
      <c r="H160" s="23"/>
      <c r="I160" s="23"/>
      <c r="J160" s="99"/>
      <c r="K160" s="99"/>
      <c r="L160" s="99"/>
      <c r="M160" s="99"/>
      <c r="N160" s="43">
        <f t="shared" si="2"/>
        <v>831745.75</v>
      </c>
      <c r="O160" s="43"/>
      <c r="P160" s="23"/>
      <c r="Q160" s="23"/>
    </row>
    <row r="161" spans="1:17">
      <c r="A161" s="23"/>
      <c r="B161" s="53">
        <v>151</v>
      </c>
      <c r="C161" s="58">
        <v>889139.6875</v>
      </c>
      <c r="D161" s="59">
        <v>48134.30859375</v>
      </c>
      <c r="E161" s="59">
        <v>0</v>
      </c>
      <c r="F161" s="59">
        <v>-89.679763793945313</v>
      </c>
      <c r="G161" s="42">
        <v>0</v>
      </c>
      <c r="H161" s="23"/>
      <c r="I161" s="23"/>
      <c r="J161" s="99"/>
      <c r="K161" s="99"/>
      <c r="L161" s="99"/>
      <c r="M161" s="99"/>
      <c r="N161" s="43">
        <f t="shared" si="2"/>
        <v>889139.6875</v>
      </c>
      <c r="O161" s="43"/>
      <c r="P161" s="23"/>
      <c r="Q161" s="23"/>
    </row>
    <row r="162" spans="1:17">
      <c r="A162" s="23"/>
      <c r="B162" s="53">
        <v>152</v>
      </c>
      <c r="C162" s="58">
        <v>950494.0625</v>
      </c>
      <c r="D162" s="59">
        <v>45077.44921875</v>
      </c>
      <c r="E162" s="59">
        <v>0</v>
      </c>
      <c r="F162" s="59">
        <v>-89.691513061523438</v>
      </c>
      <c r="G162" s="42">
        <v>0</v>
      </c>
      <c r="H162" s="23"/>
      <c r="I162" s="23"/>
      <c r="J162" s="99"/>
      <c r="K162" s="99"/>
      <c r="L162" s="99"/>
      <c r="M162" s="99"/>
      <c r="N162" s="43">
        <f t="shared" si="2"/>
        <v>950494.0625</v>
      </c>
      <c r="O162" s="43"/>
      <c r="P162" s="23"/>
      <c r="Q162" s="23"/>
    </row>
    <row r="163" spans="1:17">
      <c r="A163" s="23"/>
      <c r="B163" s="53">
        <v>153</v>
      </c>
      <c r="C163" s="58">
        <v>1016082.125</v>
      </c>
      <c r="D163" s="59">
        <v>42206.58984375</v>
      </c>
      <c r="E163" s="59">
        <v>0</v>
      </c>
      <c r="F163" s="59">
        <v>-89.700576782226563</v>
      </c>
      <c r="G163" s="42">
        <v>0</v>
      </c>
      <c r="H163" s="23"/>
      <c r="I163" s="23"/>
      <c r="J163" s="99"/>
      <c r="K163" s="99"/>
      <c r="L163" s="99"/>
      <c r="M163" s="99"/>
      <c r="N163" s="43">
        <f t="shared" si="2"/>
        <v>1016082.125</v>
      </c>
      <c r="O163" s="43"/>
      <c r="P163" s="23"/>
      <c r="Q163" s="23"/>
    </row>
    <row r="164" spans="1:17">
      <c r="A164" s="23"/>
      <c r="B164" s="53">
        <v>154</v>
      </c>
      <c r="C164" s="58">
        <v>1086196</v>
      </c>
      <c r="D164" s="59">
        <v>39534.421875</v>
      </c>
      <c r="E164" s="59">
        <v>0</v>
      </c>
      <c r="F164" s="59">
        <v>-89.705223083496094</v>
      </c>
      <c r="G164" s="42">
        <v>0</v>
      </c>
      <c r="H164" s="23"/>
      <c r="I164" s="23"/>
      <c r="J164" s="99"/>
      <c r="K164" s="99"/>
      <c r="L164" s="99"/>
      <c r="M164" s="99"/>
      <c r="N164" s="43">
        <f t="shared" si="2"/>
        <v>1086196</v>
      </c>
      <c r="O164" s="43"/>
      <c r="P164" s="23"/>
      <c r="Q164" s="23"/>
    </row>
    <row r="165" spans="1:17">
      <c r="A165" s="23"/>
      <c r="B165" s="53">
        <v>155</v>
      </c>
      <c r="C165" s="58">
        <v>1161148.125</v>
      </c>
      <c r="D165" s="59">
        <v>37046.3203125</v>
      </c>
      <c r="E165" s="59">
        <v>0</v>
      </c>
      <c r="F165" s="59">
        <v>-89.691452026367188</v>
      </c>
      <c r="G165" s="42">
        <v>0</v>
      </c>
      <c r="H165" s="23"/>
      <c r="I165" s="23"/>
      <c r="J165" s="99"/>
      <c r="K165" s="99"/>
      <c r="L165" s="99"/>
      <c r="M165" s="99"/>
      <c r="N165" s="43">
        <f t="shared" si="2"/>
        <v>1161148.125</v>
      </c>
      <c r="O165" s="43"/>
      <c r="P165" s="23"/>
      <c r="Q165" s="23"/>
    </row>
    <row r="166" spans="1:17">
      <c r="A166" s="23"/>
      <c r="B166" s="53">
        <v>156</v>
      </c>
      <c r="C166" s="58">
        <v>1241272.125</v>
      </c>
      <c r="D166" s="59">
        <v>34696.671875</v>
      </c>
      <c r="E166" s="59">
        <v>0</v>
      </c>
      <c r="F166" s="59">
        <v>-89.700439453125</v>
      </c>
      <c r="G166" s="42">
        <v>0</v>
      </c>
      <c r="H166" s="23"/>
      <c r="I166" s="23"/>
      <c r="J166" s="99"/>
      <c r="K166" s="99"/>
      <c r="L166" s="99"/>
      <c r="M166" s="99"/>
      <c r="N166" s="43">
        <f t="shared" si="2"/>
        <v>1241272.125</v>
      </c>
      <c r="O166" s="43"/>
      <c r="P166" s="23"/>
      <c r="Q166" s="23"/>
    </row>
    <row r="167" spans="1:17">
      <c r="A167" s="23"/>
      <c r="B167" s="53">
        <v>157</v>
      </c>
      <c r="C167" s="58">
        <v>1326925.125</v>
      </c>
      <c r="D167" s="59">
        <v>32503.75</v>
      </c>
      <c r="E167" s="59">
        <v>0</v>
      </c>
      <c r="F167" s="59">
        <v>-89.716453552246094</v>
      </c>
      <c r="G167" s="42">
        <v>0</v>
      </c>
      <c r="H167" s="23"/>
      <c r="I167" s="23"/>
      <c r="J167" s="99"/>
      <c r="K167" s="99"/>
      <c r="L167" s="99"/>
      <c r="M167" s="99"/>
      <c r="N167" s="43">
        <f t="shared" si="2"/>
        <v>1326925.125</v>
      </c>
      <c r="O167" s="43"/>
      <c r="P167" s="23"/>
      <c r="Q167" s="23"/>
    </row>
    <row r="168" spans="1:17">
      <c r="A168" s="23"/>
      <c r="B168" s="53">
        <v>158</v>
      </c>
      <c r="C168" s="58">
        <v>1418488.5</v>
      </c>
      <c r="D168" s="59">
        <v>30457.9609375</v>
      </c>
      <c r="E168" s="59">
        <v>0</v>
      </c>
      <c r="F168" s="59">
        <v>-89.722068786621094</v>
      </c>
      <c r="G168" s="42">
        <v>0</v>
      </c>
      <c r="H168" s="23"/>
      <c r="I168" s="23"/>
      <c r="J168" s="99"/>
      <c r="K168" s="99"/>
      <c r="L168" s="99"/>
      <c r="M168" s="99"/>
      <c r="N168" s="43">
        <f t="shared" si="2"/>
        <v>1418488.5</v>
      </c>
      <c r="O168" s="43"/>
      <c r="P168" s="23"/>
      <c r="Q168" s="23"/>
    </row>
    <row r="169" spans="1:17">
      <c r="A169" s="23"/>
      <c r="B169" s="53">
        <v>159</v>
      </c>
      <c r="C169" s="58">
        <v>1516370.125</v>
      </c>
      <c r="D169" s="59">
        <v>28556.75</v>
      </c>
      <c r="E169" s="59">
        <v>0</v>
      </c>
      <c r="F169" s="59">
        <v>-89.739158630371094</v>
      </c>
      <c r="G169" s="42">
        <v>0</v>
      </c>
      <c r="H169" s="23"/>
      <c r="I169" s="23"/>
      <c r="J169" s="99"/>
      <c r="K169" s="99"/>
      <c r="L169" s="99"/>
      <c r="M169" s="99"/>
      <c r="N169" s="43">
        <f t="shared" si="2"/>
        <v>1516370.125</v>
      </c>
      <c r="O169" s="43"/>
      <c r="P169" s="23"/>
      <c r="Q169" s="23"/>
    </row>
    <row r="170" spans="1:17">
      <c r="A170" s="23"/>
      <c r="B170" s="53">
        <v>160</v>
      </c>
      <c r="C170" s="58">
        <v>1621005.875</v>
      </c>
      <c r="D170" s="59">
        <v>26774.08984375</v>
      </c>
      <c r="E170" s="59">
        <v>0</v>
      </c>
      <c r="F170" s="59">
        <v>-89.755821228027344</v>
      </c>
      <c r="G170" s="42">
        <v>0</v>
      </c>
      <c r="H170" s="23"/>
      <c r="I170" s="23"/>
      <c r="J170" s="99"/>
      <c r="K170" s="99"/>
      <c r="L170" s="99"/>
      <c r="M170" s="99"/>
      <c r="N170" s="43">
        <f t="shared" si="2"/>
        <v>1621005.875</v>
      </c>
      <c r="O170" s="43"/>
      <c r="P170" s="23"/>
      <c r="Q170" s="23"/>
    </row>
    <row r="171" spans="1:17">
      <c r="A171" s="23"/>
      <c r="B171" s="53">
        <v>161</v>
      </c>
      <c r="C171" s="58">
        <v>1732862.125</v>
      </c>
      <c r="D171" s="59">
        <v>25105.880859375</v>
      </c>
      <c r="E171" s="59">
        <v>0</v>
      </c>
      <c r="F171" s="59">
        <v>-89.774620056152344</v>
      </c>
      <c r="G171" s="42">
        <v>0</v>
      </c>
      <c r="H171" s="23"/>
      <c r="I171" s="23"/>
      <c r="J171" s="99"/>
      <c r="K171" s="99"/>
      <c r="L171" s="99"/>
      <c r="M171" s="99"/>
      <c r="N171" s="43">
        <f t="shared" si="2"/>
        <v>1732862.125</v>
      </c>
      <c r="O171" s="43"/>
      <c r="P171" s="23"/>
      <c r="Q171" s="23"/>
    </row>
    <row r="172" spans="1:17">
      <c r="A172" s="23"/>
      <c r="B172" s="53">
        <v>162</v>
      </c>
      <c r="C172" s="58">
        <v>1852436.875</v>
      </c>
      <c r="D172" s="59">
        <v>23546.44921875</v>
      </c>
      <c r="E172" s="59">
        <v>0</v>
      </c>
      <c r="F172" s="59">
        <v>-89.787109375</v>
      </c>
      <c r="G172" s="42">
        <v>0</v>
      </c>
      <c r="H172" s="23"/>
      <c r="I172" s="23"/>
      <c r="J172" s="99"/>
      <c r="K172" s="99"/>
      <c r="L172" s="99"/>
      <c r="M172" s="99"/>
      <c r="N172" s="43">
        <f t="shared" si="2"/>
        <v>1852436.875</v>
      </c>
      <c r="O172" s="43"/>
      <c r="P172" s="23"/>
      <c r="Q172" s="23"/>
    </row>
    <row r="173" spans="1:17">
      <c r="A173" s="23"/>
      <c r="B173" s="53">
        <v>163</v>
      </c>
      <c r="C173" s="58">
        <v>1980262.75</v>
      </c>
      <c r="D173" s="59">
        <v>22094.859375</v>
      </c>
      <c r="E173" s="59">
        <v>0</v>
      </c>
      <c r="F173" s="59">
        <v>-89.813430786132813</v>
      </c>
      <c r="G173" s="42">
        <v>0</v>
      </c>
      <c r="H173" s="23"/>
      <c r="I173" s="23"/>
      <c r="J173" s="99"/>
      <c r="K173" s="99"/>
      <c r="L173" s="99"/>
      <c r="M173" s="99"/>
      <c r="N173" s="43">
        <f t="shared" si="2"/>
        <v>1980262.75</v>
      </c>
      <c r="O173" s="43"/>
      <c r="P173" s="23"/>
      <c r="Q173" s="23"/>
    </row>
    <row r="174" spans="1:17">
      <c r="A174" s="23"/>
      <c r="B174" s="53">
        <v>164</v>
      </c>
      <c r="C174" s="58">
        <v>2116909</v>
      </c>
      <c r="D174" s="59">
        <v>20741.1796875</v>
      </c>
      <c r="E174" s="59">
        <v>0</v>
      </c>
      <c r="F174" s="59">
        <v>-89.836029052734375</v>
      </c>
      <c r="G174" s="42">
        <v>0</v>
      </c>
      <c r="H174" s="23"/>
      <c r="I174" s="23"/>
      <c r="J174" s="99"/>
      <c r="K174" s="99"/>
      <c r="L174" s="99"/>
      <c r="M174" s="99"/>
      <c r="N174" s="43">
        <f t="shared" si="2"/>
        <v>2116909</v>
      </c>
      <c r="O174" s="43"/>
      <c r="P174" s="23"/>
      <c r="Q174" s="23"/>
    </row>
    <row r="175" spans="1:17">
      <c r="A175" s="23"/>
      <c r="B175" s="53">
        <v>165</v>
      </c>
      <c r="C175" s="58">
        <v>2262984.75</v>
      </c>
      <c r="D175" s="59">
        <v>19482.810546875</v>
      </c>
      <c r="E175" s="59">
        <v>0</v>
      </c>
      <c r="F175" s="59">
        <v>-89.864433288574219</v>
      </c>
      <c r="G175" s="42">
        <v>0</v>
      </c>
      <c r="H175" s="23"/>
      <c r="I175" s="23"/>
      <c r="J175" s="99"/>
      <c r="K175" s="99"/>
      <c r="L175" s="99"/>
      <c r="M175" s="99"/>
      <c r="N175" s="43">
        <f t="shared" si="2"/>
        <v>2262984.75</v>
      </c>
      <c r="O175" s="43"/>
      <c r="P175" s="23"/>
      <c r="Q175" s="23"/>
    </row>
    <row r="176" spans="1:17">
      <c r="A176" s="23"/>
      <c r="B176" s="53">
        <v>166</v>
      </c>
      <c r="C176" s="58">
        <v>2419140</v>
      </c>
      <c r="D176" s="59">
        <v>18308.80078125</v>
      </c>
      <c r="E176" s="59">
        <v>0</v>
      </c>
      <c r="F176" s="59">
        <v>-89.8978271484375</v>
      </c>
      <c r="G176" s="42">
        <v>0</v>
      </c>
      <c r="H176" s="23"/>
      <c r="I176" s="23"/>
      <c r="J176" s="99"/>
      <c r="K176" s="99"/>
      <c r="L176" s="99"/>
      <c r="M176" s="99"/>
      <c r="N176" s="43">
        <f t="shared" si="2"/>
        <v>2419140</v>
      </c>
      <c r="O176" s="43"/>
      <c r="P176" s="23"/>
      <c r="Q176" s="23"/>
    </row>
    <row r="177" spans="1:17">
      <c r="A177" s="23"/>
      <c r="B177" s="53">
        <v>167</v>
      </c>
      <c r="C177" s="58">
        <v>2586070.75</v>
      </c>
      <c r="D177" s="59">
        <v>17216.75</v>
      </c>
      <c r="E177" s="59">
        <v>0</v>
      </c>
      <c r="F177" s="59">
        <v>-89.937461853027344</v>
      </c>
      <c r="G177" s="42">
        <v>0</v>
      </c>
      <c r="H177" s="23"/>
      <c r="I177" s="23"/>
      <c r="J177" s="99"/>
      <c r="K177" s="99"/>
      <c r="L177" s="99"/>
      <c r="M177" s="99"/>
      <c r="N177" s="43">
        <f t="shared" si="2"/>
        <v>2586070.75</v>
      </c>
      <c r="O177" s="43"/>
      <c r="P177" s="23"/>
      <c r="Q177" s="23"/>
    </row>
    <row r="178" spans="1:17">
      <c r="A178" s="23"/>
      <c r="B178" s="53">
        <v>168</v>
      </c>
      <c r="C178" s="58">
        <v>2764520.5</v>
      </c>
      <c r="D178" s="59">
        <v>16200.2900390625</v>
      </c>
      <c r="E178" s="59">
        <v>0</v>
      </c>
      <c r="F178" s="59">
        <v>-89.9774169921875</v>
      </c>
      <c r="G178" s="42">
        <v>0</v>
      </c>
      <c r="H178" s="23"/>
      <c r="I178" s="23"/>
      <c r="J178" s="99"/>
      <c r="K178" s="99"/>
      <c r="L178" s="99"/>
      <c r="M178" s="99"/>
      <c r="N178" s="43">
        <f t="shared" si="2"/>
        <v>2764520.5</v>
      </c>
      <c r="O178" s="43"/>
      <c r="P178" s="23"/>
      <c r="Q178" s="23"/>
    </row>
    <row r="179" spans="1:17">
      <c r="A179" s="23"/>
      <c r="B179" s="53">
        <v>169</v>
      </c>
      <c r="C179" s="58">
        <v>2955284</v>
      </c>
      <c r="D179" s="59">
        <v>15275.5302734375</v>
      </c>
      <c r="E179" s="59">
        <v>0</v>
      </c>
      <c r="F179" s="59">
        <v>-90.037002563476563</v>
      </c>
      <c r="G179" s="42">
        <v>0</v>
      </c>
      <c r="H179" s="23"/>
      <c r="I179" s="23"/>
      <c r="J179" s="99"/>
      <c r="K179" s="99"/>
      <c r="L179" s="99"/>
      <c r="M179" s="99"/>
      <c r="N179" s="43">
        <f t="shared" si="2"/>
        <v>2955284</v>
      </c>
      <c r="O179" s="43"/>
      <c r="P179" s="23"/>
      <c r="Q179" s="23"/>
    </row>
    <row r="180" spans="1:17">
      <c r="A180" s="23"/>
      <c r="B180" s="53">
        <v>170</v>
      </c>
      <c r="C180" s="58">
        <v>3159210.75</v>
      </c>
      <c r="D180" s="59">
        <v>14369.900390625</v>
      </c>
      <c r="E180" s="59">
        <v>0</v>
      </c>
      <c r="F180" s="59">
        <v>-90.095756530761719</v>
      </c>
      <c r="G180" s="42">
        <v>0</v>
      </c>
      <c r="H180" s="23"/>
      <c r="I180" s="23"/>
      <c r="J180" s="99"/>
      <c r="K180" s="99"/>
      <c r="L180" s="99"/>
      <c r="M180" s="99"/>
      <c r="N180" s="43">
        <f t="shared" si="2"/>
        <v>3159210.75</v>
      </c>
      <c r="O180" s="43"/>
      <c r="P180" s="23"/>
      <c r="Q180" s="23"/>
    </row>
    <row r="181" spans="1:17">
      <c r="A181" s="23"/>
      <c r="B181" s="53">
        <v>171</v>
      </c>
      <c r="C181" s="58">
        <v>3377209.5</v>
      </c>
      <c r="D181" s="59">
        <v>13561.5595703125</v>
      </c>
      <c r="E181" s="59">
        <v>0</v>
      </c>
      <c r="F181" s="59">
        <v>-90.170936584472656</v>
      </c>
      <c r="G181" s="42">
        <v>0</v>
      </c>
      <c r="H181" s="23"/>
      <c r="I181" s="23"/>
      <c r="J181" s="99"/>
      <c r="K181" s="99"/>
      <c r="L181" s="99"/>
      <c r="M181" s="99"/>
      <c r="N181" s="43">
        <f t="shared" si="2"/>
        <v>3377209.5</v>
      </c>
      <c r="O181" s="43"/>
      <c r="P181" s="23"/>
      <c r="Q181" s="23"/>
    </row>
    <row r="182" spans="1:17">
      <c r="A182" s="23"/>
      <c r="B182" s="53">
        <v>172</v>
      </c>
      <c r="C182" s="58">
        <v>3610251</v>
      </c>
      <c r="D182" s="59">
        <v>12815.2900390625</v>
      </c>
      <c r="E182" s="59">
        <v>0</v>
      </c>
      <c r="F182" s="59">
        <v>-90.257850646972656</v>
      </c>
      <c r="G182" s="42">
        <v>0</v>
      </c>
      <c r="H182" s="23"/>
      <c r="I182" s="23"/>
      <c r="J182" s="99"/>
      <c r="K182" s="99"/>
      <c r="L182" s="99"/>
      <c r="M182" s="99"/>
      <c r="N182" s="43">
        <f t="shared" si="2"/>
        <v>3610251</v>
      </c>
      <c r="O182" s="43"/>
      <c r="P182" s="23"/>
      <c r="Q182" s="23"/>
    </row>
    <row r="183" spans="1:17">
      <c r="A183" s="23"/>
      <c r="B183" s="53">
        <v>173</v>
      </c>
      <c r="C183" s="58">
        <v>3859373.5</v>
      </c>
      <c r="D183" s="59">
        <v>12129.2099609375</v>
      </c>
      <c r="E183" s="59">
        <v>0</v>
      </c>
      <c r="F183" s="59">
        <v>-90.364852905273438</v>
      </c>
      <c r="G183" s="42">
        <v>0</v>
      </c>
      <c r="H183" s="23"/>
      <c r="I183" s="23"/>
      <c r="J183" s="99"/>
      <c r="K183" s="99"/>
      <c r="L183" s="99"/>
      <c r="M183" s="99"/>
      <c r="N183" s="43">
        <f t="shared" si="2"/>
        <v>3859373.5</v>
      </c>
      <c r="O183" s="43"/>
      <c r="P183" s="23"/>
      <c r="Q183" s="23"/>
    </row>
    <row r="184" spans="1:17">
      <c r="A184" s="23"/>
      <c r="B184" s="53">
        <v>174</v>
      </c>
      <c r="C184" s="58">
        <v>4125686.25</v>
      </c>
      <c r="D184" s="59">
        <v>11501.8603515625</v>
      </c>
      <c r="E184" s="59">
        <v>0</v>
      </c>
      <c r="F184" s="59">
        <v>-90.497482299804688</v>
      </c>
      <c r="G184" s="42">
        <v>0</v>
      </c>
      <c r="H184" s="23"/>
      <c r="I184" s="23"/>
      <c r="J184" s="99"/>
      <c r="K184" s="99"/>
      <c r="L184" s="99"/>
      <c r="M184" s="99"/>
      <c r="N184" s="43">
        <f t="shared" si="2"/>
        <v>4125686.25</v>
      </c>
      <c r="O184" s="43"/>
      <c r="P184" s="23"/>
      <c r="Q184" s="23"/>
    </row>
    <row r="185" spans="1:17">
      <c r="A185" s="23"/>
      <c r="B185" s="53">
        <v>175</v>
      </c>
      <c r="C185" s="58">
        <v>4410376</v>
      </c>
      <c r="D185" s="59">
        <v>10928.0498046875</v>
      </c>
      <c r="E185" s="59">
        <v>0</v>
      </c>
      <c r="F185" s="59">
        <v>-90.684562683105469</v>
      </c>
      <c r="G185" s="42">
        <v>0</v>
      </c>
      <c r="H185" s="23"/>
      <c r="I185" s="23"/>
      <c r="J185" s="99"/>
      <c r="K185" s="99"/>
      <c r="L185" s="99"/>
      <c r="M185" s="99"/>
      <c r="N185" s="43">
        <f t="shared" si="2"/>
        <v>4410376</v>
      </c>
      <c r="O185" s="43"/>
      <c r="P185" s="23"/>
      <c r="Q185" s="23"/>
    </row>
    <row r="186" spans="1:17">
      <c r="A186" s="23"/>
      <c r="B186" s="53">
        <v>176</v>
      </c>
      <c r="C186" s="58">
        <v>4714710</v>
      </c>
      <c r="D186" s="59">
        <v>10403.6396484375</v>
      </c>
      <c r="E186" s="59">
        <v>0</v>
      </c>
      <c r="F186" s="59">
        <v>-90.893806457519531</v>
      </c>
      <c r="G186" s="42">
        <v>0</v>
      </c>
      <c r="H186" s="23"/>
      <c r="I186" s="23"/>
      <c r="J186" s="99"/>
      <c r="K186" s="99"/>
      <c r="L186" s="99"/>
      <c r="M186" s="99"/>
      <c r="N186" s="43">
        <f t="shared" si="2"/>
        <v>4714710</v>
      </c>
      <c r="O186" s="43"/>
      <c r="P186" s="23"/>
      <c r="Q186" s="23"/>
    </row>
    <row r="187" spans="1:17">
      <c r="A187" s="23"/>
      <c r="B187" s="53">
        <v>177</v>
      </c>
      <c r="C187" s="58">
        <v>5040045</v>
      </c>
      <c r="D187" s="59">
        <v>9934.2626953125</v>
      </c>
      <c r="E187" s="59">
        <v>0</v>
      </c>
      <c r="F187" s="59">
        <v>-91.13873291015625</v>
      </c>
      <c r="G187" s="42">
        <v>0</v>
      </c>
      <c r="H187" s="23"/>
      <c r="I187" s="23"/>
      <c r="J187" s="99"/>
      <c r="K187" s="99"/>
      <c r="L187" s="99"/>
      <c r="M187" s="99"/>
      <c r="N187" s="43">
        <f t="shared" si="2"/>
        <v>5040045</v>
      </c>
      <c r="O187" s="43"/>
      <c r="P187" s="23"/>
      <c r="Q187" s="23"/>
    </row>
    <row r="188" spans="1:17">
      <c r="A188" s="23"/>
      <c r="B188" s="53">
        <v>178</v>
      </c>
      <c r="C188" s="58">
        <v>5387829</v>
      </c>
      <c r="D188" s="59">
        <v>9520.818359375</v>
      </c>
      <c r="E188" s="59">
        <v>0</v>
      </c>
      <c r="F188" s="59">
        <v>-91.440132141113281</v>
      </c>
      <c r="G188" s="42">
        <v>0</v>
      </c>
      <c r="H188" s="23"/>
      <c r="I188" s="23"/>
      <c r="J188" s="99"/>
      <c r="K188" s="99"/>
      <c r="L188" s="99"/>
      <c r="M188" s="99"/>
      <c r="N188" s="43">
        <f t="shared" si="2"/>
        <v>5387829</v>
      </c>
      <c r="O188" s="43"/>
      <c r="P188" s="23"/>
      <c r="Q188" s="23"/>
    </row>
    <row r="189" spans="1:17">
      <c r="A189" s="23"/>
      <c r="B189" s="53">
        <v>179</v>
      </c>
      <c r="C189" s="58">
        <v>5759611.5</v>
      </c>
      <c r="D189" s="59">
        <v>9164.8076171875</v>
      </c>
      <c r="E189" s="59">
        <v>0</v>
      </c>
      <c r="F189" s="59">
        <v>-91.828216552734375</v>
      </c>
      <c r="G189" s="42">
        <v>0</v>
      </c>
      <c r="H189" s="23"/>
      <c r="I189" s="23"/>
      <c r="J189" s="99"/>
      <c r="K189" s="99"/>
      <c r="L189" s="99"/>
      <c r="M189" s="99"/>
      <c r="N189" s="43">
        <f t="shared" si="2"/>
        <v>5759611.5</v>
      </c>
      <c r="O189" s="43"/>
      <c r="P189" s="23"/>
      <c r="Q189" s="23"/>
    </row>
    <row r="190" spans="1:17">
      <c r="A190" s="23"/>
      <c r="B190" s="53">
        <v>180</v>
      </c>
      <c r="C190" s="58">
        <v>6157049</v>
      </c>
      <c r="D190" s="59">
        <v>8866.357421875</v>
      </c>
      <c r="E190" s="59">
        <v>0</v>
      </c>
      <c r="F190" s="59">
        <v>-92.351570129394531</v>
      </c>
      <c r="G190" s="42">
        <v>0</v>
      </c>
      <c r="H190" s="23"/>
      <c r="I190" s="23"/>
      <c r="J190" s="99"/>
      <c r="K190" s="99"/>
      <c r="L190" s="99"/>
      <c r="M190" s="99"/>
      <c r="N190" s="43">
        <f t="shared" si="2"/>
        <v>6157049</v>
      </c>
      <c r="O190" s="43"/>
      <c r="P190" s="23"/>
      <c r="Q190" s="23"/>
    </row>
    <row r="191" spans="1:17">
      <c r="A191" s="23"/>
      <c r="B191" s="53">
        <v>181</v>
      </c>
      <c r="C191" s="58">
        <v>6581911</v>
      </c>
      <c r="D191" s="59">
        <v>8628.1748046875</v>
      </c>
      <c r="E191" s="59">
        <v>0</v>
      </c>
      <c r="F191" s="59">
        <v>-93.060478210449219</v>
      </c>
      <c r="G191" s="42">
        <v>0</v>
      </c>
      <c r="H191" s="23"/>
      <c r="I191" s="23"/>
      <c r="J191" s="99"/>
      <c r="K191" s="99"/>
      <c r="L191" s="99"/>
      <c r="M191" s="99"/>
      <c r="N191" s="43">
        <f t="shared" si="2"/>
        <v>6581911</v>
      </c>
      <c r="O191" s="43"/>
      <c r="P191" s="23"/>
      <c r="Q191" s="23"/>
    </row>
    <row r="192" spans="1:17">
      <c r="A192" s="23"/>
      <c r="B192" s="53">
        <v>182</v>
      </c>
      <c r="C192" s="58">
        <v>7036090.5</v>
      </c>
      <c r="D192" s="59">
        <v>8453.912109375</v>
      </c>
      <c r="E192" s="59">
        <v>0</v>
      </c>
      <c r="F192" s="59">
        <v>-94.038932800292969</v>
      </c>
      <c r="G192" s="42">
        <v>0</v>
      </c>
      <c r="H192" s="23"/>
      <c r="I192" s="23"/>
      <c r="J192" s="99"/>
      <c r="K192" s="99"/>
      <c r="L192" s="99"/>
      <c r="M192" s="99"/>
      <c r="N192" s="43">
        <f t="shared" si="2"/>
        <v>7036090.5</v>
      </c>
      <c r="O192" s="43"/>
      <c r="P192" s="23"/>
      <c r="Q192" s="23"/>
    </row>
    <row r="193" spans="1:17">
      <c r="A193" s="23"/>
      <c r="B193" s="53">
        <v>183</v>
      </c>
      <c r="C193" s="58">
        <v>7521610</v>
      </c>
      <c r="D193" s="59">
        <v>8341.9599609375</v>
      </c>
      <c r="E193" s="59">
        <v>0</v>
      </c>
      <c r="F193" s="59">
        <v>-95.372879028320313</v>
      </c>
      <c r="G193" s="42">
        <v>0</v>
      </c>
      <c r="H193" s="23"/>
      <c r="I193" s="23"/>
      <c r="J193" s="99"/>
      <c r="K193" s="99"/>
      <c r="L193" s="99"/>
      <c r="M193" s="99"/>
      <c r="N193" s="43">
        <f t="shared" si="2"/>
        <v>7521610</v>
      </c>
      <c r="O193" s="43"/>
      <c r="P193" s="23"/>
      <c r="Q193" s="23"/>
    </row>
    <row r="194" spans="1:17">
      <c r="A194" s="23"/>
      <c r="B194" s="53">
        <v>184</v>
      </c>
      <c r="C194" s="58">
        <v>8040632.5</v>
      </c>
      <c r="D194" s="59">
        <v>8294.7080078125</v>
      </c>
      <c r="E194" s="59">
        <v>0</v>
      </c>
      <c r="F194" s="59">
        <v>-97.153297424316406</v>
      </c>
      <c r="G194" s="42">
        <v>0</v>
      </c>
      <c r="H194" s="23"/>
      <c r="I194" s="23"/>
      <c r="J194" s="99"/>
      <c r="K194" s="99"/>
      <c r="L194" s="99"/>
      <c r="M194" s="99"/>
      <c r="N194" s="43">
        <f t="shared" si="2"/>
        <v>8040632.5</v>
      </c>
      <c r="O194" s="43"/>
      <c r="P194" s="23"/>
      <c r="Q194" s="23"/>
    </row>
    <row r="195" spans="1:17">
      <c r="A195" s="23"/>
      <c r="B195" s="53">
        <v>185</v>
      </c>
      <c r="C195" s="58">
        <v>8595470</v>
      </c>
      <c r="D195" s="59">
        <v>8312.0830078125</v>
      </c>
      <c r="E195" s="59">
        <v>0</v>
      </c>
      <c r="F195" s="59">
        <v>-99.467727661132813</v>
      </c>
      <c r="G195" s="42">
        <v>0</v>
      </c>
      <c r="H195" s="23"/>
      <c r="I195" s="23"/>
      <c r="J195" s="99"/>
      <c r="K195" s="99"/>
      <c r="L195" s="99"/>
      <c r="M195" s="99"/>
      <c r="N195" s="43">
        <f t="shared" si="2"/>
        <v>8595470</v>
      </c>
      <c r="O195" s="43"/>
      <c r="P195" s="23"/>
      <c r="Q195" s="23"/>
    </row>
    <row r="196" spans="1:17">
      <c r="A196" s="23"/>
      <c r="B196" s="53">
        <v>186</v>
      </c>
      <c r="C196" s="58">
        <v>9188593</v>
      </c>
      <c r="D196" s="59">
        <v>8407.7861328125</v>
      </c>
      <c r="E196" s="59">
        <v>0</v>
      </c>
      <c r="F196" s="59">
        <v>-102.3572998046875</v>
      </c>
      <c r="G196" s="42">
        <v>0</v>
      </c>
      <c r="H196" s="23"/>
      <c r="I196" s="23"/>
      <c r="J196" s="99"/>
      <c r="K196" s="99"/>
      <c r="L196" s="99"/>
      <c r="M196" s="99"/>
      <c r="N196" s="43">
        <f t="shared" si="2"/>
        <v>9188593</v>
      </c>
      <c r="O196" s="43"/>
      <c r="P196" s="23"/>
      <c r="Q196" s="23"/>
    </row>
    <row r="197" spans="1:17">
      <c r="A197" s="23"/>
      <c r="B197" s="53">
        <v>187</v>
      </c>
      <c r="C197" s="58">
        <v>9822644</v>
      </c>
      <c r="D197" s="59">
        <v>8616.966796875</v>
      </c>
      <c r="E197" s="59">
        <v>0</v>
      </c>
      <c r="F197" s="59">
        <v>-105.89559936523438</v>
      </c>
      <c r="G197" s="42">
        <v>0</v>
      </c>
      <c r="H197" s="23"/>
      <c r="I197" s="23"/>
      <c r="J197" s="99"/>
      <c r="K197" s="99"/>
      <c r="L197" s="99"/>
      <c r="M197" s="99"/>
      <c r="N197" s="43">
        <f t="shared" si="2"/>
        <v>9822644</v>
      </c>
      <c r="O197" s="43"/>
      <c r="P197" s="23"/>
      <c r="Q197" s="23"/>
    </row>
    <row r="198" spans="1:17">
      <c r="A198" s="23"/>
      <c r="B198" s="53">
        <v>188</v>
      </c>
      <c r="C198" s="58">
        <v>10500447</v>
      </c>
      <c r="D198" s="59">
        <v>9026.6181640625</v>
      </c>
      <c r="E198" s="59">
        <v>0</v>
      </c>
      <c r="F198" s="59">
        <v>-110.38089752197266</v>
      </c>
      <c r="G198" s="42">
        <v>0</v>
      </c>
      <c r="H198" s="23"/>
      <c r="I198" s="23"/>
      <c r="J198" s="99"/>
      <c r="K198" s="99"/>
      <c r="L198" s="99"/>
      <c r="M198" s="99"/>
      <c r="N198" s="43">
        <f t="shared" si="2"/>
        <v>10500447</v>
      </c>
      <c r="O198" s="43"/>
      <c r="P198" s="23"/>
      <c r="Q198" s="23"/>
    </row>
    <row r="199" spans="1:17">
      <c r="A199" s="23"/>
      <c r="B199" s="53">
        <v>189</v>
      </c>
      <c r="C199" s="58">
        <v>11225022</v>
      </c>
      <c r="D199" s="59">
        <v>9776.255859375</v>
      </c>
      <c r="E199" s="59">
        <v>0</v>
      </c>
      <c r="F199" s="59">
        <v>-116.78099822998047</v>
      </c>
      <c r="G199" s="42">
        <v>0</v>
      </c>
      <c r="H199" s="23"/>
      <c r="I199" s="23"/>
      <c r="J199" s="99"/>
      <c r="K199" s="99"/>
      <c r="L199" s="99"/>
      <c r="M199" s="99"/>
      <c r="N199" s="43">
        <f t="shared" si="2"/>
        <v>11225022</v>
      </c>
      <c r="O199" s="43"/>
      <c r="P199" s="23"/>
      <c r="Q199" s="23"/>
    </row>
    <row r="200" spans="1:17">
      <c r="A200" s="23"/>
      <c r="B200" s="53">
        <v>190</v>
      </c>
      <c r="C200" s="58">
        <v>11999596</v>
      </c>
      <c r="D200" s="59">
        <v>11024.830078125</v>
      </c>
      <c r="E200" s="59">
        <v>0</v>
      </c>
      <c r="F200" s="59">
        <v>-127.11190032958984</v>
      </c>
      <c r="G200" s="42">
        <v>0</v>
      </c>
      <c r="H200" s="23"/>
      <c r="I200" s="23"/>
      <c r="J200" s="99"/>
      <c r="K200" s="99"/>
      <c r="L200" s="99"/>
      <c r="M200" s="99"/>
      <c r="N200" s="43">
        <f t="shared" si="2"/>
        <v>11999596</v>
      </c>
      <c r="O200" s="43"/>
      <c r="P200" s="23"/>
      <c r="Q200" s="23"/>
    </row>
    <row r="201" spans="1:17">
      <c r="A201" s="23"/>
      <c r="B201" s="53">
        <v>191</v>
      </c>
      <c r="C201" s="58">
        <v>12827618</v>
      </c>
      <c r="D201" s="59">
        <v>12628.2001953125</v>
      </c>
      <c r="E201" s="59">
        <v>0</v>
      </c>
      <c r="F201" s="59">
        <v>-145.51620483398438</v>
      </c>
      <c r="G201" s="42">
        <v>0</v>
      </c>
      <c r="H201" s="23"/>
      <c r="I201" s="23"/>
      <c r="J201" s="99"/>
      <c r="K201" s="99"/>
      <c r="L201" s="99"/>
      <c r="M201" s="99"/>
      <c r="N201" s="43">
        <f t="shared" si="2"/>
        <v>12827618</v>
      </c>
      <c r="O201" s="43"/>
      <c r="P201" s="23"/>
      <c r="Q201" s="23"/>
    </row>
    <row r="202" spans="1:17">
      <c r="A202" s="23"/>
      <c r="B202" s="53">
        <v>192</v>
      </c>
      <c r="C202" s="58">
        <v>13712777</v>
      </c>
      <c r="D202" s="59">
        <v>12629.0302734375</v>
      </c>
      <c r="E202" s="59">
        <v>0</v>
      </c>
      <c r="F202" s="59">
        <v>-174.701904296875</v>
      </c>
      <c r="G202" s="42">
        <v>0</v>
      </c>
      <c r="H202" s="23"/>
      <c r="I202" s="23"/>
      <c r="J202" s="99"/>
      <c r="K202" s="99"/>
      <c r="L202" s="99"/>
      <c r="M202" s="99"/>
      <c r="N202" s="43">
        <f t="shared" si="2"/>
        <v>13712777</v>
      </c>
      <c r="O202" s="43"/>
      <c r="P202" s="23"/>
      <c r="Q202" s="23"/>
    </row>
    <row r="203" spans="1:17">
      <c r="A203" s="23"/>
      <c r="B203" s="53">
        <v>193</v>
      </c>
      <c r="C203" s="58">
        <v>14659016</v>
      </c>
      <c r="D203" s="59">
        <v>9672.8583984375</v>
      </c>
      <c r="E203" s="59">
        <v>0</v>
      </c>
      <c r="F203" s="59">
        <v>153.85560607910156</v>
      </c>
      <c r="G203" s="42">
        <v>0</v>
      </c>
      <c r="H203" s="23"/>
      <c r="I203" s="23"/>
      <c r="J203" s="99"/>
      <c r="K203" s="99"/>
      <c r="L203" s="99"/>
      <c r="M203" s="99"/>
      <c r="N203" s="43">
        <f t="shared" ref="N203:N266" si="3">IF($L$4=$C$10,C203,IF(D203="","",B203))</f>
        <v>14659016</v>
      </c>
      <c r="O203" s="43"/>
      <c r="P203" s="23"/>
      <c r="Q203" s="23"/>
    </row>
    <row r="204" spans="1:17">
      <c r="A204" s="23"/>
      <c r="B204" s="53">
        <v>194</v>
      </c>
      <c r="C204" s="58">
        <v>15670549</v>
      </c>
      <c r="D204" s="59">
        <v>1625.8759765625</v>
      </c>
      <c r="E204" s="59">
        <v>0</v>
      </c>
      <c r="F204" s="59">
        <v>-151.3179931640625</v>
      </c>
      <c r="G204" s="42">
        <v>0</v>
      </c>
      <c r="H204" s="23"/>
      <c r="I204" s="23"/>
      <c r="J204" s="99"/>
      <c r="K204" s="99"/>
      <c r="L204" s="99"/>
      <c r="M204" s="99"/>
      <c r="N204" s="43">
        <f t="shared" si="3"/>
        <v>15670549</v>
      </c>
      <c r="O204" s="43"/>
      <c r="P204" s="23"/>
      <c r="Q204" s="23"/>
    </row>
    <row r="205" spans="1:17">
      <c r="A205" s="23"/>
      <c r="B205" s="53">
        <v>195</v>
      </c>
      <c r="C205" s="58">
        <v>16751882</v>
      </c>
      <c r="D205" s="59">
        <v>1448.240966796875</v>
      </c>
      <c r="E205" s="59">
        <v>0</v>
      </c>
      <c r="F205" s="59">
        <v>-154.48550415039063</v>
      </c>
      <c r="G205" s="42">
        <v>0</v>
      </c>
      <c r="H205" s="23"/>
      <c r="I205" s="23"/>
      <c r="J205" s="99"/>
      <c r="K205" s="99"/>
      <c r="L205" s="99"/>
      <c r="M205" s="99"/>
      <c r="N205" s="43">
        <f t="shared" si="3"/>
        <v>16751882</v>
      </c>
      <c r="O205" s="43"/>
      <c r="P205" s="23"/>
      <c r="Q205" s="23"/>
    </row>
    <row r="206" spans="1:17">
      <c r="A206" s="23"/>
      <c r="B206" s="53">
        <v>196</v>
      </c>
      <c r="C206" s="58">
        <v>17907832</v>
      </c>
      <c r="D206" s="59">
        <v>1288.1920166015625</v>
      </c>
      <c r="E206" s="59">
        <v>0</v>
      </c>
      <c r="F206" s="59">
        <v>-158.375</v>
      </c>
      <c r="G206" s="42">
        <v>0</v>
      </c>
      <c r="H206" s="23"/>
      <c r="I206" s="23"/>
      <c r="J206" s="99"/>
      <c r="K206" s="99"/>
      <c r="L206" s="99"/>
      <c r="M206" s="99"/>
      <c r="N206" s="43">
        <f t="shared" si="3"/>
        <v>17907832</v>
      </c>
      <c r="O206" s="43"/>
      <c r="P206" s="23"/>
      <c r="Q206" s="23"/>
    </row>
    <row r="207" spans="1:17">
      <c r="A207" s="23"/>
      <c r="B207" s="53">
        <v>197</v>
      </c>
      <c r="C207" s="58">
        <v>19143546</v>
      </c>
      <c r="D207" s="59">
        <v>1130.3380126953125</v>
      </c>
      <c r="E207" s="59">
        <v>0</v>
      </c>
      <c r="F207" s="59">
        <v>-162.48429870605469</v>
      </c>
      <c r="G207" s="42">
        <v>0</v>
      </c>
      <c r="H207" s="23"/>
      <c r="I207" s="23"/>
      <c r="J207" s="99"/>
      <c r="K207" s="99"/>
      <c r="L207" s="99"/>
      <c r="M207" s="99"/>
      <c r="N207" s="43">
        <f t="shared" si="3"/>
        <v>19143546</v>
      </c>
      <c r="O207" s="43"/>
      <c r="P207" s="23"/>
      <c r="Q207" s="23"/>
    </row>
    <row r="208" spans="1:17">
      <c r="A208" s="23"/>
      <c r="B208" s="53">
        <v>198</v>
      </c>
      <c r="C208" s="58">
        <v>20464532</v>
      </c>
      <c r="D208" s="59">
        <v>978.0283203125</v>
      </c>
      <c r="E208" s="59">
        <v>0</v>
      </c>
      <c r="F208" s="59">
        <v>-166.71449279785156</v>
      </c>
      <c r="G208" s="42">
        <v>0</v>
      </c>
      <c r="H208" s="23"/>
      <c r="I208" s="23"/>
      <c r="J208" s="99"/>
      <c r="K208" s="99"/>
      <c r="L208" s="99"/>
      <c r="M208" s="99"/>
      <c r="N208" s="43">
        <f t="shared" si="3"/>
        <v>20464532</v>
      </c>
      <c r="O208" s="43"/>
      <c r="P208" s="23"/>
      <c r="Q208" s="23"/>
    </row>
    <row r="209" spans="1:17">
      <c r="A209" s="23"/>
      <c r="B209" s="53">
        <v>199</v>
      </c>
      <c r="C209" s="58">
        <v>21876670</v>
      </c>
      <c r="D209" s="59">
        <v>838.9385986328125</v>
      </c>
      <c r="E209" s="59">
        <v>0</v>
      </c>
      <c r="F209" s="59">
        <v>-170.41580200195313</v>
      </c>
      <c r="G209" s="42">
        <v>0</v>
      </c>
      <c r="H209" s="23"/>
      <c r="I209" s="23"/>
      <c r="J209" s="99"/>
      <c r="K209" s="99"/>
      <c r="L209" s="99"/>
      <c r="M209" s="99"/>
      <c r="N209" s="43">
        <f t="shared" si="3"/>
        <v>21876670</v>
      </c>
      <c r="O209" s="43"/>
      <c r="P209" s="23"/>
      <c r="Q209" s="23"/>
    </row>
    <row r="210" spans="1:17">
      <c r="A210" s="23"/>
      <c r="B210" s="54">
        <v>200</v>
      </c>
      <c r="C210" s="58">
        <v>23386252</v>
      </c>
      <c r="D210" s="60">
        <v>717.5963134765625</v>
      </c>
      <c r="E210" s="59">
        <v>0</v>
      </c>
      <c r="F210" s="59">
        <v>-174.87710571289063</v>
      </c>
      <c r="G210" s="42">
        <v>0</v>
      </c>
      <c r="H210" s="23"/>
      <c r="I210" s="23"/>
      <c r="J210" s="99"/>
      <c r="K210" s="99"/>
      <c r="L210" s="99"/>
      <c r="M210" s="99"/>
      <c r="N210" s="43">
        <f t="shared" si="3"/>
        <v>23386252</v>
      </c>
      <c r="O210" s="43"/>
      <c r="P210" s="23"/>
      <c r="Q210" s="23"/>
    </row>
    <row r="211" spans="1:17">
      <c r="A211" s="23"/>
      <c r="B211" s="55">
        <v>201</v>
      </c>
      <c r="C211" s="61">
        <v>25000000</v>
      </c>
      <c r="D211" s="61">
        <v>601.97601318359375</v>
      </c>
      <c r="E211" s="61">
        <v>0</v>
      </c>
      <c r="F211" s="61">
        <v>-179.34280395507813</v>
      </c>
      <c r="G211" s="62">
        <v>0</v>
      </c>
      <c r="H211" s="23"/>
      <c r="I211" s="23"/>
      <c r="J211" s="99"/>
      <c r="K211" s="99"/>
      <c r="L211" s="99"/>
      <c r="M211" s="99"/>
      <c r="N211" s="43">
        <f t="shared" si="3"/>
        <v>25000000</v>
      </c>
      <c r="O211" s="43"/>
      <c r="P211" s="23"/>
      <c r="Q211" s="23"/>
    </row>
    <row r="212" spans="1:17">
      <c r="A212" s="23"/>
      <c r="B212" s="56"/>
      <c r="C212" s="63"/>
      <c r="D212" s="63"/>
      <c r="E212" s="63"/>
      <c r="F212" s="64"/>
      <c r="G212" s="64"/>
      <c r="H212" s="23"/>
      <c r="I212" s="23"/>
      <c r="J212" s="99"/>
      <c r="K212" s="99"/>
      <c r="L212" s="99"/>
      <c r="M212" s="99"/>
      <c r="N212" s="43">
        <f t="shared" si="3"/>
        <v>0</v>
      </c>
      <c r="O212" s="43"/>
      <c r="P212" s="23"/>
      <c r="Q212" s="23"/>
    </row>
    <row r="213" spans="1:17">
      <c r="A213" s="23"/>
      <c r="B213" s="56"/>
      <c r="C213" s="63"/>
      <c r="D213" s="63"/>
      <c r="E213" s="63"/>
      <c r="F213" s="63"/>
      <c r="G213" s="63"/>
      <c r="H213" s="23"/>
      <c r="I213" s="23"/>
      <c r="J213" s="99"/>
      <c r="K213" s="99"/>
      <c r="L213" s="99"/>
      <c r="M213" s="99"/>
      <c r="N213" s="43">
        <f t="shared" si="3"/>
        <v>0</v>
      </c>
      <c r="O213" s="48"/>
      <c r="P213" s="23"/>
      <c r="Q213" s="23"/>
    </row>
    <row r="214" spans="1:17">
      <c r="A214" s="23"/>
      <c r="B214" s="56"/>
      <c r="C214" s="63"/>
      <c r="D214" s="63"/>
      <c r="E214" s="63"/>
      <c r="F214" s="63"/>
      <c r="G214" s="63"/>
      <c r="H214" s="23"/>
      <c r="I214" s="23"/>
      <c r="J214" s="99"/>
      <c r="K214" s="99"/>
      <c r="L214" s="99"/>
      <c r="M214" s="99"/>
      <c r="N214" s="43">
        <f t="shared" si="3"/>
        <v>0</v>
      </c>
      <c r="O214" s="48"/>
      <c r="P214" s="23"/>
      <c r="Q214" s="23"/>
    </row>
    <row r="215" spans="1:17">
      <c r="A215" s="23"/>
      <c r="B215" s="56"/>
      <c r="C215" s="63"/>
      <c r="D215" s="63"/>
      <c r="E215" s="63"/>
      <c r="F215" s="63"/>
      <c r="G215" s="63"/>
      <c r="H215" s="23"/>
      <c r="I215" s="23"/>
      <c r="J215" s="99"/>
      <c r="K215" s="99"/>
      <c r="L215" s="99"/>
      <c r="M215" s="99"/>
      <c r="N215" s="43">
        <f t="shared" si="3"/>
        <v>0</v>
      </c>
      <c r="O215" s="48"/>
      <c r="P215" s="23"/>
      <c r="Q215" s="23"/>
    </row>
    <row r="216" spans="1:17">
      <c r="A216" s="23"/>
      <c r="B216" s="56"/>
      <c r="C216" s="63"/>
      <c r="D216" s="63"/>
      <c r="E216" s="63"/>
      <c r="F216" s="63"/>
      <c r="G216" s="63"/>
      <c r="H216" s="23"/>
      <c r="I216" s="23"/>
      <c r="J216" s="99"/>
      <c r="K216" s="99"/>
      <c r="L216" s="99"/>
      <c r="M216" s="99"/>
      <c r="N216" s="43">
        <f t="shared" si="3"/>
        <v>0</v>
      </c>
      <c r="O216" s="48"/>
      <c r="P216" s="23"/>
      <c r="Q216" s="23"/>
    </row>
    <row r="217" spans="1:17">
      <c r="A217" s="23"/>
      <c r="B217" s="56"/>
      <c r="C217" s="63"/>
      <c r="D217" s="63"/>
      <c r="E217" s="63"/>
      <c r="F217" s="63"/>
      <c r="G217" s="63"/>
      <c r="H217" s="23"/>
      <c r="I217" s="23"/>
      <c r="J217" s="99"/>
      <c r="K217" s="99"/>
      <c r="L217" s="99"/>
      <c r="M217" s="99"/>
      <c r="N217" s="43">
        <f t="shared" si="3"/>
        <v>0</v>
      </c>
      <c r="O217" s="48"/>
      <c r="P217" s="23"/>
      <c r="Q217" s="23"/>
    </row>
    <row r="218" spans="1:17">
      <c r="A218" s="23"/>
      <c r="B218" s="56"/>
      <c r="C218" s="63"/>
      <c r="D218" s="63"/>
      <c r="E218" s="63"/>
      <c r="F218" s="63"/>
      <c r="G218" s="63"/>
      <c r="H218" s="23"/>
      <c r="I218" s="23"/>
      <c r="J218" s="99"/>
      <c r="K218" s="99"/>
      <c r="L218" s="99"/>
      <c r="M218" s="99"/>
      <c r="N218" s="43">
        <f t="shared" si="3"/>
        <v>0</v>
      </c>
      <c r="O218" s="48"/>
      <c r="P218" s="23"/>
      <c r="Q218" s="23"/>
    </row>
    <row r="219" spans="1:17">
      <c r="A219" s="23"/>
      <c r="B219" s="56"/>
      <c r="C219" s="63"/>
      <c r="D219" s="63"/>
      <c r="E219" s="63"/>
      <c r="F219" s="63"/>
      <c r="G219" s="63"/>
      <c r="H219" s="23"/>
      <c r="I219" s="23"/>
      <c r="J219" s="99"/>
      <c r="K219" s="99"/>
      <c r="L219" s="99"/>
      <c r="M219" s="99"/>
      <c r="N219" s="43">
        <f t="shared" si="3"/>
        <v>0</v>
      </c>
      <c r="O219" s="48"/>
      <c r="P219" s="23"/>
      <c r="Q219" s="23"/>
    </row>
    <row r="220" spans="1:17">
      <c r="A220" s="23"/>
      <c r="B220" s="56"/>
      <c r="C220" s="63"/>
      <c r="D220" s="63"/>
      <c r="E220" s="63"/>
      <c r="F220" s="63"/>
      <c r="G220" s="63"/>
      <c r="H220" s="23"/>
      <c r="I220" s="23"/>
      <c r="J220" s="99"/>
      <c r="K220" s="99"/>
      <c r="L220" s="99"/>
      <c r="M220" s="99"/>
      <c r="N220" s="43">
        <f t="shared" si="3"/>
        <v>0</v>
      </c>
      <c r="O220" s="48"/>
      <c r="P220" s="23"/>
      <c r="Q220" s="23"/>
    </row>
    <row r="221" spans="1:17">
      <c r="A221" s="23"/>
      <c r="B221" s="56"/>
      <c r="C221" s="63"/>
      <c r="D221" s="63"/>
      <c r="E221" s="63"/>
      <c r="F221" s="63"/>
      <c r="G221" s="63"/>
      <c r="H221" s="23"/>
      <c r="I221" s="23"/>
      <c r="J221" s="99"/>
      <c r="K221" s="99"/>
      <c r="L221" s="99"/>
      <c r="M221" s="99"/>
      <c r="N221" s="43">
        <f t="shared" si="3"/>
        <v>0</v>
      </c>
      <c r="O221" s="48"/>
      <c r="P221" s="23"/>
      <c r="Q221" s="23"/>
    </row>
    <row r="222" spans="1:17">
      <c r="A222" s="23"/>
      <c r="B222" s="56"/>
      <c r="C222" s="63"/>
      <c r="D222" s="63"/>
      <c r="E222" s="63"/>
      <c r="F222" s="63"/>
      <c r="G222" s="63"/>
      <c r="H222" s="23"/>
      <c r="I222" s="23"/>
      <c r="J222" s="99"/>
      <c r="K222" s="99"/>
      <c r="L222" s="99"/>
      <c r="M222" s="99"/>
      <c r="N222" s="43">
        <f t="shared" si="3"/>
        <v>0</v>
      </c>
      <c r="O222" s="48"/>
      <c r="P222" s="23"/>
      <c r="Q222" s="23"/>
    </row>
    <row r="223" spans="1:17">
      <c r="A223" s="23"/>
      <c r="B223" s="56"/>
      <c r="C223" s="63"/>
      <c r="D223" s="63"/>
      <c r="E223" s="63"/>
      <c r="F223" s="63"/>
      <c r="G223" s="63"/>
      <c r="H223" s="23"/>
      <c r="I223" s="23"/>
      <c r="J223" s="99"/>
      <c r="K223" s="99"/>
      <c r="L223" s="99"/>
      <c r="M223" s="99"/>
      <c r="N223" s="43">
        <f t="shared" si="3"/>
        <v>0</v>
      </c>
      <c r="O223" s="48"/>
      <c r="P223" s="23"/>
      <c r="Q223" s="23"/>
    </row>
    <row r="224" spans="1:17">
      <c r="A224" s="23"/>
      <c r="B224" s="56"/>
      <c r="C224" s="63"/>
      <c r="D224" s="63"/>
      <c r="E224" s="63"/>
      <c r="F224" s="63"/>
      <c r="G224" s="63"/>
      <c r="H224" s="23"/>
      <c r="I224" s="23"/>
      <c r="J224" s="99"/>
      <c r="K224" s="99"/>
      <c r="L224" s="99"/>
      <c r="M224" s="99"/>
      <c r="N224" s="43">
        <f t="shared" si="3"/>
        <v>0</v>
      </c>
      <c r="O224" s="48"/>
      <c r="P224" s="23"/>
      <c r="Q224" s="23"/>
    </row>
    <row r="225" spans="1:17">
      <c r="A225" s="23"/>
      <c r="B225" s="56"/>
      <c r="C225" s="63"/>
      <c r="D225" s="63"/>
      <c r="E225" s="63"/>
      <c r="F225" s="63"/>
      <c r="G225" s="63"/>
      <c r="H225" s="23"/>
      <c r="I225" s="23"/>
      <c r="J225" s="99"/>
      <c r="K225" s="99"/>
      <c r="L225" s="99"/>
      <c r="M225" s="99"/>
      <c r="N225" s="43">
        <f t="shared" si="3"/>
        <v>0</v>
      </c>
      <c r="O225" s="48"/>
      <c r="P225" s="23"/>
      <c r="Q225" s="23"/>
    </row>
    <row r="226" spans="1:17">
      <c r="A226" s="23"/>
      <c r="B226" s="56"/>
      <c r="C226" s="63"/>
      <c r="D226" s="63"/>
      <c r="E226" s="63"/>
      <c r="F226" s="63"/>
      <c r="G226" s="63"/>
      <c r="H226" s="23"/>
      <c r="I226" s="23"/>
      <c r="J226" s="99"/>
      <c r="K226" s="99"/>
      <c r="L226" s="99"/>
      <c r="M226" s="99"/>
      <c r="N226" s="43">
        <f t="shared" si="3"/>
        <v>0</v>
      </c>
      <c r="O226" s="48"/>
      <c r="P226" s="23"/>
      <c r="Q226" s="23"/>
    </row>
    <row r="227" spans="1:17">
      <c r="B227" s="57"/>
      <c r="C227" s="60"/>
      <c r="D227" s="60"/>
      <c r="E227" s="60"/>
      <c r="F227" s="60"/>
      <c r="G227" s="60"/>
      <c r="J227" s="99"/>
      <c r="K227" s="99"/>
      <c r="L227" s="99"/>
      <c r="M227" s="99"/>
      <c r="N227" s="43">
        <f t="shared" si="3"/>
        <v>0</v>
      </c>
    </row>
    <row r="228" spans="1:17">
      <c r="B228" s="57"/>
      <c r="C228" s="60"/>
      <c r="D228" s="60"/>
      <c r="E228" s="60"/>
      <c r="F228" s="60"/>
      <c r="G228" s="60"/>
      <c r="J228" s="99"/>
      <c r="K228" s="99"/>
      <c r="L228" s="99"/>
      <c r="M228" s="99"/>
      <c r="N228" s="43">
        <f t="shared" si="3"/>
        <v>0</v>
      </c>
    </row>
    <row r="229" spans="1:17">
      <c r="B229" s="57"/>
      <c r="C229" s="60"/>
      <c r="D229" s="60"/>
      <c r="E229" s="60"/>
      <c r="F229" s="60"/>
      <c r="G229" s="60"/>
      <c r="J229" s="99"/>
      <c r="K229" s="99"/>
      <c r="L229" s="99"/>
      <c r="M229" s="99"/>
      <c r="N229" s="43">
        <f t="shared" si="3"/>
        <v>0</v>
      </c>
    </row>
    <row r="230" spans="1:17">
      <c r="B230" s="57"/>
      <c r="C230" s="60"/>
      <c r="D230" s="60"/>
      <c r="E230" s="60"/>
      <c r="F230" s="60"/>
      <c r="G230" s="60"/>
      <c r="J230" s="99"/>
      <c r="K230" s="99"/>
      <c r="L230" s="99"/>
      <c r="M230" s="99"/>
      <c r="N230" s="43">
        <f t="shared" si="3"/>
        <v>0</v>
      </c>
    </row>
    <row r="231" spans="1:17">
      <c r="B231" s="57"/>
      <c r="C231" s="60"/>
      <c r="D231" s="60"/>
      <c r="E231" s="60"/>
      <c r="F231" s="60"/>
      <c r="G231" s="60"/>
      <c r="J231" s="99"/>
      <c r="K231" s="99"/>
      <c r="L231" s="99"/>
      <c r="M231" s="99"/>
      <c r="N231" s="43">
        <f t="shared" si="3"/>
        <v>0</v>
      </c>
    </row>
    <row r="232" spans="1:17">
      <c r="B232" s="57"/>
      <c r="C232" s="60"/>
      <c r="D232" s="60"/>
      <c r="E232" s="60"/>
      <c r="F232" s="60"/>
      <c r="G232" s="60"/>
      <c r="J232" s="99"/>
      <c r="K232" s="99"/>
      <c r="L232" s="99"/>
      <c r="M232" s="99"/>
      <c r="N232" s="43">
        <f t="shared" si="3"/>
        <v>0</v>
      </c>
    </row>
    <row r="233" spans="1:17">
      <c r="B233" s="57"/>
      <c r="C233" s="60"/>
      <c r="D233" s="60"/>
      <c r="E233" s="60"/>
      <c r="F233" s="60"/>
      <c r="G233" s="60"/>
      <c r="J233" s="99"/>
      <c r="K233" s="99"/>
      <c r="L233" s="99"/>
      <c r="M233" s="99"/>
      <c r="N233" s="43">
        <f t="shared" si="3"/>
        <v>0</v>
      </c>
    </row>
    <row r="234" spans="1:17">
      <c r="B234" s="57"/>
      <c r="C234" s="60"/>
      <c r="D234" s="60"/>
      <c r="E234" s="60"/>
      <c r="F234" s="60"/>
      <c r="G234" s="60"/>
      <c r="J234" s="99"/>
      <c r="K234" s="99"/>
      <c r="L234" s="99"/>
      <c r="M234" s="99"/>
      <c r="N234" s="43">
        <f t="shared" si="3"/>
        <v>0</v>
      </c>
    </row>
    <row r="235" spans="1:17">
      <c r="B235" s="57"/>
      <c r="C235" s="60"/>
      <c r="D235" s="60"/>
      <c r="E235" s="60"/>
      <c r="F235" s="60"/>
      <c r="G235" s="60"/>
      <c r="J235" s="99"/>
      <c r="K235" s="99"/>
      <c r="L235" s="99"/>
      <c r="M235" s="99"/>
      <c r="N235" s="43">
        <f t="shared" si="3"/>
        <v>0</v>
      </c>
    </row>
    <row r="236" spans="1:17">
      <c r="B236" s="57"/>
      <c r="C236" s="60"/>
      <c r="D236" s="60"/>
      <c r="E236" s="60"/>
      <c r="F236" s="60"/>
      <c r="G236" s="60"/>
      <c r="J236" s="99"/>
      <c r="K236" s="99"/>
      <c r="L236" s="99"/>
      <c r="M236" s="99"/>
      <c r="N236" s="43">
        <f t="shared" si="3"/>
        <v>0</v>
      </c>
    </row>
    <row r="237" spans="1:17">
      <c r="B237" s="57"/>
      <c r="C237" s="60"/>
      <c r="D237" s="60"/>
      <c r="E237" s="60"/>
      <c r="F237" s="60"/>
      <c r="G237" s="60"/>
      <c r="J237" s="99"/>
      <c r="K237" s="99"/>
      <c r="L237" s="99"/>
      <c r="M237" s="99"/>
      <c r="N237" s="43">
        <f t="shared" si="3"/>
        <v>0</v>
      </c>
    </row>
    <row r="238" spans="1:17">
      <c r="B238" s="57"/>
      <c r="C238" s="60"/>
      <c r="D238" s="60"/>
      <c r="E238" s="60"/>
      <c r="F238" s="60"/>
      <c r="G238" s="60"/>
      <c r="J238" s="99"/>
      <c r="K238" s="99"/>
      <c r="L238" s="99"/>
      <c r="M238" s="99"/>
      <c r="N238" s="43">
        <f t="shared" si="3"/>
        <v>0</v>
      </c>
    </row>
    <row r="239" spans="1:17">
      <c r="B239" s="57"/>
      <c r="C239" s="60"/>
      <c r="D239" s="60"/>
      <c r="E239" s="60"/>
      <c r="F239" s="60"/>
      <c r="G239" s="60"/>
      <c r="J239" s="99"/>
      <c r="K239" s="99"/>
      <c r="L239" s="99"/>
      <c r="M239" s="99"/>
      <c r="N239" s="43">
        <f t="shared" si="3"/>
        <v>0</v>
      </c>
    </row>
    <row r="240" spans="1:17">
      <c r="B240" s="57"/>
      <c r="C240" s="60"/>
      <c r="D240" s="60"/>
      <c r="E240" s="60"/>
      <c r="F240" s="60"/>
      <c r="G240" s="60"/>
      <c r="J240" s="99"/>
      <c r="K240" s="99"/>
      <c r="L240" s="99"/>
      <c r="M240" s="99"/>
      <c r="N240" s="43">
        <f t="shared" si="3"/>
        <v>0</v>
      </c>
    </row>
    <row r="241" spans="2:14">
      <c r="B241" s="57"/>
      <c r="C241" s="60"/>
      <c r="D241" s="60"/>
      <c r="E241" s="60"/>
      <c r="F241" s="60"/>
      <c r="G241" s="60"/>
      <c r="J241" s="99"/>
      <c r="K241" s="99"/>
      <c r="L241" s="99"/>
      <c r="M241" s="99"/>
      <c r="N241" s="43">
        <f t="shared" si="3"/>
        <v>0</v>
      </c>
    </row>
    <row r="242" spans="2:14">
      <c r="B242" s="57"/>
      <c r="C242" s="60"/>
      <c r="D242" s="60"/>
      <c r="E242" s="60"/>
      <c r="F242" s="60"/>
      <c r="G242" s="60"/>
      <c r="J242" s="99"/>
      <c r="K242" s="99"/>
      <c r="L242" s="99"/>
      <c r="M242" s="99"/>
      <c r="N242" s="43">
        <f t="shared" si="3"/>
        <v>0</v>
      </c>
    </row>
    <row r="243" spans="2:14">
      <c r="B243" s="57"/>
      <c r="C243" s="60"/>
      <c r="D243" s="60"/>
      <c r="E243" s="60"/>
      <c r="F243" s="60"/>
      <c r="G243" s="60"/>
      <c r="J243" s="99"/>
      <c r="K243" s="99"/>
      <c r="L243" s="99"/>
      <c r="M243" s="99"/>
      <c r="N243" s="43">
        <f t="shared" si="3"/>
        <v>0</v>
      </c>
    </row>
    <row r="244" spans="2:14">
      <c r="B244" s="57"/>
      <c r="C244" s="60"/>
      <c r="D244" s="60"/>
      <c r="E244" s="60"/>
      <c r="F244" s="60"/>
      <c r="G244" s="60"/>
      <c r="J244" s="99"/>
      <c r="K244" s="99"/>
      <c r="L244" s="99"/>
      <c r="M244" s="99"/>
      <c r="N244" s="43">
        <f t="shared" si="3"/>
        <v>0</v>
      </c>
    </row>
    <row r="245" spans="2:14">
      <c r="B245" s="57"/>
      <c r="C245" s="60"/>
      <c r="D245" s="60"/>
      <c r="E245" s="60"/>
      <c r="F245" s="60"/>
      <c r="G245" s="60"/>
      <c r="J245" s="99"/>
      <c r="K245" s="99"/>
      <c r="L245" s="99"/>
      <c r="M245" s="99"/>
      <c r="N245" s="43">
        <f t="shared" si="3"/>
        <v>0</v>
      </c>
    </row>
    <row r="246" spans="2:14">
      <c r="B246" s="57"/>
      <c r="C246" s="60"/>
      <c r="D246" s="60"/>
      <c r="E246" s="60"/>
      <c r="F246" s="60"/>
      <c r="G246" s="60"/>
      <c r="J246" s="99"/>
      <c r="K246" s="99"/>
      <c r="L246" s="99"/>
      <c r="M246" s="99"/>
      <c r="N246" s="43">
        <f t="shared" si="3"/>
        <v>0</v>
      </c>
    </row>
    <row r="247" spans="2:14">
      <c r="B247" s="57"/>
      <c r="C247" s="60"/>
      <c r="D247" s="60"/>
      <c r="E247" s="60"/>
      <c r="F247" s="60"/>
      <c r="G247" s="60"/>
      <c r="J247" s="99"/>
      <c r="K247" s="99"/>
      <c r="L247" s="99"/>
      <c r="M247" s="99"/>
      <c r="N247" s="43">
        <f t="shared" si="3"/>
        <v>0</v>
      </c>
    </row>
    <row r="248" spans="2:14">
      <c r="B248" s="57"/>
      <c r="C248" s="60"/>
      <c r="D248" s="60"/>
      <c r="E248" s="60"/>
      <c r="F248" s="60"/>
      <c r="G248" s="60"/>
      <c r="J248" s="99"/>
      <c r="K248" s="99"/>
      <c r="L248" s="99"/>
      <c r="M248" s="99"/>
      <c r="N248" s="43">
        <f t="shared" si="3"/>
        <v>0</v>
      </c>
    </row>
    <row r="249" spans="2:14">
      <c r="B249" s="57"/>
      <c r="C249" s="60"/>
      <c r="D249" s="60"/>
      <c r="E249" s="60"/>
      <c r="F249" s="60"/>
      <c r="G249" s="60"/>
      <c r="J249" s="99"/>
      <c r="K249" s="99"/>
      <c r="L249" s="99"/>
      <c r="M249" s="99"/>
      <c r="N249" s="43">
        <f t="shared" si="3"/>
        <v>0</v>
      </c>
    </row>
    <row r="250" spans="2:14">
      <c r="B250" s="57"/>
      <c r="C250" s="60"/>
      <c r="D250" s="60"/>
      <c r="E250" s="60"/>
      <c r="F250" s="60"/>
      <c r="G250" s="60"/>
      <c r="J250" s="99"/>
      <c r="K250" s="99"/>
      <c r="L250" s="99"/>
      <c r="M250" s="99"/>
      <c r="N250" s="43">
        <f t="shared" si="3"/>
        <v>0</v>
      </c>
    </row>
    <row r="251" spans="2:14">
      <c r="B251" s="57"/>
      <c r="C251" s="60"/>
      <c r="D251" s="60"/>
      <c r="E251" s="60"/>
      <c r="F251" s="60"/>
      <c r="G251" s="60"/>
      <c r="J251" s="99"/>
      <c r="K251" s="99"/>
      <c r="L251" s="99"/>
      <c r="M251" s="99"/>
      <c r="N251" s="43">
        <f t="shared" si="3"/>
        <v>0</v>
      </c>
    </row>
    <row r="252" spans="2:14">
      <c r="B252" s="57"/>
      <c r="C252" s="60"/>
      <c r="D252" s="60"/>
      <c r="E252" s="60"/>
      <c r="F252" s="60"/>
      <c r="G252" s="60"/>
      <c r="J252" s="99"/>
      <c r="K252" s="99"/>
      <c r="L252" s="99"/>
      <c r="M252" s="99"/>
      <c r="N252" s="43">
        <f t="shared" si="3"/>
        <v>0</v>
      </c>
    </row>
    <row r="253" spans="2:14">
      <c r="B253" s="57"/>
      <c r="C253" s="60"/>
      <c r="D253" s="60"/>
      <c r="E253" s="60"/>
      <c r="F253" s="60"/>
      <c r="G253" s="60"/>
      <c r="J253" s="99"/>
      <c r="K253" s="99"/>
      <c r="L253" s="99"/>
      <c r="M253" s="99"/>
      <c r="N253" s="43">
        <f t="shared" si="3"/>
        <v>0</v>
      </c>
    </row>
    <row r="254" spans="2:14">
      <c r="B254" s="57"/>
      <c r="C254" s="60"/>
      <c r="D254" s="60"/>
      <c r="E254" s="60"/>
      <c r="F254" s="60"/>
      <c r="G254" s="60"/>
      <c r="J254" s="99"/>
      <c r="K254" s="99"/>
      <c r="L254" s="99"/>
      <c r="M254" s="99"/>
      <c r="N254" s="43">
        <f t="shared" si="3"/>
        <v>0</v>
      </c>
    </row>
    <row r="255" spans="2:14">
      <c r="B255" s="57"/>
      <c r="C255" s="60"/>
      <c r="D255" s="60"/>
      <c r="E255" s="60"/>
      <c r="F255" s="60"/>
      <c r="G255" s="60"/>
      <c r="J255" s="99"/>
      <c r="K255" s="99"/>
      <c r="L255" s="99"/>
      <c r="M255" s="99"/>
      <c r="N255" s="43">
        <f t="shared" si="3"/>
        <v>0</v>
      </c>
    </row>
    <row r="256" spans="2:14">
      <c r="B256" s="57"/>
      <c r="C256" s="60"/>
      <c r="D256" s="60"/>
      <c r="E256" s="60"/>
      <c r="F256" s="60"/>
      <c r="G256" s="60"/>
      <c r="J256" s="99"/>
      <c r="K256" s="99"/>
      <c r="L256" s="99"/>
      <c r="M256" s="99"/>
      <c r="N256" s="43">
        <f t="shared" si="3"/>
        <v>0</v>
      </c>
    </row>
    <row r="257" spans="2:14">
      <c r="B257" s="57"/>
      <c r="C257" s="60"/>
      <c r="D257" s="60"/>
      <c r="E257" s="60"/>
      <c r="F257" s="60"/>
      <c r="G257" s="60"/>
      <c r="J257" s="99"/>
      <c r="K257" s="99"/>
      <c r="L257" s="99"/>
      <c r="M257" s="99"/>
      <c r="N257" s="43">
        <f t="shared" si="3"/>
        <v>0</v>
      </c>
    </row>
    <row r="258" spans="2:14">
      <c r="B258" s="57"/>
      <c r="C258" s="60"/>
      <c r="D258" s="60"/>
      <c r="E258" s="60"/>
      <c r="F258" s="60"/>
      <c r="G258" s="60"/>
      <c r="J258" s="99"/>
      <c r="K258" s="99"/>
      <c r="L258" s="99"/>
      <c r="M258" s="99"/>
      <c r="N258" s="43">
        <f t="shared" si="3"/>
        <v>0</v>
      </c>
    </row>
    <row r="259" spans="2:14">
      <c r="B259" s="57"/>
      <c r="C259" s="60"/>
      <c r="D259" s="60"/>
      <c r="E259" s="60"/>
      <c r="F259" s="60"/>
      <c r="G259" s="60"/>
      <c r="J259" s="99"/>
      <c r="K259" s="99"/>
      <c r="L259" s="99"/>
      <c r="M259" s="99"/>
      <c r="N259" s="43">
        <f t="shared" si="3"/>
        <v>0</v>
      </c>
    </row>
    <row r="260" spans="2:14">
      <c r="B260" s="57"/>
      <c r="C260" s="60"/>
      <c r="D260" s="60"/>
      <c r="E260" s="60"/>
      <c r="F260" s="60"/>
      <c r="G260" s="60"/>
      <c r="J260" s="99"/>
      <c r="K260" s="99"/>
      <c r="L260" s="99"/>
      <c r="M260" s="99"/>
      <c r="N260" s="43">
        <f t="shared" si="3"/>
        <v>0</v>
      </c>
    </row>
    <row r="261" spans="2:14">
      <c r="B261" s="57"/>
      <c r="C261" s="60"/>
      <c r="D261" s="60"/>
      <c r="E261" s="60"/>
      <c r="F261" s="60"/>
      <c r="G261" s="60"/>
      <c r="J261" s="99"/>
      <c r="K261" s="99"/>
      <c r="L261" s="99"/>
      <c r="M261" s="99"/>
      <c r="N261" s="43">
        <f t="shared" si="3"/>
        <v>0</v>
      </c>
    </row>
    <row r="262" spans="2:14">
      <c r="B262" s="57"/>
      <c r="C262" s="60"/>
      <c r="D262" s="60"/>
      <c r="E262" s="60"/>
      <c r="F262" s="60"/>
      <c r="G262" s="60"/>
      <c r="J262" s="99"/>
      <c r="K262" s="99"/>
      <c r="L262" s="99"/>
      <c r="M262" s="99"/>
      <c r="N262" s="43">
        <f t="shared" si="3"/>
        <v>0</v>
      </c>
    </row>
    <row r="263" spans="2:14">
      <c r="B263" s="57"/>
      <c r="C263" s="60"/>
      <c r="D263" s="60"/>
      <c r="E263" s="60"/>
      <c r="F263" s="60"/>
      <c r="G263" s="60"/>
      <c r="J263" s="99"/>
      <c r="K263" s="99"/>
      <c r="L263" s="99"/>
      <c r="M263" s="99"/>
      <c r="N263" s="43">
        <f t="shared" si="3"/>
        <v>0</v>
      </c>
    </row>
    <row r="264" spans="2:14">
      <c r="B264" s="57"/>
      <c r="C264" s="60"/>
      <c r="D264" s="60"/>
      <c r="E264" s="60"/>
      <c r="F264" s="60"/>
      <c r="G264" s="60"/>
      <c r="J264" s="99"/>
      <c r="K264" s="99"/>
      <c r="L264" s="99"/>
      <c r="M264" s="99"/>
      <c r="N264" s="43">
        <f t="shared" si="3"/>
        <v>0</v>
      </c>
    </row>
    <row r="265" spans="2:14">
      <c r="B265" s="57"/>
      <c r="C265" s="60"/>
      <c r="D265" s="60"/>
      <c r="E265" s="60"/>
      <c r="F265" s="60"/>
      <c r="G265" s="60"/>
      <c r="J265" s="99"/>
      <c r="K265" s="99"/>
      <c r="L265" s="99"/>
      <c r="M265" s="99"/>
      <c r="N265" s="43">
        <f t="shared" si="3"/>
        <v>0</v>
      </c>
    </row>
    <row r="266" spans="2:14">
      <c r="B266" s="57"/>
      <c r="C266" s="60"/>
      <c r="D266" s="60"/>
      <c r="E266" s="60"/>
      <c r="F266" s="60"/>
      <c r="G266" s="60"/>
      <c r="J266" s="99"/>
      <c r="K266" s="99"/>
      <c r="L266" s="99"/>
      <c r="M266" s="99"/>
      <c r="N266" s="43">
        <f t="shared" si="3"/>
        <v>0</v>
      </c>
    </row>
    <row r="267" spans="2:14">
      <c r="B267" s="57"/>
      <c r="C267" s="60"/>
      <c r="D267" s="60"/>
      <c r="E267" s="60"/>
      <c r="F267" s="60"/>
      <c r="G267" s="60"/>
      <c r="J267" s="99"/>
      <c r="K267" s="99"/>
      <c r="L267" s="99"/>
      <c r="M267" s="99"/>
      <c r="N267" s="43">
        <f t="shared" ref="N267:N330" si="4">IF($L$4=$C$10,C267,IF(D267="","",B267))</f>
        <v>0</v>
      </c>
    </row>
    <row r="268" spans="2:14">
      <c r="B268" s="57"/>
      <c r="C268" s="60"/>
      <c r="D268" s="60"/>
      <c r="E268" s="60"/>
      <c r="F268" s="60"/>
      <c r="G268" s="60"/>
      <c r="J268" s="99"/>
      <c r="K268" s="99"/>
      <c r="L268" s="99"/>
      <c r="M268" s="99"/>
      <c r="N268" s="43">
        <f t="shared" si="4"/>
        <v>0</v>
      </c>
    </row>
    <row r="269" spans="2:14">
      <c r="B269" s="57"/>
      <c r="C269" s="60"/>
      <c r="D269" s="60"/>
      <c r="E269" s="60"/>
      <c r="F269" s="60"/>
      <c r="G269" s="60"/>
      <c r="J269" s="99"/>
      <c r="K269" s="99"/>
      <c r="L269" s="99"/>
      <c r="M269" s="99"/>
      <c r="N269" s="43">
        <f t="shared" si="4"/>
        <v>0</v>
      </c>
    </row>
    <row r="270" spans="2:14">
      <c r="B270" s="57"/>
      <c r="C270" s="60"/>
      <c r="D270" s="60"/>
      <c r="E270" s="60"/>
      <c r="F270" s="60"/>
      <c r="G270" s="60"/>
      <c r="J270" s="99"/>
      <c r="K270" s="99"/>
      <c r="L270" s="99"/>
      <c r="M270" s="99"/>
      <c r="N270" s="43">
        <f t="shared" si="4"/>
        <v>0</v>
      </c>
    </row>
    <row r="271" spans="2:14">
      <c r="B271" s="57"/>
      <c r="C271" s="60"/>
      <c r="D271" s="60"/>
      <c r="E271" s="60"/>
      <c r="F271" s="60"/>
      <c r="G271" s="60"/>
      <c r="J271" s="99"/>
      <c r="K271" s="99"/>
      <c r="L271" s="99"/>
      <c r="M271" s="99"/>
      <c r="N271" s="43">
        <f t="shared" si="4"/>
        <v>0</v>
      </c>
    </row>
    <row r="272" spans="2:14">
      <c r="B272" s="57"/>
      <c r="C272" s="60"/>
      <c r="D272" s="60"/>
      <c r="E272" s="60"/>
      <c r="F272" s="60"/>
      <c r="G272" s="60"/>
      <c r="J272" s="99"/>
      <c r="K272" s="99"/>
      <c r="L272" s="99"/>
      <c r="M272" s="99"/>
      <c r="N272" s="43">
        <f t="shared" si="4"/>
        <v>0</v>
      </c>
    </row>
    <row r="273" spans="2:14">
      <c r="B273" s="57"/>
      <c r="C273" s="60"/>
      <c r="D273" s="60"/>
      <c r="E273" s="60"/>
      <c r="F273" s="60"/>
      <c r="G273" s="60"/>
      <c r="J273" s="99"/>
      <c r="K273" s="99"/>
      <c r="L273" s="99"/>
      <c r="M273" s="99"/>
      <c r="N273" s="43">
        <f t="shared" si="4"/>
        <v>0</v>
      </c>
    </row>
    <row r="274" spans="2:14">
      <c r="B274" s="57"/>
      <c r="C274" s="60"/>
      <c r="D274" s="60"/>
      <c r="E274" s="60"/>
      <c r="F274" s="60"/>
      <c r="G274" s="60"/>
      <c r="J274" s="99"/>
      <c r="K274" s="99"/>
      <c r="L274" s="99"/>
      <c r="M274" s="99"/>
      <c r="N274" s="43">
        <f t="shared" si="4"/>
        <v>0</v>
      </c>
    </row>
    <row r="275" spans="2:14">
      <c r="B275" s="57"/>
      <c r="C275" s="60"/>
      <c r="D275" s="60"/>
      <c r="E275" s="60"/>
      <c r="F275" s="60"/>
      <c r="G275" s="60"/>
      <c r="J275" s="99"/>
      <c r="K275" s="99"/>
      <c r="L275" s="99"/>
      <c r="M275" s="99"/>
      <c r="N275" s="43">
        <f t="shared" si="4"/>
        <v>0</v>
      </c>
    </row>
    <row r="276" spans="2:14">
      <c r="B276" s="57"/>
      <c r="C276" s="60"/>
      <c r="D276" s="60"/>
      <c r="E276" s="60"/>
      <c r="F276" s="60"/>
      <c r="G276" s="60"/>
      <c r="J276" s="99"/>
      <c r="K276" s="99"/>
      <c r="L276" s="99"/>
      <c r="M276" s="99"/>
      <c r="N276" s="43">
        <f t="shared" si="4"/>
        <v>0</v>
      </c>
    </row>
    <row r="277" spans="2:14">
      <c r="B277" s="57"/>
      <c r="C277" s="60"/>
      <c r="D277" s="60"/>
      <c r="E277" s="60"/>
      <c r="F277" s="60"/>
      <c r="G277" s="60"/>
      <c r="J277" s="99"/>
      <c r="K277" s="99"/>
      <c r="L277" s="99"/>
      <c r="M277" s="99"/>
      <c r="N277" s="43">
        <f t="shared" si="4"/>
        <v>0</v>
      </c>
    </row>
    <row r="278" spans="2:14">
      <c r="B278" s="57"/>
      <c r="C278" s="60"/>
      <c r="D278" s="60"/>
      <c r="E278" s="60"/>
      <c r="F278" s="60"/>
      <c r="G278" s="60"/>
      <c r="J278" s="99"/>
      <c r="K278" s="99"/>
      <c r="L278" s="99"/>
      <c r="M278" s="99"/>
      <c r="N278" s="43">
        <f t="shared" si="4"/>
        <v>0</v>
      </c>
    </row>
    <row r="279" spans="2:14">
      <c r="B279" s="57"/>
      <c r="C279" s="60"/>
      <c r="D279" s="60"/>
      <c r="E279" s="60"/>
      <c r="F279" s="60"/>
      <c r="G279" s="60"/>
      <c r="J279" s="99"/>
      <c r="K279" s="99"/>
      <c r="L279" s="99"/>
      <c r="M279" s="99"/>
      <c r="N279" s="43">
        <f t="shared" si="4"/>
        <v>0</v>
      </c>
    </row>
    <row r="280" spans="2:14">
      <c r="B280" s="57"/>
      <c r="C280" s="60"/>
      <c r="D280" s="60"/>
      <c r="E280" s="60"/>
      <c r="F280" s="60"/>
      <c r="G280" s="60"/>
      <c r="J280" s="99"/>
      <c r="K280" s="99"/>
      <c r="L280" s="99"/>
      <c r="M280" s="99"/>
      <c r="N280" s="43">
        <f t="shared" si="4"/>
        <v>0</v>
      </c>
    </row>
    <row r="281" spans="2:14">
      <c r="B281" s="57"/>
      <c r="C281" s="60"/>
      <c r="D281" s="60"/>
      <c r="E281" s="60"/>
      <c r="F281" s="60"/>
      <c r="G281" s="60"/>
      <c r="J281" s="99"/>
      <c r="K281" s="99"/>
      <c r="L281" s="99"/>
      <c r="M281" s="99"/>
      <c r="N281" s="43">
        <f t="shared" si="4"/>
        <v>0</v>
      </c>
    </row>
    <row r="282" spans="2:14">
      <c r="B282" s="57"/>
      <c r="C282" s="60"/>
      <c r="D282" s="60"/>
      <c r="E282" s="60"/>
      <c r="F282" s="60"/>
      <c r="G282" s="60"/>
      <c r="J282" s="99"/>
      <c r="K282" s="99"/>
      <c r="L282" s="99"/>
      <c r="M282" s="99"/>
      <c r="N282" s="43">
        <f t="shared" si="4"/>
        <v>0</v>
      </c>
    </row>
    <row r="283" spans="2:14">
      <c r="B283" s="57"/>
      <c r="C283" s="60"/>
      <c r="D283" s="60"/>
      <c r="E283" s="60"/>
      <c r="F283" s="60"/>
      <c r="G283" s="60"/>
      <c r="J283" s="99"/>
      <c r="K283" s="99"/>
      <c r="L283" s="99"/>
      <c r="M283" s="99"/>
      <c r="N283" s="43">
        <f t="shared" si="4"/>
        <v>0</v>
      </c>
    </row>
    <row r="284" spans="2:14">
      <c r="B284" s="57"/>
      <c r="C284" s="60"/>
      <c r="D284" s="60"/>
      <c r="E284" s="60"/>
      <c r="F284" s="60"/>
      <c r="G284" s="60"/>
      <c r="J284" s="99"/>
      <c r="K284" s="99"/>
      <c r="L284" s="99"/>
      <c r="M284" s="99"/>
      <c r="N284" s="43">
        <f t="shared" si="4"/>
        <v>0</v>
      </c>
    </row>
    <row r="285" spans="2:14">
      <c r="B285" s="57"/>
      <c r="C285" s="60"/>
      <c r="D285" s="60"/>
      <c r="E285" s="60"/>
      <c r="F285" s="60"/>
      <c r="G285" s="60"/>
      <c r="J285" s="99"/>
      <c r="K285" s="99"/>
      <c r="L285" s="99"/>
      <c r="M285" s="99"/>
      <c r="N285" s="43">
        <f t="shared" si="4"/>
        <v>0</v>
      </c>
    </row>
    <row r="286" spans="2:14">
      <c r="B286" s="57"/>
      <c r="C286" s="60"/>
      <c r="D286" s="60"/>
      <c r="E286" s="60"/>
      <c r="F286" s="60"/>
      <c r="G286" s="60"/>
      <c r="J286" s="99"/>
      <c r="K286" s="99"/>
      <c r="L286" s="99"/>
      <c r="M286" s="99"/>
      <c r="N286" s="43">
        <f t="shared" si="4"/>
        <v>0</v>
      </c>
    </row>
    <row r="287" spans="2:14">
      <c r="B287" s="57"/>
      <c r="C287" s="60"/>
      <c r="D287" s="60"/>
      <c r="E287" s="60"/>
      <c r="F287" s="60"/>
      <c r="G287" s="60"/>
      <c r="J287" s="99"/>
      <c r="K287" s="99"/>
      <c r="L287" s="99"/>
      <c r="M287" s="99"/>
      <c r="N287" s="43">
        <f t="shared" si="4"/>
        <v>0</v>
      </c>
    </row>
    <row r="288" spans="2:14">
      <c r="B288" s="57"/>
      <c r="C288" s="60"/>
      <c r="D288" s="60"/>
      <c r="E288" s="60"/>
      <c r="F288" s="60"/>
      <c r="G288" s="60"/>
      <c r="J288" s="99"/>
      <c r="K288" s="99"/>
      <c r="L288" s="99"/>
      <c r="M288" s="99"/>
      <c r="N288" s="43">
        <f t="shared" si="4"/>
        <v>0</v>
      </c>
    </row>
    <row r="289" spans="2:14">
      <c r="B289" s="57"/>
      <c r="C289" s="60"/>
      <c r="D289" s="60"/>
      <c r="E289" s="60"/>
      <c r="F289" s="60"/>
      <c r="G289" s="60"/>
      <c r="J289" s="99"/>
      <c r="K289" s="99"/>
      <c r="L289" s="99"/>
      <c r="M289" s="99"/>
      <c r="N289" s="43">
        <f t="shared" si="4"/>
        <v>0</v>
      </c>
    </row>
    <row r="290" spans="2:14">
      <c r="B290" s="57"/>
      <c r="C290" s="60"/>
      <c r="D290" s="60"/>
      <c r="E290" s="60"/>
      <c r="F290" s="60"/>
      <c r="G290" s="60"/>
      <c r="J290" s="99"/>
      <c r="K290" s="99"/>
      <c r="L290" s="99"/>
      <c r="M290" s="99"/>
      <c r="N290" s="43">
        <f t="shared" si="4"/>
        <v>0</v>
      </c>
    </row>
    <row r="291" spans="2:14">
      <c r="B291" s="57"/>
      <c r="C291" s="60"/>
      <c r="D291" s="60"/>
      <c r="E291" s="60"/>
      <c r="F291" s="60"/>
      <c r="G291" s="60"/>
      <c r="J291" s="99"/>
      <c r="K291" s="99"/>
      <c r="L291" s="99"/>
      <c r="M291" s="99"/>
      <c r="N291" s="43">
        <f t="shared" si="4"/>
        <v>0</v>
      </c>
    </row>
    <row r="292" spans="2:14">
      <c r="B292" s="57"/>
      <c r="C292" s="60"/>
      <c r="D292" s="60"/>
      <c r="E292" s="60"/>
      <c r="F292" s="60"/>
      <c r="G292" s="60"/>
      <c r="J292" s="99"/>
      <c r="K292" s="99"/>
      <c r="L292" s="99"/>
      <c r="M292" s="99"/>
      <c r="N292" s="43">
        <f t="shared" si="4"/>
        <v>0</v>
      </c>
    </row>
    <row r="293" spans="2:14">
      <c r="B293" s="57"/>
      <c r="C293" s="60"/>
      <c r="D293" s="60"/>
      <c r="E293" s="60"/>
      <c r="F293" s="60"/>
      <c r="G293" s="60"/>
      <c r="J293" s="99"/>
      <c r="K293" s="99"/>
      <c r="L293" s="99"/>
      <c r="M293" s="99"/>
      <c r="N293" s="43">
        <f t="shared" si="4"/>
        <v>0</v>
      </c>
    </row>
    <row r="294" spans="2:14">
      <c r="B294" s="57"/>
      <c r="C294" s="60"/>
      <c r="D294" s="60"/>
      <c r="E294" s="60"/>
      <c r="F294" s="60"/>
      <c r="G294" s="60"/>
      <c r="J294" s="99"/>
      <c r="K294" s="99"/>
      <c r="L294" s="99"/>
      <c r="M294" s="99"/>
      <c r="N294" s="43">
        <f t="shared" si="4"/>
        <v>0</v>
      </c>
    </row>
    <row r="295" spans="2:14">
      <c r="B295" s="57"/>
      <c r="C295" s="60"/>
      <c r="D295" s="60"/>
      <c r="E295" s="60"/>
      <c r="F295" s="60"/>
      <c r="G295" s="60"/>
      <c r="J295" s="99"/>
      <c r="K295" s="99"/>
      <c r="L295" s="99"/>
      <c r="M295" s="99"/>
      <c r="N295" s="43">
        <f t="shared" si="4"/>
        <v>0</v>
      </c>
    </row>
    <row r="296" spans="2:14">
      <c r="B296" s="57"/>
      <c r="C296" s="60"/>
      <c r="D296" s="60"/>
      <c r="E296" s="60"/>
      <c r="F296" s="60"/>
      <c r="G296" s="60"/>
      <c r="J296" s="99"/>
      <c r="K296" s="99"/>
      <c r="L296" s="99"/>
      <c r="M296" s="99"/>
      <c r="N296" s="43">
        <f t="shared" si="4"/>
        <v>0</v>
      </c>
    </row>
    <row r="297" spans="2:14">
      <c r="B297" s="57"/>
      <c r="C297" s="60"/>
      <c r="D297" s="60"/>
      <c r="E297" s="60"/>
      <c r="F297" s="60"/>
      <c r="G297" s="60"/>
      <c r="J297" s="99"/>
      <c r="K297" s="99"/>
      <c r="L297" s="99"/>
      <c r="M297" s="99"/>
      <c r="N297" s="43">
        <f t="shared" si="4"/>
        <v>0</v>
      </c>
    </row>
    <row r="298" spans="2:14">
      <c r="B298" s="57"/>
      <c r="C298" s="60"/>
      <c r="D298" s="60"/>
      <c r="E298" s="60"/>
      <c r="F298" s="60"/>
      <c r="G298" s="60"/>
      <c r="J298" s="99"/>
      <c r="K298" s="99"/>
      <c r="L298" s="99"/>
      <c r="M298" s="99"/>
      <c r="N298" s="43">
        <f t="shared" si="4"/>
        <v>0</v>
      </c>
    </row>
    <row r="299" spans="2:14">
      <c r="B299" s="57"/>
      <c r="C299" s="60"/>
      <c r="D299" s="60"/>
      <c r="E299" s="60"/>
      <c r="F299" s="60"/>
      <c r="G299" s="60"/>
      <c r="J299" s="99"/>
      <c r="K299" s="99"/>
      <c r="L299" s="99"/>
      <c r="M299" s="99"/>
      <c r="N299" s="43">
        <f t="shared" si="4"/>
        <v>0</v>
      </c>
    </row>
    <row r="300" spans="2:14">
      <c r="B300" s="57"/>
      <c r="C300" s="60"/>
      <c r="D300" s="60"/>
      <c r="E300" s="60"/>
      <c r="F300" s="60"/>
      <c r="G300" s="60"/>
      <c r="J300" s="99"/>
      <c r="K300" s="99"/>
      <c r="L300" s="99"/>
      <c r="M300" s="99"/>
      <c r="N300" s="43">
        <f t="shared" si="4"/>
        <v>0</v>
      </c>
    </row>
    <row r="301" spans="2:14">
      <c r="B301" s="57"/>
      <c r="C301" s="60"/>
      <c r="D301" s="60"/>
      <c r="E301" s="60"/>
      <c r="F301" s="60"/>
      <c r="G301" s="60"/>
      <c r="J301" s="99"/>
      <c r="K301" s="99"/>
      <c r="L301" s="99"/>
      <c r="M301" s="99"/>
      <c r="N301" s="43">
        <f t="shared" si="4"/>
        <v>0</v>
      </c>
    </row>
    <row r="302" spans="2:14">
      <c r="B302" s="57"/>
      <c r="C302" s="60"/>
      <c r="D302" s="60"/>
      <c r="E302" s="60"/>
      <c r="F302" s="60"/>
      <c r="G302" s="60"/>
      <c r="J302" s="99"/>
      <c r="K302" s="99"/>
      <c r="L302" s="99"/>
      <c r="M302" s="99"/>
      <c r="N302" s="43">
        <f t="shared" si="4"/>
        <v>0</v>
      </c>
    </row>
    <row r="303" spans="2:14">
      <c r="B303" s="57"/>
      <c r="C303" s="60"/>
      <c r="D303" s="60"/>
      <c r="E303" s="60"/>
      <c r="F303" s="60"/>
      <c r="G303" s="60"/>
      <c r="J303" s="99"/>
      <c r="K303" s="99"/>
      <c r="L303" s="99"/>
      <c r="M303" s="99"/>
      <c r="N303" s="43">
        <f t="shared" si="4"/>
        <v>0</v>
      </c>
    </row>
    <row r="304" spans="2:14">
      <c r="B304" s="57"/>
      <c r="C304" s="60"/>
      <c r="D304" s="60"/>
      <c r="E304" s="60"/>
      <c r="F304" s="60"/>
      <c r="G304" s="60"/>
      <c r="J304" s="99"/>
      <c r="K304" s="99"/>
      <c r="L304" s="99"/>
      <c r="M304" s="99"/>
      <c r="N304" s="43">
        <f t="shared" si="4"/>
        <v>0</v>
      </c>
    </row>
    <row r="305" spans="2:14">
      <c r="B305" s="57"/>
      <c r="C305" s="60"/>
      <c r="D305" s="60"/>
      <c r="E305" s="60"/>
      <c r="F305" s="60"/>
      <c r="G305" s="60"/>
      <c r="J305" s="99"/>
      <c r="K305" s="99"/>
      <c r="L305" s="99"/>
      <c r="M305" s="99"/>
      <c r="N305" s="43">
        <f t="shared" si="4"/>
        <v>0</v>
      </c>
    </row>
    <row r="306" spans="2:14">
      <c r="B306" s="57"/>
      <c r="C306" s="60"/>
      <c r="D306" s="60"/>
      <c r="E306" s="60"/>
      <c r="F306" s="60"/>
      <c r="G306" s="60"/>
      <c r="J306" s="99"/>
      <c r="K306" s="99"/>
      <c r="L306" s="99"/>
      <c r="M306" s="99"/>
      <c r="N306" s="43">
        <f t="shared" si="4"/>
        <v>0</v>
      </c>
    </row>
    <row r="307" spans="2:14">
      <c r="B307" s="57"/>
      <c r="C307" s="60"/>
      <c r="D307" s="60"/>
      <c r="E307" s="60"/>
      <c r="F307" s="60"/>
      <c r="G307" s="60"/>
      <c r="J307" s="99"/>
      <c r="K307" s="99"/>
      <c r="L307" s="99"/>
      <c r="M307" s="99"/>
      <c r="N307" s="43">
        <f t="shared" si="4"/>
        <v>0</v>
      </c>
    </row>
    <row r="308" spans="2:14">
      <c r="B308" s="57"/>
      <c r="C308" s="60"/>
      <c r="D308" s="60"/>
      <c r="E308" s="60"/>
      <c r="F308" s="60"/>
      <c r="G308" s="60"/>
      <c r="J308" s="99"/>
      <c r="K308" s="99"/>
      <c r="L308" s="99"/>
      <c r="M308" s="99"/>
      <c r="N308" s="43">
        <f t="shared" si="4"/>
        <v>0</v>
      </c>
    </row>
    <row r="309" spans="2:14">
      <c r="B309" s="57"/>
      <c r="C309" s="60"/>
      <c r="D309" s="60"/>
      <c r="E309" s="60"/>
      <c r="F309" s="60"/>
      <c r="G309" s="60"/>
      <c r="J309" s="99"/>
      <c r="K309" s="99"/>
      <c r="L309" s="99"/>
      <c r="M309" s="99"/>
      <c r="N309" s="43">
        <f t="shared" si="4"/>
        <v>0</v>
      </c>
    </row>
    <row r="310" spans="2:14">
      <c r="B310" s="57"/>
      <c r="C310" s="60"/>
      <c r="D310" s="60"/>
      <c r="E310" s="60"/>
      <c r="F310" s="60"/>
      <c r="G310" s="60"/>
      <c r="J310" s="99"/>
      <c r="K310" s="99"/>
      <c r="L310" s="99"/>
      <c r="M310" s="99"/>
      <c r="N310" s="43">
        <f t="shared" si="4"/>
        <v>0</v>
      </c>
    </row>
    <row r="311" spans="2:14">
      <c r="B311" s="57"/>
      <c r="C311" s="60"/>
      <c r="D311" s="60"/>
      <c r="E311" s="60"/>
      <c r="F311" s="60"/>
      <c r="G311" s="60"/>
      <c r="J311" s="99"/>
      <c r="K311" s="99"/>
      <c r="L311" s="99"/>
      <c r="M311" s="99"/>
      <c r="N311" s="43">
        <f t="shared" si="4"/>
        <v>0</v>
      </c>
    </row>
    <row r="312" spans="2:14">
      <c r="B312" s="57"/>
      <c r="C312" s="60"/>
      <c r="D312" s="60"/>
      <c r="E312" s="60"/>
      <c r="F312" s="60"/>
      <c r="G312" s="60"/>
      <c r="J312" s="99"/>
      <c r="K312" s="99"/>
      <c r="L312" s="99"/>
      <c r="M312" s="99"/>
      <c r="N312" s="43">
        <f t="shared" si="4"/>
        <v>0</v>
      </c>
    </row>
    <row r="313" spans="2:14">
      <c r="B313" s="57"/>
      <c r="C313" s="60"/>
      <c r="D313" s="60"/>
      <c r="E313" s="60"/>
      <c r="F313" s="60"/>
      <c r="G313" s="60"/>
      <c r="J313" s="99"/>
      <c r="K313" s="99"/>
      <c r="L313" s="99"/>
      <c r="M313" s="99"/>
      <c r="N313" s="43">
        <f t="shared" si="4"/>
        <v>0</v>
      </c>
    </row>
    <row r="314" spans="2:14">
      <c r="B314" s="57"/>
      <c r="C314" s="60"/>
      <c r="D314" s="60"/>
      <c r="E314" s="60"/>
      <c r="F314" s="60"/>
      <c r="G314" s="60"/>
      <c r="J314" s="99"/>
      <c r="K314" s="99"/>
      <c r="L314" s="99"/>
      <c r="M314" s="99"/>
      <c r="N314" s="43">
        <f t="shared" si="4"/>
        <v>0</v>
      </c>
    </row>
    <row r="315" spans="2:14">
      <c r="B315" s="57"/>
      <c r="C315" s="60"/>
      <c r="D315" s="60"/>
      <c r="E315" s="60"/>
      <c r="F315" s="60"/>
      <c r="G315" s="60"/>
      <c r="J315" s="99"/>
      <c r="K315" s="99"/>
      <c r="L315" s="99"/>
      <c r="M315" s="99"/>
      <c r="N315" s="43">
        <f t="shared" si="4"/>
        <v>0</v>
      </c>
    </row>
    <row r="316" spans="2:14">
      <c r="B316" s="57"/>
      <c r="C316" s="60"/>
      <c r="D316" s="60"/>
      <c r="E316" s="60"/>
      <c r="F316" s="60"/>
      <c r="G316" s="60"/>
      <c r="J316" s="99"/>
      <c r="K316" s="99"/>
      <c r="L316" s="99"/>
      <c r="M316" s="99"/>
      <c r="N316" s="43">
        <f t="shared" si="4"/>
        <v>0</v>
      </c>
    </row>
    <row r="317" spans="2:14">
      <c r="B317" s="57"/>
      <c r="C317" s="60"/>
      <c r="D317" s="60"/>
      <c r="E317" s="60"/>
      <c r="F317" s="60"/>
      <c r="G317" s="60"/>
      <c r="J317" s="99"/>
      <c r="K317" s="99"/>
      <c r="L317" s="99"/>
      <c r="M317" s="99"/>
      <c r="N317" s="43">
        <f t="shared" si="4"/>
        <v>0</v>
      </c>
    </row>
    <row r="318" spans="2:14">
      <c r="B318" s="57"/>
      <c r="C318" s="60"/>
      <c r="D318" s="60"/>
      <c r="E318" s="60"/>
      <c r="F318" s="60"/>
      <c r="G318" s="60"/>
      <c r="J318" s="99"/>
      <c r="K318" s="99"/>
      <c r="L318" s="99"/>
      <c r="M318" s="99"/>
      <c r="N318" s="43">
        <f t="shared" si="4"/>
        <v>0</v>
      </c>
    </row>
    <row r="319" spans="2:14">
      <c r="B319" s="57"/>
      <c r="C319" s="60"/>
      <c r="D319" s="60"/>
      <c r="E319" s="60"/>
      <c r="F319" s="60"/>
      <c r="G319" s="60"/>
      <c r="J319" s="99"/>
      <c r="K319" s="99"/>
      <c r="L319" s="99"/>
      <c r="M319" s="99"/>
      <c r="N319" s="43">
        <f t="shared" si="4"/>
        <v>0</v>
      </c>
    </row>
    <row r="320" spans="2:14">
      <c r="B320" s="57"/>
      <c r="C320" s="60"/>
      <c r="D320" s="60"/>
      <c r="E320" s="60"/>
      <c r="F320" s="60"/>
      <c r="G320" s="60"/>
      <c r="J320" s="99"/>
      <c r="K320" s="99"/>
      <c r="L320" s="99"/>
      <c r="M320" s="99"/>
      <c r="N320" s="43">
        <f t="shared" si="4"/>
        <v>0</v>
      </c>
    </row>
    <row r="321" spans="2:14">
      <c r="B321" s="57"/>
      <c r="C321" s="60"/>
      <c r="D321" s="60"/>
      <c r="E321" s="60"/>
      <c r="F321" s="60"/>
      <c r="G321" s="60"/>
      <c r="J321" s="99"/>
      <c r="K321" s="99"/>
      <c r="L321" s="99"/>
      <c r="M321" s="99"/>
      <c r="N321" s="43">
        <f t="shared" si="4"/>
        <v>0</v>
      </c>
    </row>
    <row r="322" spans="2:14">
      <c r="B322" s="57"/>
      <c r="C322" s="60"/>
      <c r="D322" s="60"/>
      <c r="E322" s="60"/>
      <c r="F322" s="60"/>
      <c r="G322" s="60"/>
      <c r="J322" s="99"/>
      <c r="K322" s="99"/>
      <c r="L322" s="99"/>
      <c r="M322" s="99"/>
      <c r="N322" s="43">
        <f t="shared" si="4"/>
        <v>0</v>
      </c>
    </row>
    <row r="323" spans="2:14">
      <c r="B323" s="57"/>
      <c r="C323" s="60"/>
      <c r="D323" s="60"/>
      <c r="E323" s="60"/>
      <c r="F323" s="60"/>
      <c r="G323" s="60"/>
      <c r="J323" s="99"/>
      <c r="K323" s="99"/>
      <c r="L323" s="99"/>
      <c r="M323" s="99"/>
      <c r="N323" s="43">
        <f t="shared" si="4"/>
        <v>0</v>
      </c>
    </row>
    <row r="324" spans="2:14">
      <c r="B324" s="57"/>
      <c r="C324" s="60"/>
      <c r="D324" s="60"/>
      <c r="E324" s="60"/>
      <c r="F324" s="60"/>
      <c r="G324" s="60"/>
      <c r="J324" s="99"/>
      <c r="K324" s="99"/>
      <c r="L324" s="99"/>
      <c r="M324" s="99"/>
      <c r="N324" s="43">
        <f t="shared" si="4"/>
        <v>0</v>
      </c>
    </row>
    <row r="325" spans="2:14">
      <c r="B325" s="57"/>
      <c r="C325" s="60"/>
      <c r="D325" s="60"/>
      <c r="E325" s="60"/>
      <c r="F325" s="60"/>
      <c r="G325" s="60"/>
      <c r="J325" s="99"/>
      <c r="K325" s="99"/>
      <c r="L325" s="99"/>
      <c r="M325" s="99"/>
      <c r="N325" s="43">
        <f t="shared" si="4"/>
        <v>0</v>
      </c>
    </row>
    <row r="326" spans="2:14">
      <c r="B326" s="57"/>
      <c r="C326" s="60"/>
      <c r="D326" s="60"/>
      <c r="E326" s="60"/>
      <c r="F326" s="60"/>
      <c r="G326" s="60"/>
      <c r="J326" s="99"/>
      <c r="K326" s="99"/>
      <c r="L326" s="99"/>
      <c r="M326" s="99"/>
      <c r="N326" s="43">
        <f t="shared" si="4"/>
        <v>0</v>
      </c>
    </row>
    <row r="327" spans="2:14">
      <c r="B327" s="57"/>
      <c r="C327" s="60"/>
      <c r="D327" s="60"/>
      <c r="E327" s="60"/>
      <c r="F327" s="60"/>
      <c r="G327" s="60"/>
      <c r="J327" s="99"/>
      <c r="K327" s="99"/>
      <c r="L327" s="99"/>
      <c r="M327" s="99"/>
      <c r="N327" s="43">
        <f t="shared" si="4"/>
        <v>0</v>
      </c>
    </row>
    <row r="328" spans="2:14">
      <c r="B328" s="57"/>
      <c r="C328" s="60"/>
      <c r="D328" s="60"/>
      <c r="E328" s="60"/>
      <c r="F328" s="60"/>
      <c r="G328" s="60"/>
      <c r="J328" s="99"/>
      <c r="K328" s="99"/>
      <c r="L328" s="99"/>
      <c r="M328" s="99"/>
      <c r="N328" s="43">
        <f t="shared" si="4"/>
        <v>0</v>
      </c>
    </row>
    <row r="329" spans="2:14">
      <c r="B329" s="57"/>
      <c r="C329" s="60"/>
      <c r="D329" s="60"/>
      <c r="E329" s="60"/>
      <c r="F329" s="60"/>
      <c r="G329" s="60"/>
      <c r="J329" s="99"/>
      <c r="K329" s="99"/>
      <c r="L329" s="99"/>
      <c r="M329" s="99"/>
      <c r="N329" s="43">
        <f t="shared" si="4"/>
        <v>0</v>
      </c>
    </row>
    <row r="330" spans="2:14">
      <c r="B330" s="57"/>
      <c r="C330" s="60"/>
      <c r="D330" s="60"/>
      <c r="E330" s="60"/>
      <c r="F330" s="60"/>
      <c r="G330" s="60"/>
      <c r="J330" s="99"/>
      <c r="K330" s="99"/>
      <c r="L330" s="99"/>
      <c r="M330" s="99"/>
      <c r="N330" s="43">
        <f t="shared" si="4"/>
        <v>0</v>
      </c>
    </row>
    <row r="331" spans="2:14">
      <c r="B331" s="57"/>
      <c r="C331" s="60"/>
      <c r="D331" s="60"/>
      <c r="E331" s="60"/>
      <c r="F331" s="60"/>
      <c r="G331" s="60"/>
      <c r="J331" s="99"/>
      <c r="K331" s="99"/>
      <c r="L331" s="99"/>
      <c r="M331" s="99"/>
      <c r="N331" s="43">
        <f t="shared" ref="N331:N394" si="5">IF($L$4=$C$10,C331,IF(D331="","",B331))</f>
        <v>0</v>
      </c>
    </row>
    <row r="332" spans="2:14">
      <c r="B332" s="57"/>
      <c r="C332" s="60"/>
      <c r="D332" s="60"/>
      <c r="E332" s="60"/>
      <c r="F332" s="60"/>
      <c r="G332" s="60"/>
      <c r="J332" s="99"/>
      <c r="K332" s="99"/>
      <c r="L332" s="99"/>
      <c r="M332" s="99"/>
      <c r="N332" s="43">
        <f t="shared" si="5"/>
        <v>0</v>
      </c>
    </row>
    <row r="333" spans="2:14">
      <c r="B333" s="57"/>
      <c r="C333" s="60"/>
      <c r="D333" s="60"/>
      <c r="E333" s="60"/>
      <c r="F333" s="60"/>
      <c r="G333" s="60"/>
      <c r="J333" s="99"/>
      <c r="K333" s="99"/>
      <c r="L333" s="99"/>
      <c r="M333" s="99"/>
      <c r="N333" s="43">
        <f t="shared" si="5"/>
        <v>0</v>
      </c>
    </row>
    <row r="334" spans="2:14">
      <c r="B334" s="57"/>
      <c r="C334" s="60"/>
      <c r="D334" s="60"/>
      <c r="E334" s="60"/>
      <c r="F334" s="60"/>
      <c r="G334" s="60"/>
      <c r="J334" s="99"/>
      <c r="K334" s="99"/>
      <c r="L334" s="99"/>
      <c r="M334" s="99"/>
      <c r="N334" s="43">
        <f t="shared" si="5"/>
        <v>0</v>
      </c>
    </row>
    <row r="335" spans="2:14">
      <c r="B335" s="57"/>
      <c r="C335" s="60"/>
      <c r="D335" s="60"/>
      <c r="E335" s="60"/>
      <c r="F335" s="60"/>
      <c r="G335" s="60"/>
      <c r="J335" s="99"/>
      <c r="K335" s="99"/>
      <c r="L335" s="99"/>
      <c r="M335" s="99"/>
      <c r="N335" s="43">
        <f t="shared" si="5"/>
        <v>0</v>
      </c>
    </row>
    <row r="336" spans="2:14">
      <c r="B336" s="57"/>
      <c r="C336" s="60"/>
      <c r="D336" s="60"/>
      <c r="E336" s="60"/>
      <c r="F336" s="60"/>
      <c r="G336" s="60"/>
      <c r="J336" s="99"/>
      <c r="K336" s="99"/>
      <c r="L336" s="99"/>
      <c r="M336" s="99"/>
      <c r="N336" s="43">
        <f t="shared" si="5"/>
        <v>0</v>
      </c>
    </row>
    <row r="337" spans="2:14">
      <c r="B337" s="57"/>
      <c r="C337" s="60"/>
      <c r="D337" s="60"/>
      <c r="E337" s="60"/>
      <c r="F337" s="60"/>
      <c r="G337" s="60"/>
      <c r="J337" s="99"/>
      <c r="K337" s="99"/>
      <c r="L337" s="99"/>
      <c r="M337" s="99"/>
      <c r="N337" s="43">
        <f t="shared" si="5"/>
        <v>0</v>
      </c>
    </row>
    <row r="338" spans="2:14">
      <c r="B338" s="57"/>
      <c r="C338" s="60"/>
      <c r="D338" s="60"/>
      <c r="E338" s="60"/>
      <c r="F338" s="60"/>
      <c r="G338" s="60"/>
      <c r="J338" s="99"/>
      <c r="K338" s="99"/>
      <c r="L338" s="99"/>
      <c r="M338" s="99"/>
      <c r="N338" s="43">
        <f t="shared" si="5"/>
        <v>0</v>
      </c>
    </row>
    <row r="339" spans="2:14">
      <c r="B339" s="57"/>
      <c r="C339" s="60"/>
      <c r="D339" s="60"/>
      <c r="E339" s="60"/>
      <c r="F339" s="60"/>
      <c r="G339" s="60"/>
      <c r="J339" s="99"/>
      <c r="K339" s="99"/>
      <c r="L339" s="99"/>
      <c r="M339" s="99"/>
      <c r="N339" s="43">
        <f t="shared" si="5"/>
        <v>0</v>
      </c>
    </row>
    <row r="340" spans="2:14">
      <c r="B340" s="57"/>
      <c r="C340" s="60"/>
      <c r="D340" s="60"/>
      <c r="E340" s="60"/>
      <c r="F340" s="60"/>
      <c r="G340" s="60"/>
      <c r="J340" s="99"/>
      <c r="K340" s="99"/>
      <c r="L340" s="99"/>
      <c r="M340" s="99"/>
      <c r="N340" s="43">
        <f t="shared" si="5"/>
        <v>0</v>
      </c>
    </row>
    <row r="341" spans="2:14">
      <c r="B341" s="57"/>
      <c r="C341" s="60"/>
      <c r="D341" s="60"/>
      <c r="E341" s="60"/>
      <c r="F341" s="60"/>
      <c r="G341" s="60"/>
      <c r="J341" s="99"/>
      <c r="K341" s="99"/>
      <c r="L341" s="99"/>
      <c r="M341" s="99"/>
      <c r="N341" s="43">
        <f t="shared" si="5"/>
        <v>0</v>
      </c>
    </row>
    <row r="342" spans="2:14">
      <c r="B342" s="57"/>
      <c r="C342" s="60"/>
      <c r="D342" s="60"/>
      <c r="E342" s="60"/>
      <c r="F342" s="60"/>
      <c r="G342" s="60"/>
      <c r="J342" s="99"/>
      <c r="K342" s="99"/>
      <c r="L342" s="99"/>
      <c r="M342" s="99"/>
      <c r="N342" s="43">
        <f t="shared" si="5"/>
        <v>0</v>
      </c>
    </row>
    <row r="343" spans="2:14">
      <c r="B343" s="57"/>
      <c r="C343" s="60"/>
      <c r="D343" s="60"/>
      <c r="E343" s="60"/>
      <c r="F343" s="60"/>
      <c r="G343" s="60"/>
      <c r="J343" s="99"/>
      <c r="K343" s="99"/>
      <c r="L343" s="99"/>
      <c r="M343" s="99"/>
      <c r="N343" s="43">
        <f t="shared" si="5"/>
        <v>0</v>
      </c>
    </row>
    <row r="344" spans="2:14">
      <c r="B344" s="57"/>
      <c r="C344" s="60"/>
      <c r="D344" s="60"/>
      <c r="E344" s="60"/>
      <c r="F344" s="60"/>
      <c r="G344" s="60"/>
      <c r="J344" s="99"/>
      <c r="K344" s="99"/>
      <c r="L344" s="99"/>
      <c r="M344" s="99"/>
      <c r="N344" s="43">
        <f t="shared" si="5"/>
        <v>0</v>
      </c>
    </row>
    <row r="345" spans="2:14">
      <c r="B345" s="57"/>
      <c r="C345" s="60"/>
      <c r="D345" s="60"/>
      <c r="E345" s="60"/>
      <c r="F345" s="60"/>
      <c r="G345" s="60"/>
      <c r="J345" s="99"/>
      <c r="K345" s="99"/>
      <c r="L345" s="99"/>
      <c r="M345" s="99"/>
      <c r="N345" s="43">
        <f t="shared" si="5"/>
        <v>0</v>
      </c>
    </row>
    <row r="346" spans="2:14">
      <c r="B346" s="57"/>
      <c r="C346" s="60"/>
      <c r="D346" s="60"/>
      <c r="E346" s="60"/>
      <c r="F346" s="60"/>
      <c r="G346" s="60"/>
      <c r="J346" s="99"/>
      <c r="K346" s="99"/>
      <c r="L346" s="99"/>
      <c r="M346" s="99"/>
      <c r="N346" s="43">
        <f t="shared" si="5"/>
        <v>0</v>
      </c>
    </row>
    <row r="347" spans="2:14">
      <c r="B347" s="57"/>
      <c r="C347" s="60"/>
      <c r="D347" s="60"/>
      <c r="E347" s="60"/>
      <c r="F347" s="60"/>
      <c r="G347" s="60"/>
      <c r="J347" s="99"/>
      <c r="K347" s="99"/>
      <c r="L347" s="99"/>
      <c r="M347" s="99"/>
      <c r="N347" s="43">
        <f t="shared" si="5"/>
        <v>0</v>
      </c>
    </row>
    <row r="348" spans="2:14">
      <c r="B348" s="57"/>
      <c r="C348" s="60"/>
      <c r="D348" s="60"/>
      <c r="E348" s="60"/>
      <c r="F348" s="60"/>
      <c r="G348" s="60"/>
      <c r="J348" s="99"/>
      <c r="K348" s="99"/>
      <c r="L348" s="99"/>
      <c r="M348" s="99"/>
      <c r="N348" s="43">
        <f t="shared" si="5"/>
        <v>0</v>
      </c>
    </row>
    <row r="349" spans="2:14">
      <c r="B349" s="57"/>
      <c r="C349" s="60"/>
      <c r="D349" s="60"/>
      <c r="E349" s="60"/>
      <c r="F349" s="60"/>
      <c r="G349" s="60"/>
      <c r="J349" s="99"/>
      <c r="K349" s="99"/>
      <c r="L349" s="99"/>
      <c r="M349" s="99"/>
      <c r="N349" s="43">
        <f t="shared" si="5"/>
        <v>0</v>
      </c>
    </row>
    <row r="350" spans="2:14">
      <c r="B350" s="57"/>
      <c r="C350" s="60"/>
      <c r="D350" s="60"/>
      <c r="E350" s="60"/>
      <c r="F350" s="60"/>
      <c r="G350" s="60"/>
      <c r="J350" s="99"/>
      <c r="K350" s="99"/>
      <c r="L350" s="99"/>
      <c r="M350" s="99"/>
      <c r="N350" s="43">
        <f t="shared" si="5"/>
        <v>0</v>
      </c>
    </row>
    <row r="351" spans="2:14">
      <c r="B351" s="57"/>
      <c r="C351" s="60"/>
      <c r="D351" s="60"/>
      <c r="E351" s="60"/>
      <c r="F351" s="60"/>
      <c r="G351" s="60"/>
      <c r="J351" s="99"/>
      <c r="K351" s="99"/>
      <c r="L351" s="99"/>
      <c r="M351" s="99"/>
      <c r="N351" s="43">
        <f t="shared" si="5"/>
        <v>0</v>
      </c>
    </row>
    <row r="352" spans="2:14">
      <c r="B352" s="57"/>
      <c r="C352" s="60"/>
      <c r="D352" s="60"/>
      <c r="E352" s="60"/>
      <c r="F352" s="60"/>
      <c r="G352" s="60"/>
      <c r="J352" s="99"/>
      <c r="K352" s="99"/>
      <c r="L352" s="99"/>
      <c r="M352" s="99"/>
      <c r="N352" s="43">
        <f t="shared" si="5"/>
        <v>0</v>
      </c>
    </row>
    <row r="353" spans="2:14">
      <c r="B353" s="57"/>
      <c r="C353" s="60"/>
      <c r="D353" s="60"/>
      <c r="E353" s="60"/>
      <c r="F353" s="60"/>
      <c r="G353" s="60"/>
      <c r="J353" s="99"/>
      <c r="K353" s="99"/>
      <c r="L353" s="99"/>
      <c r="M353" s="99"/>
      <c r="N353" s="43">
        <f t="shared" si="5"/>
        <v>0</v>
      </c>
    </row>
    <row r="354" spans="2:14">
      <c r="B354" s="57"/>
      <c r="C354" s="60"/>
      <c r="D354" s="60"/>
      <c r="E354" s="60"/>
      <c r="F354" s="60"/>
      <c r="G354" s="60"/>
      <c r="J354" s="99"/>
      <c r="K354" s="99"/>
      <c r="L354" s="99"/>
      <c r="M354" s="99"/>
      <c r="N354" s="43">
        <f t="shared" si="5"/>
        <v>0</v>
      </c>
    </row>
    <row r="355" spans="2:14">
      <c r="B355" s="57"/>
      <c r="C355" s="60"/>
      <c r="D355" s="60"/>
      <c r="E355" s="60"/>
      <c r="F355" s="60"/>
      <c r="G355" s="60"/>
      <c r="J355" s="99"/>
      <c r="K355" s="99"/>
      <c r="L355" s="99"/>
      <c r="M355" s="99"/>
      <c r="N355" s="43">
        <f t="shared" si="5"/>
        <v>0</v>
      </c>
    </row>
    <row r="356" spans="2:14">
      <c r="B356" s="57"/>
      <c r="C356" s="60"/>
      <c r="D356" s="60"/>
      <c r="E356" s="60"/>
      <c r="F356" s="60"/>
      <c r="G356" s="60"/>
      <c r="J356" s="99"/>
      <c r="K356" s="99"/>
      <c r="L356" s="99"/>
      <c r="M356" s="99"/>
      <c r="N356" s="43">
        <f t="shared" si="5"/>
        <v>0</v>
      </c>
    </row>
    <row r="357" spans="2:14">
      <c r="B357" s="57"/>
      <c r="C357" s="60"/>
      <c r="D357" s="60"/>
      <c r="E357" s="60"/>
      <c r="F357" s="60"/>
      <c r="G357" s="60"/>
      <c r="J357" s="99"/>
      <c r="K357" s="99"/>
      <c r="L357" s="99"/>
      <c r="M357" s="99"/>
      <c r="N357" s="43">
        <f t="shared" si="5"/>
        <v>0</v>
      </c>
    </row>
    <row r="358" spans="2:14">
      <c r="B358" s="57"/>
      <c r="C358" s="60"/>
      <c r="D358" s="60"/>
      <c r="E358" s="60"/>
      <c r="F358" s="60"/>
      <c r="G358" s="60"/>
      <c r="J358" s="99"/>
      <c r="K358" s="99"/>
      <c r="L358" s="99"/>
      <c r="M358" s="99"/>
      <c r="N358" s="43">
        <f t="shared" si="5"/>
        <v>0</v>
      </c>
    </row>
    <row r="359" spans="2:14">
      <c r="B359" s="57"/>
      <c r="C359" s="60"/>
      <c r="D359" s="60"/>
      <c r="E359" s="60"/>
      <c r="F359" s="60"/>
      <c r="G359" s="60"/>
      <c r="J359" s="99"/>
      <c r="K359" s="99"/>
      <c r="L359" s="99"/>
      <c r="M359" s="99"/>
      <c r="N359" s="43">
        <f t="shared" si="5"/>
        <v>0</v>
      </c>
    </row>
    <row r="360" spans="2:14">
      <c r="B360" s="57"/>
      <c r="C360" s="60"/>
      <c r="D360" s="60"/>
      <c r="E360" s="60"/>
      <c r="F360" s="60"/>
      <c r="G360" s="60"/>
      <c r="J360" s="99"/>
      <c r="K360" s="99"/>
      <c r="L360" s="99"/>
      <c r="M360" s="99"/>
      <c r="N360" s="43">
        <f t="shared" si="5"/>
        <v>0</v>
      </c>
    </row>
    <row r="361" spans="2:14">
      <c r="B361" s="57"/>
      <c r="C361" s="60"/>
      <c r="D361" s="60"/>
      <c r="E361" s="60"/>
      <c r="F361" s="60"/>
      <c r="G361" s="60"/>
      <c r="J361" s="99"/>
      <c r="K361" s="99"/>
      <c r="L361" s="99"/>
      <c r="M361" s="99"/>
      <c r="N361" s="43">
        <f t="shared" si="5"/>
        <v>0</v>
      </c>
    </row>
    <row r="362" spans="2:14">
      <c r="B362" s="57"/>
      <c r="C362" s="60"/>
      <c r="D362" s="60"/>
      <c r="E362" s="60"/>
      <c r="F362" s="60"/>
      <c r="G362" s="60"/>
      <c r="J362" s="99"/>
      <c r="K362" s="99"/>
      <c r="L362" s="99"/>
      <c r="M362" s="99"/>
      <c r="N362" s="43">
        <f t="shared" si="5"/>
        <v>0</v>
      </c>
    </row>
    <row r="363" spans="2:14">
      <c r="B363" s="57"/>
      <c r="C363" s="60"/>
      <c r="D363" s="60"/>
      <c r="E363" s="60"/>
      <c r="F363" s="60"/>
      <c r="G363" s="60"/>
      <c r="J363" s="99"/>
      <c r="K363" s="99"/>
      <c r="L363" s="99"/>
      <c r="M363" s="99"/>
      <c r="N363" s="43">
        <f t="shared" si="5"/>
        <v>0</v>
      </c>
    </row>
    <row r="364" spans="2:14">
      <c r="B364" s="57"/>
      <c r="C364" s="60"/>
      <c r="D364" s="60"/>
      <c r="E364" s="60"/>
      <c r="F364" s="60"/>
      <c r="G364" s="60"/>
      <c r="J364" s="99"/>
      <c r="K364" s="99"/>
      <c r="L364" s="99"/>
      <c r="M364" s="99"/>
      <c r="N364" s="43">
        <f t="shared" si="5"/>
        <v>0</v>
      </c>
    </row>
    <row r="365" spans="2:14">
      <c r="B365" s="57"/>
      <c r="C365" s="60"/>
      <c r="D365" s="60"/>
      <c r="E365" s="60"/>
      <c r="F365" s="60"/>
      <c r="G365" s="60"/>
      <c r="J365" s="99"/>
      <c r="K365" s="99"/>
      <c r="L365" s="99"/>
      <c r="M365" s="99"/>
      <c r="N365" s="43">
        <f t="shared" si="5"/>
        <v>0</v>
      </c>
    </row>
    <row r="366" spans="2:14">
      <c r="B366" s="57"/>
      <c r="C366" s="60"/>
      <c r="D366" s="60"/>
      <c r="E366" s="60"/>
      <c r="F366" s="60"/>
      <c r="G366" s="60"/>
      <c r="J366" s="99"/>
      <c r="K366" s="99"/>
      <c r="L366" s="99"/>
      <c r="M366" s="99"/>
      <c r="N366" s="43">
        <f t="shared" si="5"/>
        <v>0</v>
      </c>
    </row>
    <row r="367" spans="2:14">
      <c r="B367" s="57"/>
      <c r="C367" s="60"/>
      <c r="D367" s="60"/>
      <c r="E367" s="60"/>
      <c r="F367" s="60"/>
      <c r="G367" s="60"/>
      <c r="J367" s="99"/>
      <c r="K367" s="99"/>
      <c r="L367" s="99"/>
      <c r="M367" s="99"/>
      <c r="N367" s="43">
        <f t="shared" si="5"/>
        <v>0</v>
      </c>
    </row>
    <row r="368" spans="2:14">
      <c r="B368" s="57"/>
      <c r="C368" s="60"/>
      <c r="D368" s="60"/>
      <c r="E368" s="60"/>
      <c r="F368" s="60"/>
      <c r="G368" s="60"/>
      <c r="J368" s="99"/>
      <c r="K368" s="99"/>
      <c r="L368" s="99"/>
      <c r="M368" s="99"/>
      <c r="N368" s="43">
        <f t="shared" si="5"/>
        <v>0</v>
      </c>
    </row>
    <row r="369" spans="2:14">
      <c r="B369" s="57"/>
      <c r="C369" s="60"/>
      <c r="D369" s="60"/>
      <c r="E369" s="60"/>
      <c r="F369" s="60"/>
      <c r="G369" s="60"/>
      <c r="J369" s="99"/>
      <c r="K369" s="99"/>
      <c r="L369" s="99"/>
      <c r="M369" s="99"/>
      <c r="N369" s="43">
        <f t="shared" si="5"/>
        <v>0</v>
      </c>
    </row>
    <row r="370" spans="2:14">
      <c r="B370" s="57"/>
      <c r="C370" s="60"/>
      <c r="D370" s="60"/>
      <c r="E370" s="60"/>
      <c r="F370" s="60"/>
      <c r="G370" s="60"/>
      <c r="J370" s="99"/>
      <c r="K370" s="99"/>
      <c r="L370" s="99"/>
      <c r="M370" s="99"/>
      <c r="N370" s="43">
        <f t="shared" si="5"/>
        <v>0</v>
      </c>
    </row>
    <row r="371" spans="2:14">
      <c r="B371" s="57"/>
      <c r="C371" s="60"/>
      <c r="D371" s="60"/>
      <c r="E371" s="60"/>
      <c r="F371" s="60"/>
      <c r="G371" s="60"/>
      <c r="J371" s="99"/>
      <c r="K371" s="99"/>
      <c r="L371" s="99"/>
      <c r="M371" s="99"/>
      <c r="N371" s="43">
        <f t="shared" si="5"/>
        <v>0</v>
      </c>
    </row>
    <row r="372" spans="2:14">
      <c r="B372" s="57"/>
      <c r="C372" s="60"/>
      <c r="D372" s="60"/>
      <c r="E372" s="60"/>
      <c r="F372" s="60"/>
      <c r="G372" s="60"/>
      <c r="J372" s="99"/>
      <c r="K372" s="99"/>
      <c r="L372" s="99"/>
      <c r="M372" s="99"/>
      <c r="N372" s="43">
        <f t="shared" si="5"/>
        <v>0</v>
      </c>
    </row>
    <row r="373" spans="2:14">
      <c r="B373" s="57"/>
      <c r="C373" s="60"/>
      <c r="D373" s="60"/>
      <c r="E373" s="60"/>
      <c r="F373" s="60"/>
      <c r="G373" s="60"/>
      <c r="J373" s="99"/>
      <c r="K373" s="99"/>
      <c r="L373" s="99"/>
      <c r="M373" s="99"/>
      <c r="N373" s="43">
        <f t="shared" si="5"/>
        <v>0</v>
      </c>
    </row>
    <row r="374" spans="2:14">
      <c r="B374" s="57"/>
      <c r="C374" s="60"/>
      <c r="D374" s="60"/>
      <c r="E374" s="60"/>
      <c r="F374" s="60"/>
      <c r="G374" s="60"/>
      <c r="J374" s="99"/>
      <c r="K374" s="99"/>
      <c r="L374" s="99"/>
      <c r="M374" s="99"/>
      <c r="N374" s="43">
        <f t="shared" si="5"/>
        <v>0</v>
      </c>
    </row>
    <row r="375" spans="2:14">
      <c r="B375" s="57"/>
      <c r="C375" s="60"/>
      <c r="D375" s="60"/>
      <c r="E375" s="60"/>
      <c r="F375" s="60"/>
      <c r="G375" s="60"/>
      <c r="J375" s="99"/>
      <c r="K375" s="99"/>
      <c r="L375" s="99"/>
      <c r="M375" s="99"/>
      <c r="N375" s="43">
        <f t="shared" si="5"/>
        <v>0</v>
      </c>
    </row>
    <row r="376" spans="2:14">
      <c r="B376" s="57"/>
      <c r="C376" s="60"/>
      <c r="D376" s="60"/>
      <c r="E376" s="60"/>
      <c r="F376" s="60"/>
      <c r="G376" s="60"/>
      <c r="J376" s="99"/>
      <c r="K376" s="99"/>
      <c r="L376" s="99"/>
      <c r="M376" s="99"/>
      <c r="N376" s="43">
        <f t="shared" si="5"/>
        <v>0</v>
      </c>
    </row>
    <row r="377" spans="2:14">
      <c r="B377" s="57"/>
      <c r="C377" s="60"/>
      <c r="D377" s="60"/>
      <c r="E377" s="60"/>
      <c r="F377" s="60"/>
      <c r="G377" s="60"/>
      <c r="J377" s="99"/>
      <c r="K377" s="99"/>
      <c r="L377" s="99"/>
      <c r="M377" s="99"/>
      <c r="N377" s="43">
        <f t="shared" si="5"/>
        <v>0</v>
      </c>
    </row>
    <row r="378" spans="2:14">
      <c r="B378" s="57"/>
      <c r="C378" s="60"/>
      <c r="D378" s="60"/>
      <c r="E378" s="60"/>
      <c r="F378" s="60"/>
      <c r="G378" s="60"/>
      <c r="J378" s="99"/>
      <c r="K378" s="99"/>
      <c r="L378" s="99"/>
      <c r="M378" s="99"/>
      <c r="N378" s="43">
        <f t="shared" si="5"/>
        <v>0</v>
      </c>
    </row>
    <row r="379" spans="2:14">
      <c r="B379" s="57"/>
      <c r="C379" s="60"/>
      <c r="D379" s="60"/>
      <c r="E379" s="60"/>
      <c r="F379" s="60"/>
      <c r="G379" s="60"/>
      <c r="J379" s="99"/>
      <c r="K379" s="99"/>
      <c r="L379" s="99"/>
      <c r="M379" s="99"/>
      <c r="N379" s="43">
        <f t="shared" si="5"/>
        <v>0</v>
      </c>
    </row>
    <row r="380" spans="2:14">
      <c r="B380" s="57"/>
      <c r="C380" s="60"/>
      <c r="D380" s="60"/>
      <c r="E380" s="60"/>
      <c r="F380" s="60"/>
      <c r="G380" s="60"/>
      <c r="J380" s="99"/>
      <c r="K380" s="99"/>
      <c r="L380" s="99"/>
      <c r="M380" s="99"/>
      <c r="N380" s="43">
        <f t="shared" si="5"/>
        <v>0</v>
      </c>
    </row>
    <row r="381" spans="2:14">
      <c r="B381" s="57"/>
      <c r="C381" s="60"/>
      <c r="D381" s="60"/>
      <c r="E381" s="60"/>
      <c r="F381" s="60"/>
      <c r="G381" s="60"/>
      <c r="J381" s="99"/>
      <c r="K381" s="99"/>
      <c r="L381" s="99"/>
      <c r="M381" s="99"/>
      <c r="N381" s="43">
        <f t="shared" si="5"/>
        <v>0</v>
      </c>
    </row>
    <row r="382" spans="2:14">
      <c r="B382" s="57"/>
      <c r="C382" s="60"/>
      <c r="D382" s="60"/>
      <c r="E382" s="60"/>
      <c r="F382" s="60"/>
      <c r="G382" s="60"/>
      <c r="J382" s="99"/>
      <c r="K382" s="99"/>
      <c r="L382" s="99"/>
      <c r="M382" s="99"/>
      <c r="N382" s="43">
        <f t="shared" si="5"/>
        <v>0</v>
      </c>
    </row>
    <row r="383" spans="2:14">
      <c r="B383" s="57"/>
      <c r="C383" s="60"/>
      <c r="D383" s="60"/>
      <c r="E383" s="60"/>
      <c r="F383" s="60"/>
      <c r="G383" s="60"/>
      <c r="J383" s="99"/>
      <c r="K383" s="99"/>
      <c r="L383" s="99"/>
      <c r="M383" s="99"/>
      <c r="N383" s="43">
        <f t="shared" si="5"/>
        <v>0</v>
      </c>
    </row>
    <row r="384" spans="2:14">
      <c r="B384" s="57"/>
      <c r="C384" s="60"/>
      <c r="D384" s="60"/>
      <c r="E384" s="60"/>
      <c r="F384" s="60"/>
      <c r="G384" s="60"/>
      <c r="J384" s="99"/>
      <c r="K384" s="99"/>
      <c r="L384" s="99"/>
      <c r="M384" s="99"/>
      <c r="N384" s="43">
        <f t="shared" si="5"/>
        <v>0</v>
      </c>
    </row>
    <row r="385" spans="2:14">
      <c r="B385" s="57"/>
      <c r="C385" s="60"/>
      <c r="D385" s="60"/>
      <c r="E385" s="60"/>
      <c r="F385" s="60"/>
      <c r="G385" s="60"/>
      <c r="J385" s="99"/>
      <c r="K385" s="99"/>
      <c r="L385" s="99"/>
      <c r="M385" s="99"/>
      <c r="N385" s="43">
        <f t="shared" si="5"/>
        <v>0</v>
      </c>
    </row>
    <row r="386" spans="2:14">
      <c r="B386" s="57"/>
      <c r="C386" s="60"/>
      <c r="D386" s="60"/>
      <c r="E386" s="60"/>
      <c r="F386" s="60"/>
      <c r="G386" s="60"/>
      <c r="J386" s="99"/>
      <c r="K386" s="99"/>
      <c r="L386" s="99"/>
      <c r="M386" s="99"/>
      <c r="N386" s="43">
        <f t="shared" si="5"/>
        <v>0</v>
      </c>
    </row>
    <row r="387" spans="2:14">
      <c r="B387" s="57"/>
      <c r="C387" s="60"/>
      <c r="D387" s="60"/>
      <c r="E387" s="60"/>
      <c r="F387" s="60"/>
      <c r="G387" s="60"/>
      <c r="J387" s="99"/>
      <c r="K387" s="99"/>
      <c r="L387" s="99"/>
      <c r="M387" s="99"/>
      <c r="N387" s="43">
        <f t="shared" si="5"/>
        <v>0</v>
      </c>
    </row>
    <row r="388" spans="2:14">
      <c r="B388" s="57"/>
      <c r="C388" s="60"/>
      <c r="D388" s="60"/>
      <c r="E388" s="60"/>
      <c r="F388" s="60"/>
      <c r="G388" s="60"/>
      <c r="J388" s="99"/>
      <c r="K388" s="99"/>
      <c r="L388" s="99"/>
      <c r="M388" s="99"/>
      <c r="N388" s="43">
        <f t="shared" si="5"/>
        <v>0</v>
      </c>
    </row>
    <row r="389" spans="2:14">
      <c r="B389" s="57"/>
      <c r="C389" s="60"/>
      <c r="D389" s="60"/>
      <c r="E389" s="60"/>
      <c r="F389" s="60"/>
      <c r="G389" s="60"/>
      <c r="J389" s="99"/>
      <c r="K389" s="99"/>
      <c r="L389" s="99"/>
      <c r="M389" s="99"/>
      <c r="N389" s="43">
        <f t="shared" si="5"/>
        <v>0</v>
      </c>
    </row>
    <row r="390" spans="2:14">
      <c r="B390" s="57"/>
      <c r="C390" s="60"/>
      <c r="D390" s="60"/>
      <c r="E390" s="60"/>
      <c r="F390" s="60"/>
      <c r="G390" s="60"/>
      <c r="J390" s="99"/>
      <c r="K390" s="99"/>
      <c r="L390" s="99"/>
      <c r="M390" s="99"/>
      <c r="N390" s="43">
        <f t="shared" si="5"/>
        <v>0</v>
      </c>
    </row>
    <row r="391" spans="2:14">
      <c r="B391" s="57"/>
      <c r="C391" s="60"/>
      <c r="D391" s="60"/>
      <c r="E391" s="60"/>
      <c r="F391" s="60"/>
      <c r="G391" s="60"/>
      <c r="J391" s="99"/>
      <c r="K391" s="99"/>
      <c r="L391" s="99"/>
      <c r="M391" s="99"/>
      <c r="N391" s="43">
        <f t="shared" si="5"/>
        <v>0</v>
      </c>
    </row>
    <row r="392" spans="2:14">
      <c r="B392" s="57"/>
      <c r="C392" s="60"/>
      <c r="D392" s="60"/>
      <c r="E392" s="60"/>
      <c r="F392" s="60"/>
      <c r="G392" s="60"/>
      <c r="J392" s="99"/>
      <c r="K392" s="99"/>
      <c r="L392" s="99"/>
      <c r="M392" s="99"/>
      <c r="N392" s="43">
        <f t="shared" si="5"/>
        <v>0</v>
      </c>
    </row>
    <row r="393" spans="2:14">
      <c r="B393" s="57"/>
      <c r="C393" s="60"/>
      <c r="D393" s="60"/>
      <c r="E393" s="60"/>
      <c r="F393" s="60"/>
      <c r="G393" s="60"/>
      <c r="J393" s="99"/>
      <c r="K393" s="99"/>
      <c r="L393" s="99"/>
      <c r="M393" s="99"/>
      <c r="N393" s="43">
        <f t="shared" si="5"/>
        <v>0</v>
      </c>
    </row>
    <row r="394" spans="2:14">
      <c r="B394" s="57"/>
      <c r="C394" s="60"/>
      <c r="D394" s="60"/>
      <c r="E394" s="60"/>
      <c r="F394" s="60"/>
      <c r="G394" s="60"/>
      <c r="J394" s="99"/>
      <c r="K394" s="99"/>
      <c r="L394" s="99"/>
      <c r="M394" s="99"/>
      <c r="N394" s="43">
        <f t="shared" si="5"/>
        <v>0</v>
      </c>
    </row>
    <row r="395" spans="2:14">
      <c r="B395" s="57"/>
      <c r="C395" s="60"/>
      <c r="D395" s="60"/>
      <c r="E395" s="60"/>
      <c r="F395" s="60"/>
      <c r="G395" s="60"/>
      <c r="J395" s="99"/>
      <c r="K395" s="99"/>
      <c r="L395" s="99"/>
      <c r="M395" s="99"/>
      <c r="N395" s="43">
        <f t="shared" ref="N395:N458" si="6">IF($L$4=$C$10,C395,IF(D395="","",B395))</f>
        <v>0</v>
      </c>
    </row>
    <row r="396" spans="2:14">
      <c r="B396" s="57"/>
      <c r="C396" s="60"/>
      <c r="D396" s="60"/>
      <c r="E396" s="60"/>
      <c r="F396" s="60"/>
      <c r="G396" s="60"/>
      <c r="J396" s="99"/>
      <c r="K396" s="99"/>
      <c r="L396" s="99"/>
      <c r="M396" s="99"/>
      <c r="N396" s="43">
        <f t="shared" si="6"/>
        <v>0</v>
      </c>
    </row>
    <row r="397" spans="2:14">
      <c r="B397" s="57"/>
      <c r="C397" s="60"/>
      <c r="D397" s="60"/>
      <c r="E397" s="60"/>
      <c r="F397" s="60"/>
      <c r="G397" s="60"/>
      <c r="J397" s="99"/>
      <c r="K397" s="99"/>
      <c r="L397" s="99"/>
      <c r="M397" s="99"/>
      <c r="N397" s="43">
        <f t="shared" si="6"/>
        <v>0</v>
      </c>
    </row>
    <row r="398" spans="2:14">
      <c r="B398" s="57"/>
      <c r="C398" s="60"/>
      <c r="D398" s="60"/>
      <c r="E398" s="60"/>
      <c r="F398" s="60"/>
      <c r="G398" s="60"/>
      <c r="J398" s="99"/>
      <c r="K398" s="99"/>
      <c r="L398" s="99"/>
      <c r="M398" s="99"/>
      <c r="N398" s="43">
        <f t="shared" si="6"/>
        <v>0</v>
      </c>
    </row>
    <row r="399" spans="2:14">
      <c r="B399" s="57"/>
      <c r="C399" s="60"/>
      <c r="D399" s="60"/>
      <c r="E399" s="60"/>
      <c r="F399" s="60"/>
      <c r="G399" s="60"/>
      <c r="J399" s="99"/>
      <c r="K399" s="99"/>
      <c r="L399" s="99"/>
      <c r="M399" s="99"/>
      <c r="N399" s="43">
        <f t="shared" si="6"/>
        <v>0</v>
      </c>
    </row>
    <row r="400" spans="2:14">
      <c r="B400" s="57"/>
      <c r="C400" s="60"/>
      <c r="D400" s="60"/>
      <c r="E400" s="60"/>
      <c r="F400" s="60"/>
      <c r="G400" s="60"/>
      <c r="J400" s="99"/>
      <c r="K400" s="99"/>
      <c r="L400" s="99"/>
      <c r="M400" s="99"/>
      <c r="N400" s="43">
        <f t="shared" si="6"/>
        <v>0</v>
      </c>
    </row>
    <row r="401" spans="2:14">
      <c r="B401" s="57"/>
      <c r="C401" s="60"/>
      <c r="D401" s="60"/>
      <c r="E401" s="60"/>
      <c r="F401" s="60"/>
      <c r="G401" s="60"/>
      <c r="J401" s="99"/>
      <c r="K401" s="99"/>
      <c r="L401" s="99"/>
      <c r="M401" s="99"/>
      <c r="N401" s="43">
        <f t="shared" si="6"/>
        <v>0</v>
      </c>
    </row>
    <row r="402" spans="2:14">
      <c r="B402" s="57"/>
      <c r="C402" s="60"/>
      <c r="D402" s="60"/>
      <c r="E402" s="60"/>
      <c r="F402" s="60"/>
      <c r="G402" s="60"/>
      <c r="J402" s="99"/>
      <c r="K402" s="99"/>
      <c r="L402" s="99"/>
      <c r="M402" s="99"/>
      <c r="N402" s="43">
        <f t="shared" si="6"/>
        <v>0</v>
      </c>
    </row>
    <row r="403" spans="2:14">
      <c r="B403" s="57"/>
      <c r="C403" s="60"/>
      <c r="D403" s="60"/>
      <c r="E403" s="60"/>
      <c r="F403" s="60"/>
      <c r="G403" s="60"/>
      <c r="J403" s="99"/>
      <c r="K403" s="99"/>
      <c r="L403" s="99"/>
      <c r="M403" s="99"/>
      <c r="N403" s="43">
        <f t="shared" si="6"/>
        <v>0</v>
      </c>
    </row>
    <row r="404" spans="2:14">
      <c r="B404" s="57"/>
      <c r="C404" s="60"/>
      <c r="D404" s="60"/>
      <c r="E404" s="60"/>
      <c r="F404" s="60"/>
      <c r="G404" s="60"/>
      <c r="J404" s="99"/>
      <c r="K404" s="99"/>
      <c r="L404" s="99"/>
      <c r="M404" s="99"/>
      <c r="N404" s="43">
        <f t="shared" si="6"/>
        <v>0</v>
      </c>
    </row>
    <row r="405" spans="2:14">
      <c r="B405" s="57"/>
      <c r="C405" s="60"/>
      <c r="D405" s="60"/>
      <c r="E405" s="60"/>
      <c r="F405" s="60"/>
      <c r="G405" s="60"/>
      <c r="J405" s="99"/>
      <c r="K405" s="99"/>
      <c r="L405" s="99"/>
      <c r="M405" s="99"/>
      <c r="N405" s="43">
        <f t="shared" si="6"/>
        <v>0</v>
      </c>
    </row>
    <row r="406" spans="2:14">
      <c r="B406" s="57"/>
      <c r="C406" s="60"/>
      <c r="D406" s="60"/>
      <c r="E406" s="60"/>
      <c r="F406" s="60"/>
      <c r="G406" s="60"/>
      <c r="J406" s="99"/>
      <c r="K406" s="99"/>
      <c r="L406" s="99"/>
      <c r="M406" s="99"/>
      <c r="N406" s="43">
        <f t="shared" si="6"/>
        <v>0</v>
      </c>
    </row>
    <row r="407" spans="2:14">
      <c r="B407" s="57"/>
      <c r="C407" s="60"/>
      <c r="D407" s="60"/>
      <c r="E407" s="60"/>
      <c r="F407" s="60"/>
      <c r="G407" s="60"/>
      <c r="J407" s="99"/>
      <c r="K407" s="99"/>
      <c r="L407" s="99"/>
      <c r="M407" s="99"/>
      <c r="N407" s="43">
        <f t="shared" si="6"/>
        <v>0</v>
      </c>
    </row>
    <row r="408" spans="2:14">
      <c r="B408" s="57"/>
      <c r="C408" s="60"/>
      <c r="D408" s="60"/>
      <c r="E408" s="60"/>
      <c r="F408" s="60"/>
      <c r="G408" s="60"/>
      <c r="J408" s="99"/>
      <c r="K408" s="99"/>
      <c r="L408" s="99"/>
      <c r="M408" s="99"/>
      <c r="N408" s="43">
        <f t="shared" si="6"/>
        <v>0</v>
      </c>
    </row>
    <row r="409" spans="2:14">
      <c r="B409" s="57"/>
      <c r="C409" s="60"/>
      <c r="D409" s="60"/>
      <c r="E409" s="60"/>
      <c r="F409" s="60"/>
      <c r="G409" s="60"/>
      <c r="J409" s="99"/>
      <c r="K409" s="99"/>
      <c r="L409" s="99"/>
      <c r="M409" s="99"/>
      <c r="N409" s="43">
        <f t="shared" si="6"/>
        <v>0</v>
      </c>
    </row>
    <row r="410" spans="2:14">
      <c r="B410" s="57"/>
      <c r="C410" s="60"/>
      <c r="D410" s="60"/>
      <c r="E410" s="60"/>
      <c r="F410" s="60"/>
      <c r="G410" s="60"/>
      <c r="J410" s="99"/>
      <c r="K410" s="99"/>
      <c r="L410" s="99"/>
      <c r="M410" s="99"/>
      <c r="N410" s="43">
        <f t="shared" si="6"/>
        <v>0</v>
      </c>
    </row>
    <row r="411" spans="2:14">
      <c r="B411" s="57"/>
      <c r="C411" s="60"/>
      <c r="D411" s="60"/>
      <c r="E411" s="60"/>
      <c r="F411" s="60"/>
      <c r="G411" s="60"/>
      <c r="J411" s="99"/>
      <c r="K411" s="99"/>
      <c r="L411" s="99"/>
      <c r="M411" s="99"/>
      <c r="N411" s="43">
        <f t="shared" si="6"/>
        <v>0</v>
      </c>
    </row>
    <row r="412" spans="2:14">
      <c r="B412" s="57"/>
      <c r="C412" s="60"/>
      <c r="D412" s="60"/>
      <c r="E412" s="60"/>
      <c r="F412" s="60"/>
      <c r="G412" s="60"/>
      <c r="J412" s="99"/>
      <c r="K412" s="99"/>
      <c r="L412" s="99"/>
      <c r="M412" s="99"/>
      <c r="N412" s="43">
        <f t="shared" si="6"/>
        <v>0</v>
      </c>
    </row>
    <row r="413" spans="2:14">
      <c r="B413" s="57"/>
      <c r="C413" s="60"/>
      <c r="D413" s="60"/>
      <c r="E413" s="60"/>
      <c r="F413" s="60"/>
      <c r="G413" s="60"/>
      <c r="J413" s="99"/>
      <c r="K413" s="99"/>
      <c r="L413" s="99"/>
      <c r="M413" s="99"/>
      <c r="N413" s="43">
        <f t="shared" si="6"/>
        <v>0</v>
      </c>
    </row>
    <row r="414" spans="2:14">
      <c r="B414" s="57"/>
      <c r="C414" s="60"/>
      <c r="D414" s="60"/>
      <c r="E414" s="60"/>
      <c r="F414" s="60"/>
      <c r="G414" s="60"/>
      <c r="J414" s="99"/>
      <c r="K414" s="99"/>
      <c r="L414" s="99"/>
      <c r="M414" s="99"/>
      <c r="N414" s="43">
        <f t="shared" si="6"/>
        <v>0</v>
      </c>
    </row>
    <row r="415" spans="2:14">
      <c r="B415" s="57"/>
      <c r="C415" s="60"/>
      <c r="D415" s="60"/>
      <c r="E415" s="60"/>
      <c r="F415" s="60"/>
      <c r="G415" s="60"/>
      <c r="J415" s="99"/>
      <c r="K415" s="99"/>
      <c r="L415" s="99"/>
      <c r="M415" s="99"/>
      <c r="N415" s="43">
        <f t="shared" si="6"/>
        <v>0</v>
      </c>
    </row>
    <row r="416" spans="2:14">
      <c r="B416" s="57"/>
      <c r="C416" s="60"/>
      <c r="D416" s="60"/>
      <c r="E416" s="60"/>
      <c r="F416" s="60"/>
      <c r="G416" s="60"/>
      <c r="J416" s="99"/>
      <c r="K416" s="99"/>
      <c r="L416" s="99"/>
      <c r="M416" s="99"/>
      <c r="N416" s="43">
        <f t="shared" si="6"/>
        <v>0</v>
      </c>
    </row>
    <row r="417" spans="2:14">
      <c r="B417" s="57"/>
      <c r="C417" s="60"/>
      <c r="D417" s="60"/>
      <c r="E417" s="60"/>
      <c r="F417" s="60"/>
      <c r="G417" s="60"/>
      <c r="J417" s="99"/>
      <c r="K417" s="99"/>
      <c r="L417" s="99"/>
      <c r="M417" s="99"/>
      <c r="N417" s="43">
        <f t="shared" si="6"/>
        <v>0</v>
      </c>
    </row>
    <row r="418" spans="2:14">
      <c r="B418" s="57"/>
      <c r="C418" s="60"/>
      <c r="D418" s="60"/>
      <c r="E418" s="60"/>
      <c r="F418" s="60"/>
      <c r="G418" s="60"/>
      <c r="J418" s="99"/>
      <c r="K418" s="99"/>
      <c r="L418" s="99"/>
      <c r="M418" s="99"/>
      <c r="N418" s="43">
        <f t="shared" si="6"/>
        <v>0</v>
      </c>
    </row>
    <row r="419" spans="2:14">
      <c r="B419" s="57"/>
      <c r="C419" s="60"/>
      <c r="D419" s="60"/>
      <c r="E419" s="60"/>
      <c r="F419" s="60"/>
      <c r="G419" s="60"/>
      <c r="J419" s="99"/>
      <c r="K419" s="99"/>
      <c r="L419" s="99"/>
      <c r="M419" s="99"/>
      <c r="N419" s="43">
        <f t="shared" si="6"/>
        <v>0</v>
      </c>
    </row>
    <row r="420" spans="2:14">
      <c r="B420" s="57"/>
      <c r="C420" s="60"/>
      <c r="D420" s="60"/>
      <c r="E420" s="60"/>
      <c r="F420" s="60"/>
      <c r="G420" s="60"/>
      <c r="J420" s="99"/>
      <c r="K420" s="99"/>
      <c r="L420" s="99"/>
      <c r="M420" s="99"/>
      <c r="N420" s="43">
        <f t="shared" si="6"/>
        <v>0</v>
      </c>
    </row>
    <row r="421" spans="2:14">
      <c r="B421" s="57"/>
      <c r="C421" s="60"/>
      <c r="D421" s="60"/>
      <c r="E421" s="60"/>
      <c r="F421" s="60"/>
      <c r="G421" s="60"/>
      <c r="J421" s="99"/>
      <c r="K421" s="99"/>
      <c r="L421" s="99"/>
      <c r="M421" s="99"/>
      <c r="N421" s="43">
        <f t="shared" si="6"/>
        <v>0</v>
      </c>
    </row>
    <row r="422" spans="2:14">
      <c r="B422" s="57"/>
      <c r="C422" s="60"/>
      <c r="D422" s="60"/>
      <c r="E422" s="60"/>
      <c r="F422" s="60"/>
      <c r="G422" s="60"/>
      <c r="J422" s="99"/>
      <c r="K422" s="99"/>
      <c r="L422" s="99"/>
      <c r="M422" s="99"/>
      <c r="N422" s="43">
        <f t="shared" si="6"/>
        <v>0</v>
      </c>
    </row>
    <row r="423" spans="2:14">
      <c r="B423" s="57"/>
      <c r="C423" s="60"/>
      <c r="D423" s="60"/>
      <c r="E423" s="60"/>
      <c r="F423" s="60"/>
      <c r="G423" s="60"/>
      <c r="J423" s="99"/>
      <c r="K423" s="99"/>
      <c r="L423" s="99"/>
      <c r="M423" s="99"/>
      <c r="N423" s="43">
        <f t="shared" si="6"/>
        <v>0</v>
      </c>
    </row>
    <row r="424" spans="2:14">
      <c r="B424" s="57"/>
      <c r="C424" s="60"/>
      <c r="D424" s="60"/>
      <c r="E424" s="60"/>
      <c r="F424" s="60"/>
      <c r="G424" s="60"/>
      <c r="J424" s="99"/>
      <c r="K424" s="99"/>
      <c r="L424" s="99"/>
      <c r="M424" s="99"/>
      <c r="N424" s="43">
        <f t="shared" si="6"/>
        <v>0</v>
      </c>
    </row>
    <row r="425" spans="2:14">
      <c r="B425" s="57"/>
      <c r="C425" s="60"/>
      <c r="D425" s="60"/>
      <c r="E425" s="60"/>
      <c r="F425" s="60"/>
      <c r="G425" s="60"/>
      <c r="J425" s="99"/>
      <c r="K425" s="99"/>
      <c r="L425" s="99"/>
      <c r="M425" s="99"/>
      <c r="N425" s="43">
        <f t="shared" si="6"/>
        <v>0</v>
      </c>
    </row>
    <row r="426" spans="2:14">
      <c r="B426" s="57"/>
      <c r="C426" s="60"/>
      <c r="D426" s="60"/>
      <c r="E426" s="60"/>
      <c r="F426" s="60"/>
      <c r="G426" s="60"/>
      <c r="J426" s="99"/>
      <c r="K426" s="99"/>
      <c r="L426" s="99"/>
      <c r="M426" s="99"/>
      <c r="N426" s="43">
        <f t="shared" si="6"/>
        <v>0</v>
      </c>
    </row>
    <row r="427" spans="2:14">
      <c r="B427" s="57"/>
      <c r="C427" s="60"/>
      <c r="D427" s="60"/>
      <c r="E427" s="60"/>
      <c r="F427" s="60"/>
      <c r="G427" s="60"/>
      <c r="J427" s="99"/>
      <c r="K427" s="99"/>
      <c r="L427" s="99"/>
      <c r="M427" s="99"/>
      <c r="N427" s="43">
        <f t="shared" si="6"/>
        <v>0</v>
      </c>
    </row>
    <row r="428" spans="2:14">
      <c r="B428" s="57"/>
      <c r="C428" s="60"/>
      <c r="D428" s="60"/>
      <c r="E428" s="60"/>
      <c r="F428" s="60"/>
      <c r="G428" s="60"/>
      <c r="J428" s="99"/>
      <c r="K428" s="99"/>
      <c r="L428" s="99"/>
      <c r="M428" s="99"/>
      <c r="N428" s="43">
        <f t="shared" si="6"/>
        <v>0</v>
      </c>
    </row>
    <row r="429" spans="2:14" ht="1.5" customHeight="1">
      <c r="B429" s="57"/>
      <c r="C429" s="60"/>
      <c r="D429" s="60"/>
      <c r="E429" s="60"/>
      <c r="F429" s="60"/>
      <c r="G429" s="60"/>
      <c r="J429" s="99"/>
      <c r="K429" s="99"/>
      <c r="L429" s="99"/>
      <c r="M429" s="99"/>
      <c r="N429" s="43">
        <f t="shared" si="6"/>
        <v>0</v>
      </c>
    </row>
    <row r="430" spans="2:14" ht="1.5" customHeight="1">
      <c r="B430" s="57"/>
      <c r="C430" s="60"/>
      <c r="D430" s="60"/>
      <c r="E430" s="60"/>
      <c r="F430" s="60"/>
      <c r="G430" s="60"/>
      <c r="J430" s="99"/>
      <c r="K430" s="99"/>
      <c r="L430" s="99"/>
      <c r="M430" s="99"/>
      <c r="N430" s="43">
        <f t="shared" si="6"/>
        <v>0</v>
      </c>
    </row>
    <row r="431" spans="2:14" ht="1.5" customHeight="1">
      <c r="B431" s="57"/>
      <c r="C431" s="60"/>
      <c r="D431" s="60"/>
      <c r="E431" s="60"/>
      <c r="F431" s="60"/>
      <c r="G431" s="60"/>
      <c r="J431" s="99"/>
      <c r="K431" s="99"/>
      <c r="L431" s="99"/>
      <c r="M431" s="99"/>
      <c r="N431" s="43">
        <f t="shared" si="6"/>
        <v>0</v>
      </c>
    </row>
    <row r="432" spans="2:14" ht="1.5" customHeight="1">
      <c r="B432" s="57"/>
      <c r="C432" s="60"/>
      <c r="D432" s="60"/>
      <c r="E432" s="60"/>
      <c r="F432" s="60"/>
      <c r="G432" s="60"/>
      <c r="J432" s="99"/>
      <c r="K432" s="99"/>
      <c r="L432" s="99"/>
      <c r="M432" s="99"/>
      <c r="N432" s="43">
        <f t="shared" si="6"/>
        <v>0</v>
      </c>
    </row>
    <row r="433" spans="2:14" ht="1.5" customHeight="1">
      <c r="B433" s="57"/>
      <c r="C433" s="60"/>
      <c r="D433" s="60"/>
      <c r="E433" s="60"/>
      <c r="F433" s="60"/>
      <c r="G433" s="60"/>
      <c r="J433" s="99"/>
      <c r="K433" s="99"/>
      <c r="L433" s="99"/>
      <c r="M433" s="99"/>
      <c r="N433" s="43">
        <f t="shared" si="6"/>
        <v>0</v>
      </c>
    </row>
    <row r="434" spans="2:14" ht="1.5" customHeight="1">
      <c r="B434" s="57"/>
      <c r="C434" s="60"/>
      <c r="D434" s="60"/>
      <c r="E434" s="60"/>
      <c r="F434" s="60"/>
      <c r="G434" s="60"/>
      <c r="J434" s="99"/>
      <c r="K434" s="99"/>
      <c r="L434" s="99"/>
      <c r="M434" s="99"/>
      <c r="N434" s="43">
        <f t="shared" si="6"/>
        <v>0</v>
      </c>
    </row>
    <row r="435" spans="2:14" ht="1.5" customHeight="1">
      <c r="B435" s="57"/>
      <c r="C435" s="60"/>
      <c r="D435" s="60"/>
      <c r="E435" s="60"/>
      <c r="F435" s="60"/>
      <c r="G435" s="60"/>
      <c r="J435" s="99"/>
      <c r="K435" s="99"/>
      <c r="L435" s="99"/>
      <c r="M435" s="99"/>
      <c r="N435" s="43">
        <f t="shared" si="6"/>
        <v>0</v>
      </c>
    </row>
    <row r="436" spans="2:14" ht="1.5" customHeight="1">
      <c r="B436" s="57"/>
      <c r="C436" s="60"/>
      <c r="D436" s="60"/>
      <c r="E436" s="60"/>
      <c r="F436" s="60"/>
      <c r="G436" s="60"/>
      <c r="J436" s="99"/>
      <c r="K436" s="99"/>
      <c r="L436" s="99"/>
      <c r="M436" s="99"/>
      <c r="N436" s="43">
        <f t="shared" si="6"/>
        <v>0</v>
      </c>
    </row>
    <row r="437" spans="2:14" ht="1.5" customHeight="1">
      <c r="B437" s="57"/>
      <c r="C437" s="60"/>
      <c r="D437" s="60"/>
      <c r="E437" s="60"/>
      <c r="F437" s="60"/>
      <c r="G437" s="60"/>
      <c r="J437" s="99"/>
      <c r="K437" s="99"/>
      <c r="L437" s="99"/>
      <c r="M437" s="99"/>
      <c r="N437" s="43">
        <f t="shared" si="6"/>
        <v>0</v>
      </c>
    </row>
    <row r="438" spans="2:14" ht="1.5" customHeight="1">
      <c r="B438" s="57"/>
      <c r="C438" s="60"/>
      <c r="D438" s="60"/>
      <c r="E438" s="60"/>
      <c r="F438" s="60"/>
      <c r="G438" s="60"/>
      <c r="J438" s="99"/>
      <c r="K438" s="99"/>
      <c r="L438" s="99"/>
      <c r="M438" s="99"/>
      <c r="N438" s="43">
        <f t="shared" si="6"/>
        <v>0</v>
      </c>
    </row>
    <row r="439" spans="2:14" ht="1.5" customHeight="1">
      <c r="B439" s="57"/>
      <c r="C439" s="60"/>
      <c r="D439" s="60"/>
      <c r="E439" s="60"/>
      <c r="F439" s="60"/>
      <c r="G439" s="60"/>
      <c r="J439" s="99"/>
      <c r="K439" s="99"/>
      <c r="L439" s="99"/>
      <c r="M439" s="99"/>
      <c r="N439" s="43">
        <f t="shared" si="6"/>
        <v>0</v>
      </c>
    </row>
    <row r="440" spans="2:14" ht="1.5" customHeight="1">
      <c r="B440" s="57"/>
      <c r="C440" s="60"/>
      <c r="D440" s="60"/>
      <c r="E440" s="60"/>
      <c r="F440" s="60"/>
      <c r="G440" s="60"/>
      <c r="J440" s="99"/>
      <c r="K440" s="99"/>
      <c r="L440" s="99"/>
      <c r="M440" s="99"/>
      <c r="N440" s="43">
        <f t="shared" si="6"/>
        <v>0</v>
      </c>
    </row>
    <row r="441" spans="2:14" ht="1.5" customHeight="1">
      <c r="B441" s="57"/>
      <c r="C441" s="60"/>
      <c r="D441" s="60"/>
      <c r="E441" s="60"/>
      <c r="F441" s="60"/>
      <c r="G441" s="60"/>
      <c r="J441" s="99"/>
      <c r="K441" s="99"/>
      <c r="L441" s="99"/>
      <c r="M441" s="99"/>
      <c r="N441" s="43">
        <f t="shared" si="6"/>
        <v>0</v>
      </c>
    </row>
    <row r="442" spans="2:14" ht="1.5" customHeight="1">
      <c r="B442" s="57"/>
      <c r="C442" s="60"/>
      <c r="D442" s="60"/>
      <c r="E442" s="60"/>
      <c r="F442" s="60"/>
      <c r="G442" s="60"/>
      <c r="J442" s="99"/>
      <c r="K442" s="99"/>
      <c r="L442" s="99"/>
      <c r="M442" s="99"/>
      <c r="N442" s="43">
        <f t="shared" si="6"/>
        <v>0</v>
      </c>
    </row>
    <row r="443" spans="2:14" ht="1.5" customHeight="1">
      <c r="B443" s="57"/>
      <c r="C443" s="60"/>
      <c r="D443" s="60"/>
      <c r="E443" s="60"/>
      <c r="F443" s="60"/>
      <c r="G443" s="60"/>
      <c r="J443" s="99"/>
      <c r="K443" s="99"/>
      <c r="L443" s="99"/>
      <c r="M443" s="99"/>
      <c r="N443" s="43">
        <f t="shared" si="6"/>
        <v>0</v>
      </c>
    </row>
    <row r="444" spans="2:14" ht="1.5" customHeight="1">
      <c r="B444" s="57"/>
      <c r="C444" s="60"/>
      <c r="D444" s="60"/>
      <c r="E444" s="60"/>
      <c r="F444" s="60"/>
      <c r="G444" s="60"/>
      <c r="J444" s="99"/>
      <c r="K444" s="99"/>
      <c r="L444" s="99"/>
      <c r="M444" s="99"/>
      <c r="N444" s="43">
        <f t="shared" si="6"/>
        <v>0</v>
      </c>
    </row>
    <row r="445" spans="2:14" ht="1.5" customHeight="1">
      <c r="B445" s="57"/>
      <c r="C445" s="60"/>
      <c r="D445" s="60"/>
      <c r="E445" s="60"/>
      <c r="F445" s="60"/>
      <c r="G445" s="60"/>
      <c r="J445" s="99"/>
      <c r="K445" s="99"/>
      <c r="L445" s="99"/>
      <c r="M445" s="99"/>
      <c r="N445" s="43">
        <f t="shared" si="6"/>
        <v>0</v>
      </c>
    </row>
    <row r="446" spans="2:14" ht="1.5" customHeight="1">
      <c r="B446" s="57"/>
      <c r="C446" s="60"/>
      <c r="D446" s="60"/>
      <c r="E446" s="60"/>
      <c r="F446" s="60"/>
      <c r="G446" s="60"/>
      <c r="J446" s="99"/>
      <c r="K446" s="99"/>
      <c r="L446" s="99"/>
      <c r="M446" s="99"/>
      <c r="N446" s="43">
        <f t="shared" si="6"/>
        <v>0</v>
      </c>
    </row>
    <row r="447" spans="2:14" ht="1.5" customHeight="1">
      <c r="B447" s="57"/>
      <c r="C447" s="60"/>
      <c r="D447" s="60"/>
      <c r="E447" s="60"/>
      <c r="F447" s="60"/>
      <c r="G447" s="60"/>
      <c r="J447" s="99"/>
      <c r="K447" s="99"/>
      <c r="L447" s="99"/>
      <c r="M447" s="99"/>
      <c r="N447" s="43">
        <f t="shared" si="6"/>
        <v>0</v>
      </c>
    </row>
    <row r="448" spans="2:14" ht="1.5" customHeight="1">
      <c r="B448" s="57"/>
      <c r="C448" s="60"/>
      <c r="D448" s="60"/>
      <c r="E448" s="60"/>
      <c r="F448" s="60"/>
      <c r="G448" s="60"/>
      <c r="J448" s="99"/>
      <c r="K448" s="99"/>
      <c r="L448" s="99"/>
      <c r="M448" s="99"/>
      <c r="N448" s="43">
        <f t="shared" si="6"/>
        <v>0</v>
      </c>
    </row>
    <row r="449" spans="2:14" ht="1.5" customHeight="1">
      <c r="B449" s="57"/>
      <c r="C449" s="60"/>
      <c r="D449" s="60"/>
      <c r="E449" s="60"/>
      <c r="F449" s="60"/>
      <c r="G449" s="60"/>
      <c r="J449" s="99"/>
      <c r="K449" s="99"/>
      <c r="L449" s="99"/>
      <c r="M449" s="99"/>
      <c r="N449" s="43">
        <f t="shared" si="6"/>
        <v>0</v>
      </c>
    </row>
    <row r="450" spans="2:14" ht="1.5" customHeight="1">
      <c r="B450" s="57"/>
      <c r="C450" s="60"/>
      <c r="D450" s="60"/>
      <c r="E450" s="60"/>
      <c r="F450" s="60"/>
      <c r="G450" s="60"/>
      <c r="J450" s="99"/>
      <c r="K450" s="99"/>
      <c r="L450" s="99"/>
      <c r="M450" s="99"/>
      <c r="N450" s="43">
        <f t="shared" si="6"/>
        <v>0</v>
      </c>
    </row>
    <row r="451" spans="2:14" ht="1.5" customHeight="1">
      <c r="B451" s="57"/>
      <c r="C451" s="60"/>
      <c r="D451" s="60"/>
      <c r="E451" s="60"/>
      <c r="F451" s="60"/>
      <c r="G451" s="60"/>
      <c r="J451" s="99"/>
      <c r="K451" s="99"/>
      <c r="L451" s="99"/>
      <c r="M451" s="99"/>
      <c r="N451" s="43">
        <f t="shared" si="6"/>
        <v>0</v>
      </c>
    </row>
    <row r="452" spans="2:14" ht="1.5" customHeight="1">
      <c r="B452" s="57"/>
      <c r="C452" s="60"/>
      <c r="D452" s="60"/>
      <c r="E452" s="60"/>
      <c r="F452" s="60"/>
      <c r="G452" s="60"/>
      <c r="J452" s="99"/>
      <c r="K452" s="99"/>
      <c r="L452" s="99"/>
      <c r="M452" s="99"/>
      <c r="N452" s="43">
        <f t="shared" si="6"/>
        <v>0</v>
      </c>
    </row>
    <row r="453" spans="2:14" ht="1.5" customHeight="1">
      <c r="B453" s="57"/>
      <c r="C453" s="60"/>
      <c r="D453" s="60"/>
      <c r="E453" s="60"/>
      <c r="F453" s="60"/>
      <c r="G453" s="60"/>
      <c r="J453" s="99"/>
      <c r="K453" s="99"/>
      <c r="L453" s="99"/>
      <c r="M453" s="99"/>
      <c r="N453" s="43">
        <f t="shared" si="6"/>
        <v>0</v>
      </c>
    </row>
    <row r="454" spans="2:14" ht="1.5" customHeight="1">
      <c r="B454" s="57"/>
      <c r="C454" s="60"/>
      <c r="D454" s="60"/>
      <c r="E454" s="60"/>
      <c r="F454" s="60"/>
      <c r="G454" s="60"/>
      <c r="J454" s="99"/>
      <c r="K454" s="99"/>
      <c r="L454" s="99"/>
      <c r="M454" s="99"/>
      <c r="N454" s="43">
        <f t="shared" si="6"/>
        <v>0</v>
      </c>
    </row>
    <row r="455" spans="2:14" ht="1.5" customHeight="1">
      <c r="B455" s="57"/>
      <c r="C455" s="60"/>
      <c r="D455" s="60"/>
      <c r="E455" s="60"/>
      <c r="F455" s="60"/>
      <c r="G455" s="60"/>
      <c r="J455" s="99"/>
      <c r="K455" s="99"/>
      <c r="L455" s="99"/>
      <c r="M455" s="99"/>
      <c r="N455" s="43">
        <f t="shared" si="6"/>
        <v>0</v>
      </c>
    </row>
    <row r="456" spans="2:14" ht="1.5" customHeight="1">
      <c r="B456" s="57"/>
      <c r="C456" s="60"/>
      <c r="D456" s="60"/>
      <c r="E456" s="60"/>
      <c r="F456" s="60"/>
      <c r="G456" s="60"/>
      <c r="J456" s="99"/>
      <c r="K456" s="99"/>
      <c r="L456" s="99"/>
      <c r="M456" s="99"/>
      <c r="N456" s="43">
        <f t="shared" si="6"/>
        <v>0</v>
      </c>
    </row>
    <row r="457" spans="2:14" ht="1.5" customHeight="1">
      <c r="B457" s="57"/>
      <c r="C457" s="60"/>
      <c r="D457" s="60"/>
      <c r="E457" s="60"/>
      <c r="F457" s="60"/>
      <c r="G457" s="60"/>
      <c r="J457" s="99"/>
      <c r="K457" s="99"/>
      <c r="L457" s="99"/>
      <c r="M457" s="99"/>
      <c r="N457" s="43">
        <f t="shared" si="6"/>
        <v>0</v>
      </c>
    </row>
    <row r="458" spans="2:14" ht="1.5" customHeight="1">
      <c r="B458" s="57"/>
      <c r="C458" s="60"/>
      <c r="D458" s="60"/>
      <c r="E458" s="60"/>
      <c r="F458" s="60"/>
      <c r="G458" s="60"/>
      <c r="J458" s="99"/>
      <c r="K458" s="99"/>
      <c r="L458" s="99"/>
      <c r="M458" s="99"/>
      <c r="N458" s="43">
        <f t="shared" si="6"/>
        <v>0</v>
      </c>
    </row>
    <row r="459" spans="2:14" ht="1.5" customHeight="1">
      <c r="B459" s="57"/>
      <c r="C459" s="60"/>
      <c r="D459" s="60"/>
      <c r="E459" s="60"/>
      <c r="F459" s="60"/>
      <c r="G459" s="60"/>
      <c r="J459" s="99"/>
      <c r="K459" s="99"/>
      <c r="L459" s="99"/>
      <c r="M459" s="99"/>
      <c r="N459" s="43">
        <f t="shared" ref="N459:N522" si="7">IF($L$4=$C$10,C459,IF(D459="","",B459))</f>
        <v>0</v>
      </c>
    </row>
    <row r="460" spans="2:14" ht="1.5" customHeight="1">
      <c r="B460" s="57"/>
      <c r="C460" s="60"/>
      <c r="D460" s="60"/>
      <c r="E460" s="60"/>
      <c r="F460" s="60"/>
      <c r="G460" s="60"/>
      <c r="J460" s="99"/>
      <c r="K460" s="99"/>
      <c r="L460" s="99"/>
      <c r="M460" s="99"/>
      <c r="N460" s="43">
        <f t="shared" si="7"/>
        <v>0</v>
      </c>
    </row>
    <row r="461" spans="2:14" ht="1.5" customHeight="1">
      <c r="B461" s="57"/>
      <c r="C461" s="60"/>
      <c r="D461" s="60"/>
      <c r="E461" s="60"/>
      <c r="F461" s="60"/>
      <c r="G461" s="60"/>
      <c r="J461" s="99"/>
      <c r="K461" s="99"/>
      <c r="L461" s="99"/>
      <c r="M461" s="99"/>
      <c r="N461" s="43">
        <f t="shared" si="7"/>
        <v>0</v>
      </c>
    </row>
    <row r="462" spans="2:14" ht="1.5" customHeight="1">
      <c r="B462" s="57"/>
      <c r="C462" s="60"/>
      <c r="D462" s="60"/>
      <c r="E462" s="60"/>
      <c r="F462" s="60"/>
      <c r="G462" s="60"/>
      <c r="J462" s="99"/>
      <c r="K462" s="99"/>
      <c r="L462" s="99"/>
      <c r="M462" s="99"/>
      <c r="N462" s="43">
        <f t="shared" si="7"/>
        <v>0</v>
      </c>
    </row>
    <row r="463" spans="2:14" ht="1.5" customHeight="1">
      <c r="B463" s="57"/>
      <c r="C463" s="60"/>
      <c r="D463" s="60"/>
      <c r="E463" s="60"/>
      <c r="F463" s="60"/>
      <c r="G463" s="60"/>
      <c r="J463" s="99"/>
      <c r="K463" s="99"/>
      <c r="L463" s="99"/>
      <c r="M463" s="99"/>
      <c r="N463" s="43">
        <f t="shared" si="7"/>
        <v>0</v>
      </c>
    </row>
    <row r="464" spans="2:14" ht="1.5" customHeight="1">
      <c r="B464" s="57"/>
      <c r="C464" s="60"/>
      <c r="D464" s="60"/>
      <c r="E464" s="60"/>
      <c r="F464" s="60"/>
      <c r="G464" s="60"/>
      <c r="J464" s="99"/>
      <c r="K464" s="99"/>
      <c r="L464" s="99"/>
      <c r="M464" s="99"/>
      <c r="N464" s="43">
        <f t="shared" si="7"/>
        <v>0</v>
      </c>
    </row>
    <row r="465" spans="2:14" ht="1.5" customHeight="1">
      <c r="B465" s="57"/>
      <c r="C465" s="60"/>
      <c r="D465" s="60"/>
      <c r="E465" s="60"/>
      <c r="F465" s="60"/>
      <c r="G465" s="60"/>
      <c r="J465" s="99"/>
      <c r="K465" s="99"/>
      <c r="L465" s="99"/>
      <c r="M465" s="99"/>
      <c r="N465" s="43">
        <f t="shared" si="7"/>
        <v>0</v>
      </c>
    </row>
    <row r="466" spans="2:14" ht="1.5" customHeight="1">
      <c r="B466" s="57"/>
      <c r="C466" s="60"/>
      <c r="D466" s="60"/>
      <c r="E466" s="60"/>
      <c r="F466" s="60"/>
      <c r="G466" s="60"/>
      <c r="J466" s="99"/>
      <c r="K466" s="99"/>
      <c r="L466" s="99"/>
      <c r="M466" s="99"/>
      <c r="N466" s="43">
        <f t="shared" si="7"/>
        <v>0</v>
      </c>
    </row>
    <row r="467" spans="2:14" ht="1.5" customHeight="1">
      <c r="B467" s="57"/>
      <c r="C467" s="60"/>
      <c r="D467" s="60"/>
      <c r="E467" s="60"/>
      <c r="F467" s="60"/>
      <c r="G467" s="60"/>
      <c r="J467" s="99"/>
      <c r="K467" s="99"/>
      <c r="L467" s="99"/>
      <c r="M467" s="99"/>
      <c r="N467" s="43">
        <f t="shared" si="7"/>
        <v>0</v>
      </c>
    </row>
    <row r="468" spans="2:14" ht="1.5" customHeight="1">
      <c r="B468" s="57"/>
      <c r="C468" s="60"/>
      <c r="D468" s="60"/>
      <c r="E468" s="60"/>
      <c r="F468" s="60"/>
      <c r="G468" s="60"/>
      <c r="J468" s="99"/>
      <c r="K468" s="99"/>
      <c r="L468" s="99"/>
      <c r="M468" s="99"/>
      <c r="N468" s="43">
        <f t="shared" si="7"/>
        <v>0</v>
      </c>
    </row>
    <row r="469" spans="2:14" ht="1.5" customHeight="1">
      <c r="B469" s="57"/>
      <c r="C469" s="60"/>
      <c r="D469" s="60"/>
      <c r="E469" s="60"/>
      <c r="F469" s="60"/>
      <c r="G469" s="60"/>
      <c r="J469" s="99"/>
      <c r="K469" s="99"/>
      <c r="L469" s="99"/>
      <c r="M469" s="99"/>
      <c r="N469" s="43">
        <f t="shared" si="7"/>
        <v>0</v>
      </c>
    </row>
    <row r="470" spans="2:14" ht="1.5" customHeight="1">
      <c r="B470" s="57"/>
      <c r="C470" s="60"/>
      <c r="D470" s="60"/>
      <c r="E470" s="60"/>
      <c r="F470" s="60"/>
      <c r="G470" s="60"/>
      <c r="J470" s="99"/>
      <c r="K470" s="99"/>
      <c r="L470" s="99"/>
      <c r="M470" s="99"/>
      <c r="N470" s="43">
        <f t="shared" si="7"/>
        <v>0</v>
      </c>
    </row>
    <row r="471" spans="2:14" ht="1.5" customHeight="1">
      <c r="B471" s="57"/>
      <c r="C471" s="60"/>
      <c r="D471" s="60"/>
      <c r="E471" s="60"/>
      <c r="F471" s="60"/>
      <c r="G471" s="60"/>
      <c r="J471" s="99"/>
      <c r="K471" s="99"/>
      <c r="L471" s="99"/>
      <c r="M471" s="99"/>
      <c r="N471" s="43">
        <f t="shared" si="7"/>
        <v>0</v>
      </c>
    </row>
    <row r="472" spans="2:14" ht="1.5" customHeight="1">
      <c r="B472" s="57"/>
      <c r="C472" s="60"/>
      <c r="D472" s="60"/>
      <c r="E472" s="60"/>
      <c r="F472" s="60"/>
      <c r="G472" s="60"/>
      <c r="J472" s="99"/>
      <c r="K472" s="99"/>
      <c r="L472" s="99"/>
      <c r="M472" s="99"/>
      <c r="N472" s="43">
        <f t="shared" si="7"/>
        <v>0</v>
      </c>
    </row>
    <row r="473" spans="2:14" ht="1.5" customHeight="1">
      <c r="B473" s="57"/>
      <c r="C473" s="60"/>
      <c r="D473" s="60"/>
      <c r="E473" s="60"/>
      <c r="F473" s="60"/>
      <c r="G473" s="60"/>
      <c r="J473" s="99"/>
      <c r="K473" s="99"/>
      <c r="L473" s="99"/>
      <c r="M473" s="99"/>
      <c r="N473" s="43">
        <f t="shared" si="7"/>
        <v>0</v>
      </c>
    </row>
    <row r="474" spans="2:14" ht="1.5" customHeight="1">
      <c r="B474" s="57"/>
      <c r="C474" s="60"/>
      <c r="D474" s="60"/>
      <c r="E474" s="60"/>
      <c r="F474" s="60"/>
      <c r="G474" s="60"/>
      <c r="J474" s="99"/>
      <c r="K474" s="99"/>
      <c r="L474" s="99"/>
      <c r="M474" s="99"/>
      <c r="N474" s="43">
        <f t="shared" si="7"/>
        <v>0</v>
      </c>
    </row>
    <row r="475" spans="2:14" ht="1.5" customHeight="1">
      <c r="B475" s="57"/>
      <c r="C475" s="60"/>
      <c r="D475" s="60"/>
      <c r="E475" s="60"/>
      <c r="F475" s="60"/>
      <c r="G475" s="60"/>
      <c r="J475" s="99"/>
      <c r="K475" s="99"/>
      <c r="L475" s="99"/>
      <c r="M475" s="99"/>
      <c r="N475" s="43">
        <f t="shared" si="7"/>
        <v>0</v>
      </c>
    </row>
    <row r="476" spans="2:14" ht="1.5" customHeight="1">
      <c r="B476" s="57"/>
      <c r="C476" s="60"/>
      <c r="D476" s="60"/>
      <c r="E476" s="60"/>
      <c r="F476" s="60"/>
      <c r="G476" s="60"/>
      <c r="J476" s="99"/>
      <c r="K476" s="99"/>
      <c r="L476" s="99"/>
      <c r="M476" s="99"/>
      <c r="N476" s="43">
        <f t="shared" si="7"/>
        <v>0</v>
      </c>
    </row>
    <row r="477" spans="2:14" ht="1.5" customHeight="1">
      <c r="B477" s="57"/>
      <c r="C477" s="60"/>
      <c r="D477" s="60"/>
      <c r="E477" s="60"/>
      <c r="F477" s="60"/>
      <c r="G477" s="60"/>
      <c r="J477" s="99"/>
      <c r="K477" s="99"/>
      <c r="L477" s="99"/>
      <c r="M477" s="99"/>
      <c r="N477" s="43">
        <f t="shared" si="7"/>
        <v>0</v>
      </c>
    </row>
    <row r="478" spans="2:14" ht="1.5" customHeight="1">
      <c r="B478" s="57"/>
      <c r="C478" s="60"/>
      <c r="D478" s="60"/>
      <c r="E478" s="60"/>
      <c r="F478" s="60"/>
      <c r="G478" s="60"/>
      <c r="J478" s="99"/>
      <c r="K478" s="99"/>
      <c r="L478" s="99"/>
      <c r="M478" s="99"/>
      <c r="N478" s="43">
        <f t="shared" si="7"/>
        <v>0</v>
      </c>
    </row>
    <row r="479" spans="2:14" ht="1.5" customHeight="1">
      <c r="B479" s="57"/>
      <c r="C479" s="60"/>
      <c r="D479" s="60"/>
      <c r="E479" s="60"/>
      <c r="F479" s="60"/>
      <c r="G479" s="60"/>
      <c r="J479" s="99"/>
      <c r="K479" s="99"/>
      <c r="L479" s="99"/>
      <c r="M479" s="99"/>
      <c r="N479" s="43">
        <f t="shared" si="7"/>
        <v>0</v>
      </c>
    </row>
    <row r="480" spans="2:14" ht="1.5" customHeight="1">
      <c r="B480" s="57"/>
      <c r="C480" s="60"/>
      <c r="D480" s="60"/>
      <c r="E480" s="60"/>
      <c r="F480" s="60"/>
      <c r="G480" s="60"/>
      <c r="J480" s="99"/>
      <c r="K480" s="99"/>
      <c r="L480" s="99"/>
      <c r="M480" s="99"/>
      <c r="N480" s="43">
        <f t="shared" si="7"/>
        <v>0</v>
      </c>
    </row>
    <row r="481" spans="2:14" ht="1.5" customHeight="1">
      <c r="B481" s="57"/>
      <c r="C481" s="60"/>
      <c r="D481" s="60"/>
      <c r="E481" s="60"/>
      <c r="F481" s="60"/>
      <c r="G481" s="60"/>
      <c r="J481" s="99"/>
      <c r="K481" s="99"/>
      <c r="L481" s="99"/>
      <c r="M481" s="99"/>
      <c r="N481" s="43">
        <f t="shared" si="7"/>
        <v>0</v>
      </c>
    </row>
    <row r="482" spans="2:14" ht="1.5" customHeight="1">
      <c r="B482" s="57"/>
      <c r="C482" s="60"/>
      <c r="D482" s="60"/>
      <c r="E482" s="60"/>
      <c r="F482" s="60"/>
      <c r="G482" s="60"/>
      <c r="J482" s="99"/>
      <c r="K482" s="99"/>
      <c r="L482" s="99"/>
      <c r="M482" s="99"/>
      <c r="N482" s="43">
        <f t="shared" si="7"/>
        <v>0</v>
      </c>
    </row>
    <row r="483" spans="2:14" ht="1.5" customHeight="1">
      <c r="B483" s="57"/>
      <c r="C483" s="60"/>
      <c r="D483" s="60"/>
      <c r="E483" s="60"/>
      <c r="F483" s="60"/>
      <c r="G483" s="60"/>
      <c r="J483" s="99"/>
      <c r="K483" s="99"/>
      <c r="L483" s="99"/>
      <c r="M483" s="99"/>
      <c r="N483" s="43">
        <f t="shared" si="7"/>
        <v>0</v>
      </c>
    </row>
    <row r="484" spans="2:14" ht="1.5" customHeight="1">
      <c r="B484" s="57"/>
      <c r="C484" s="60"/>
      <c r="D484" s="60"/>
      <c r="E484" s="60"/>
      <c r="F484" s="60"/>
      <c r="G484" s="60"/>
      <c r="J484" s="99"/>
      <c r="K484" s="99"/>
      <c r="L484" s="99"/>
      <c r="M484" s="99"/>
      <c r="N484" s="43">
        <f t="shared" si="7"/>
        <v>0</v>
      </c>
    </row>
    <row r="485" spans="2:14" ht="1.5" customHeight="1">
      <c r="B485" s="57"/>
      <c r="C485" s="60"/>
      <c r="D485" s="60"/>
      <c r="E485" s="60"/>
      <c r="F485" s="60"/>
      <c r="G485" s="60"/>
      <c r="J485" s="99"/>
      <c r="K485" s="99"/>
      <c r="L485" s="99"/>
      <c r="M485" s="99"/>
      <c r="N485" s="43">
        <f t="shared" si="7"/>
        <v>0</v>
      </c>
    </row>
    <row r="486" spans="2:14" ht="1.5" customHeight="1">
      <c r="B486" s="57"/>
      <c r="C486" s="60"/>
      <c r="D486" s="60"/>
      <c r="E486" s="60"/>
      <c r="F486" s="60"/>
      <c r="G486" s="60"/>
      <c r="J486" s="99"/>
      <c r="K486" s="99"/>
      <c r="L486" s="99"/>
      <c r="M486" s="99"/>
      <c r="N486" s="43">
        <f t="shared" si="7"/>
        <v>0</v>
      </c>
    </row>
    <row r="487" spans="2:14" ht="1.5" customHeight="1">
      <c r="B487" s="57"/>
      <c r="C487" s="60"/>
      <c r="D487" s="60"/>
      <c r="E487" s="60"/>
      <c r="F487" s="60"/>
      <c r="G487" s="60"/>
      <c r="J487" s="99"/>
      <c r="K487" s="99"/>
      <c r="L487" s="99"/>
      <c r="M487" s="99"/>
      <c r="N487" s="43">
        <f t="shared" si="7"/>
        <v>0</v>
      </c>
    </row>
    <row r="488" spans="2:14" ht="1.5" customHeight="1">
      <c r="B488" s="57"/>
      <c r="C488" s="60"/>
      <c r="D488" s="60"/>
      <c r="E488" s="60"/>
      <c r="F488" s="60"/>
      <c r="G488" s="60"/>
      <c r="J488" s="99"/>
      <c r="K488" s="99"/>
      <c r="L488" s="99"/>
      <c r="M488" s="99"/>
      <c r="N488" s="43">
        <f t="shared" si="7"/>
        <v>0</v>
      </c>
    </row>
    <row r="489" spans="2:14" ht="1.5" customHeight="1">
      <c r="B489" s="57"/>
      <c r="C489" s="60"/>
      <c r="D489" s="60"/>
      <c r="E489" s="60"/>
      <c r="F489" s="60"/>
      <c r="G489" s="60"/>
      <c r="J489" s="99"/>
      <c r="K489" s="99"/>
      <c r="L489" s="99"/>
      <c r="M489" s="99"/>
      <c r="N489" s="43">
        <f t="shared" si="7"/>
        <v>0</v>
      </c>
    </row>
    <row r="490" spans="2:14" ht="1.5" customHeight="1">
      <c r="B490" s="57"/>
      <c r="C490" s="60"/>
      <c r="D490" s="60"/>
      <c r="E490" s="60"/>
      <c r="F490" s="60"/>
      <c r="G490" s="60"/>
      <c r="J490" s="99"/>
      <c r="K490" s="99"/>
      <c r="L490" s="99"/>
      <c r="M490" s="99"/>
      <c r="N490" s="43">
        <f t="shared" si="7"/>
        <v>0</v>
      </c>
    </row>
    <row r="491" spans="2:14" ht="1.5" customHeight="1">
      <c r="B491" s="57"/>
      <c r="C491" s="60"/>
      <c r="D491" s="60"/>
      <c r="E491" s="60"/>
      <c r="F491" s="60"/>
      <c r="G491" s="60"/>
      <c r="J491" s="99"/>
      <c r="K491" s="99"/>
      <c r="L491" s="99"/>
      <c r="M491" s="99"/>
      <c r="N491" s="43">
        <f t="shared" si="7"/>
        <v>0</v>
      </c>
    </row>
    <row r="492" spans="2:14" ht="1.5" customHeight="1">
      <c r="B492" s="57"/>
      <c r="C492" s="60"/>
      <c r="D492" s="60"/>
      <c r="E492" s="60"/>
      <c r="F492" s="60"/>
      <c r="G492" s="60"/>
      <c r="J492" s="99"/>
      <c r="K492" s="99"/>
      <c r="L492" s="99"/>
      <c r="M492" s="99"/>
      <c r="N492" s="43">
        <f t="shared" si="7"/>
        <v>0</v>
      </c>
    </row>
    <row r="493" spans="2:14" ht="1.5" customHeight="1">
      <c r="B493" s="57"/>
      <c r="C493" s="60"/>
      <c r="D493" s="60"/>
      <c r="E493" s="60"/>
      <c r="F493" s="60"/>
      <c r="G493" s="60"/>
      <c r="J493" s="99"/>
      <c r="K493" s="99"/>
      <c r="L493" s="99"/>
      <c r="M493" s="99"/>
      <c r="N493" s="43">
        <f t="shared" si="7"/>
        <v>0</v>
      </c>
    </row>
    <row r="494" spans="2:14" ht="1.5" customHeight="1">
      <c r="B494" s="57"/>
      <c r="C494" s="60"/>
      <c r="D494" s="60"/>
      <c r="E494" s="60"/>
      <c r="F494" s="60"/>
      <c r="G494" s="60"/>
      <c r="J494" s="99"/>
      <c r="K494" s="99"/>
      <c r="L494" s="99"/>
      <c r="M494" s="99"/>
      <c r="N494" s="43">
        <f t="shared" si="7"/>
        <v>0</v>
      </c>
    </row>
    <row r="495" spans="2:14" ht="1.5" customHeight="1">
      <c r="B495" s="57"/>
      <c r="C495" s="60"/>
      <c r="D495" s="60"/>
      <c r="E495" s="60"/>
      <c r="F495" s="60"/>
      <c r="G495" s="60"/>
      <c r="J495" s="99"/>
      <c r="K495" s="99"/>
      <c r="L495" s="99"/>
      <c r="M495" s="99"/>
      <c r="N495" s="43">
        <f t="shared" si="7"/>
        <v>0</v>
      </c>
    </row>
    <row r="496" spans="2:14" ht="1.5" customHeight="1">
      <c r="B496" s="57"/>
      <c r="C496" s="60"/>
      <c r="D496" s="60"/>
      <c r="E496" s="60"/>
      <c r="F496" s="60"/>
      <c r="G496" s="60"/>
      <c r="J496" s="99"/>
      <c r="K496" s="99"/>
      <c r="L496" s="99"/>
      <c r="M496" s="99"/>
      <c r="N496" s="43">
        <f t="shared" si="7"/>
        <v>0</v>
      </c>
    </row>
    <row r="497" spans="2:14" ht="1.5" customHeight="1">
      <c r="B497" s="57"/>
      <c r="C497" s="60"/>
      <c r="D497" s="60"/>
      <c r="E497" s="60"/>
      <c r="F497" s="60"/>
      <c r="G497" s="60"/>
      <c r="J497" s="99"/>
      <c r="K497" s="99"/>
      <c r="L497" s="99"/>
      <c r="M497" s="99"/>
      <c r="N497" s="43">
        <f t="shared" si="7"/>
        <v>0</v>
      </c>
    </row>
    <row r="498" spans="2:14" ht="1.5" customHeight="1">
      <c r="B498" s="57"/>
      <c r="C498" s="60"/>
      <c r="D498" s="60"/>
      <c r="E498" s="60"/>
      <c r="F498" s="60"/>
      <c r="G498" s="60"/>
      <c r="J498" s="99"/>
      <c r="K498" s="99"/>
      <c r="L498" s="99"/>
      <c r="M498" s="99"/>
      <c r="N498" s="43">
        <f t="shared" si="7"/>
        <v>0</v>
      </c>
    </row>
    <row r="499" spans="2:14" ht="1.5" customHeight="1">
      <c r="B499" s="57"/>
      <c r="C499" s="60"/>
      <c r="D499" s="60"/>
      <c r="E499" s="60"/>
      <c r="F499" s="60"/>
      <c r="G499" s="60"/>
      <c r="J499" s="99"/>
      <c r="K499" s="99"/>
      <c r="L499" s="99"/>
      <c r="M499" s="99"/>
      <c r="N499" s="43">
        <f t="shared" si="7"/>
        <v>0</v>
      </c>
    </row>
    <row r="500" spans="2:14" ht="1.5" customHeight="1">
      <c r="B500" s="57"/>
      <c r="C500" s="60"/>
      <c r="D500" s="60"/>
      <c r="E500" s="60"/>
      <c r="F500" s="60"/>
      <c r="G500" s="60"/>
      <c r="J500" s="99"/>
      <c r="K500" s="99"/>
      <c r="L500" s="99"/>
      <c r="M500" s="99"/>
      <c r="N500" s="43">
        <f t="shared" si="7"/>
        <v>0</v>
      </c>
    </row>
    <row r="501" spans="2:14" ht="1.5" customHeight="1">
      <c r="B501" s="57"/>
      <c r="C501" s="60"/>
      <c r="D501" s="60"/>
      <c r="E501" s="60"/>
      <c r="F501" s="60"/>
      <c r="G501" s="60"/>
      <c r="J501" s="99"/>
      <c r="K501" s="99"/>
      <c r="L501" s="99"/>
      <c r="M501" s="99"/>
      <c r="N501" s="43">
        <f t="shared" si="7"/>
        <v>0</v>
      </c>
    </row>
    <row r="502" spans="2:14" ht="1.5" customHeight="1">
      <c r="B502" s="57"/>
      <c r="C502" s="60"/>
      <c r="D502" s="60"/>
      <c r="E502" s="60"/>
      <c r="F502" s="60"/>
      <c r="G502" s="60"/>
      <c r="J502" s="99"/>
      <c r="K502" s="99"/>
      <c r="L502" s="99"/>
      <c r="M502" s="99"/>
      <c r="N502" s="43">
        <f t="shared" si="7"/>
        <v>0</v>
      </c>
    </row>
    <row r="503" spans="2:14" ht="1.5" customHeight="1">
      <c r="B503" s="57"/>
      <c r="C503" s="60"/>
      <c r="D503" s="60"/>
      <c r="E503" s="60"/>
      <c r="F503" s="60"/>
      <c r="G503" s="60"/>
      <c r="J503" s="99"/>
      <c r="K503" s="99"/>
      <c r="L503" s="99"/>
      <c r="M503" s="99"/>
      <c r="N503" s="43">
        <f t="shared" si="7"/>
        <v>0</v>
      </c>
    </row>
    <row r="504" spans="2:14" ht="1.5" customHeight="1">
      <c r="B504" s="57"/>
      <c r="C504" s="60"/>
      <c r="D504" s="60"/>
      <c r="E504" s="60"/>
      <c r="F504" s="60"/>
      <c r="G504" s="60"/>
      <c r="J504" s="99"/>
      <c r="K504" s="99"/>
      <c r="L504" s="99"/>
      <c r="M504" s="99"/>
      <c r="N504" s="43">
        <f t="shared" si="7"/>
        <v>0</v>
      </c>
    </row>
    <row r="505" spans="2:14" ht="1.5" customHeight="1">
      <c r="B505" s="57"/>
      <c r="C505" s="60"/>
      <c r="D505" s="60"/>
      <c r="E505" s="60"/>
      <c r="F505" s="60"/>
      <c r="G505" s="60"/>
      <c r="J505" s="99"/>
      <c r="K505" s="99"/>
      <c r="L505" s="99"/>
      <c r="M505" s="99"/>
      <c r="N505" s="43">
        <f t="shared" si="7"/>
        <v>0</v>
      </c>
    </row>
    <row r="506" spans="2:14" ht="1.5" customHeight="1">
      <c r="B506" s="57"/>
      <c r="C506" s="60"/>
      <c r="D506" s="60"/>
      <c r="E506" s="60"/>
      <c r="F506" s="60"/>
      <c r="G506" s="60"/>
      <c r="J506" s="99"/>
      <c r="K506" s="99"/>
      <c r="L506" s="99"/>
      <c r="M506" s="99"/>
      <c r="N506" s="43">
        <f t="shared" si="7"/>
        <v>0</v>
      </c>
    </row>
    <row r="507" spans="2:14" ht="1.5" customHeight="1">
      <c r="B507" s="57"/>
      <c r="C507" s="60"/>
      <c r="D507" s="60"/>
      <c r="E507" s="60"/>
      <c r="F507" s="60"/>
      <c r="G507" s="60"/>
      <c r="J507" s="99"/>
      <c r="K507" s="99"/>
      <c r="L507" s="99"/>
      <c r="M507" s="99"/>
      <c r="N507" s="43">
        <f t="shared" si="7"/>
        <v>0</v>
      </c>
    </row>
    <row r="508" spans="2:14" ht="1.5" customHeight="1">
      <c r="B508" s="57"/>
      <c r="C508" s="60"/>
      <c r="D508" s="60"/>
      <c r="E508" s="60"/>
      <c r="F508" s="60"/>
      <c r="G508" s="60"/>
      <c r="J508" s="99"/>
      <c r="K508" s="99"/>
      <c r="L508" s="99"/>
      <c r="M508" s="99"/>
      <c r="N508" s="43">
        <f t="shared" si="7"/>
        <v>0</v>
      </c>
    </row>
    <row r="509" spans="2:14" ht="1.5" customHeight="1">
      <c r="B509" s="57"/>
      <c r="C509" s="60"/>
      <c r="D509" s="60"/>
      <c r="E509" s="60"/>
      <c r="F509" s="60"/>
      <c r="G509" s="60"/>
      <c r="J509" s="99"/>
      <c r="K509" s="99"/>
      <c r="L509" s="99"/>
      <c r="M509" s="99"/>
      <c r="N509" s="43">
        <f t="shared" si="7"/>
        <v>0</v>
      </c>
    </row>
    <row r="510" spans="2:14" ht="1.5" customHeight="1">
      <c r="B510" s="57"/>
      <c r="C510" s="60"/>
      <c r="D510" s="60"/>
      <c r="E510" s="60"/>
      <c r="F510" s="60"/>
      <c r="G510" s="60"/>
      <c r="J510" s="99"/>
      <c r="K510" s="99"/>
      <c r="L510" s="99"/>
      <c r="M510" s="99"/>
      <c r="N510" s="43">
        <f t="shared" si="7"/>
        <v>0</v>
      </c>
    </row>
    <row r="511" spans="2:14" ht="1.5" customHeight="1">
      <c r="B511" s="57"/>
      <c r="C511" s="60"/>
      <c r="D511" s="60"/>
      <c r="E511" s="60"/>
      <c r="F511" s="60"/>
      <c r="G511" s="60"/>
      <c r="J511" s="99"/>
      <c r="K511" s="99"/>
      <c r="L511" s="99"/>
      <c r="M511" s="99"/>
      <c r="N511" s="43">
        <f t="shared" si="7"/>
        <v>0</v>
      </c>
    </row>
    <row r="512" spans="2:14" ht="1.5" customHeight="1">
      <c r="B512" s="57"/>
      <c r="C512" s="60"/>
      <c r="D512" s="60"/>
      <c r="E512" s="60"/>
      <c r="F512" s="60"/>
      <c r="G512" s="60"/>
      <c r="J512" s="99"/>
      <c r="K512" s="99"/>
      <c r="L512" s="99"/>
      <c r="M512" s="99"/>
      <c r="N512" s="43">
        <f t="shared" si="7"/>
        <v>0</v>
      </c>
    </row>
    <row r="513" spans="2:14" ht="1.5" customHeight="1">
      <c r="B513" s="57"/>
      <c r="C513" s="60"/>
      <c r="D513" s="60"/>
      <c r="E513" s="60"/>
      <c r="F513" s="60"/>
      <c r="G513" s="60"/>
      <c r="J513" s="99"/>
      <c r="K513" s="99"/>
      <c r="L513" s="99"/>
      <c r="M513" s="99"/>
      <c r="N513" s="43">
        <f t="shared" si="7"/>
        <v>0</v>
      </c>
    </row>
    <row r="514" spans="2:14" ht="1.5" customHeight="1">
      <c r="B514" s="57"/>
      <c r="C514" s="60"/>
      <c r="D514" s="60"/>
      <c r="E514" s="60"/>
      <c r="F514" s="60"/>
      <c r="G514" s="60"/>
      <c r="J514" s="99"/>
      <c r="K514" s="99"/>
      <c r="L514" s="99"/>
      <c r="M514" s="99"/>
      <c r="N514" s="43">
        <f t="shared" si="7"/>
        <v>0</v>
      </c>
    </row>
    <row r="515" spans="2:14" ht="1.5" customHeight="1">
      <c r="B515" s="57"/>
      <c r="C515" s="60"/>
      <c r="D515" s="60"/>
      <c r="E515" s="60"/>
      <c r="F515" s="60"/>
      <c r="G515" s="60"/>
      <c r="J515" s="99"/>
      <c r="K515" s="99"/>
      <c r="L515" s="99"/>
      <c r="M515" s="99"/>
      <c r="N515" s="43">
        <f t="shared" si="7"/>
        <v>0</v>
      </c>
    </row>
    <row r="516" spans="2:14" ht="1.5" customHeight="1">
      <c r="B516" s="57"/>
      <c r="C516" s="60"/>
      <c r="D516" s="60"/>
      <c r="E516" s="60"/>
      <c r="F516" s="60"/>
      <c r="G516" s="60"/>
      <c r="J516" s="99"/>
      <c r="K516" s="99"/>
      <c r="L516" s="99"/>
      <c r="M516" s="99"/>
      <c r="N516" s="43">
        <f t="shared" si="7"/>
        <v>0</v>
      </c>
    </row>
    <row r="517" spans="2:14" ht="1.5" customHeight="1">
      <c r="B517" s="57"/>
      <c r="C517" s="60"/>
      <c r="D517" s="60"/>
      <c r="E517" s="60"/>
      <c r="F517" s="60"/>
      <c r="G517" s="60"/>
      <c r="J517" s="99"/>
      <c r="K517" s="99"/>
      <c r="L517" s="99"/>
      <c r="M517" s="99"/>
      <c r="N517" s="43">
        <f t="shared" si="7"/>
        <v>0</v>
      </c>
    </row>
    <row r="518" spans="2:14" ht="1.5" customHeight="1">
      <c r="B518" s="57"/>
      <c r="C518" s="60"/>
      <c r="D518" s="60"/>
      <c r="E518" s="60"/>
      <c r="F518" s="60"/>
      <c r="G518" s="60"/>
      <c r="J518" s="99"/>
      <c r="K518" s="99"/>
      <c r="L518" s="99"/>
      <c r="M518" s="99"/>
      <c r="N518" s="43">
        <f t="shared" si="7"/>
        <v>0</v>
      </c>
    </row>
    <row r="519" spans="2:14" ht="1.5" customHeight="1">
      <c r="B519" s="57"/>
      <c r="C519" s="60"/>
      <c r="D519" s="60"/>
      <c r="E519" s="60"/>
      <c r="F519" s="60"/>
      <c r="G519" s="60"/>
      <c r="J519" s="99"/>
      <c r="K519" s="99"/>
      <c r="L519" s="99"/>
      <c r="M519" s="99"/>
      <c r="N519" s="43">
        <f t="shared" si="7"/>
        <v>0</v>
      </c>
    </row>
    <row r="520" spans="2:14" ht="1.5" customHeight="1">
      <c r="B520" s="57"/>
      <c r="C520" s="60"/>
      <c r="D520" s="60"/>
      <c r="E520" s="60"/>
      <c r="F520" s="60"/>
      <c r="G520" s="60"/>
      <c r="J520" s="99"/>
      <c r="K520" s="99"/>
      <c r="L520" s="99"/>
      <c r="M520" s="99"/>
      <c r="N520" s="43">
        <f t="shared" si="7"/>
        <v>0</v>
      </c>
    </row>
    <row r="521" spans="2:14" ht="1.5" customHeight="1">
      <c r="B521" s="57"/>
      <c r="C521" s="60"/>
      <c r="D521" s="60"/>
      <c r="E521" s="60"/>
      <c r="F521" s="60"/>
      <c r="G521" s="60"/>
      <c r="J521" s="99"/>
      <c r="K521" s="99"/>
      <c r="L521" s="99"/>
      <c r="M521" s="99"/>
      <c r="N521" s="43">
        <f t="shared" si="7"/>
        <v>0</v>
      </c>
    </row>
    <row r="522" spans="2:14" ht="1.5" customHeight="1">
      <c r="B522" s="57"/>
      <c r="C522" s="60"/>
      <c r="D522" s="60"/>
      <c r="E522" s="60"/>
      <c r="F522" s="60"/>
      <c r="G522" s="60"/>
      <c r="J522" s="99"/>
      <c r="K522" s="99"/>
      <c r="L522" s="99"/>
      <c r="M522" s="99"/>
      <c r="N522" s="43">
        <f t="shared" si="7"/>
        <v>0</v>
      </c>
    </row>
    <row r="523" spans="2:14" ht="1.5" customHeight="1">
      <c r="B523" s="57"/>
      <c r="C523" s="60"/>
      <c r="D523" s="60"/>
      <c r="E523" s="60"/>
      <c r="F523" s="60"/>
      <c r="G523" s="60"/>
      <c r="J523" s="99"/>
      <c r="K523" s="99"/>
      <c r="L523" s="99"/>
      <c r="M523" s="99"/>
      <c r="N523" s="43">
        <f t="shared" ref="N523:N586" si="8">IF($L$4=$C$10,C523,IF(D523="","",B523))</f>
        <v>0</v>
      </c>
    </row>
    <row r="524" spans="2:14" ht="1.5" customHeight="1">
      <c r="B524" s="57"/>
      <c r="C524" s="60"/>
      <c r="D524" s="60"/>
      <c r="E524" s="60"/>
      <c r="F524" s="60"/>
      <c r="G524" s="60"/>
      <c r="J524" s="99"/>
      <c r="K524" s="99"/>
      <c r="L524" s="99"/>
      <c r="M524" s="99"/>
      <c r="N524" s="43">
        <f t="shared" si="8"/>
        <v>0</v>
      </c>
    </row>
    <row r="525" spans="2:14" ht="1.5" customHeight="1">
      <c r="B525" s="57"/>
      <c r="C525" s="60"/>
      <c r="D525" s="60"/>
      <c r="E525" s="60"/>
      <c r="F525" s="60"/>
      <c r="G525" s="60"/>
      <c r="J525" s="99"/>
      <c r="K525" s="99"/>
      <c r="L525" s="99"/>
      <c r="M525" s="99"/>
      <c r="N525" s="43">
        <f t="shared" si="8"/>
        <v>0</v>
      </c>
    </row>
    <row r="526" spans="2:14" ht="1.5" customHeight="1">
      <c r="B526" s="57"/>
      <c r="C526" s="60"/>
      <c r="D526" s="60"/>
      <c r="E526" s="60"/>
      <c r="F526" s="60"/>
      <c r="G526" s="60"/>
      <c r="J526" s="99"/>
      <c r="K526" s="99"/>
      <c r="L526" s="99"/>
      <c r="M526" s="99"/>
      <c r="N526" s="43">
        <f t="shared" si="8"/>
        <v>0</v>
      </c>
    </row>
    <row r="527" spans="2:14" ht="1.5" customHeight="1">
      <c r="B527" s="57"/>
      <c r="C527" s="60"/>
      <c r="D527" s="60"/>
      <c r="E527" s="60"/>
      <c r="F527" s="60"/>
      <c r="G527" s="60"/>
      <c r="J527" s="99"/>
      <c r="K527" s="99"/>
      <c r="L527" s="99"/>
      <c r="M527" s="99"/>
      <c r="N527" s="43">
        <f t="shared" si="8"/>
        <v>0</v>
      </c>
    </row>
    <row r="528" spans="2:14" ht="1.5" customHeight="1">
      <c r="B528" s="57"/>
      <c r="C528" s="60"/>
      <c r="D528" s="60"/>
      <c r="E528" s="60"/>
      <c r="F528" s="60"/>
      <c r="G528" s="60"/>
      <c r="J528" s="99"/>
      <c r="K528" s="99"/>
      <c r="L528" s="99"/>
      <c r="M528" s="99"/>
      <c r="N528" s="43">
        <f t="shared" si="8"/>
        <v>0</v>
      </c>
    </row>
    <row r="529" spans="2:14" ht="1.5" customHeight="1">
      <c r="B529" s="57"/>
      <c r="C529" s="60"/>
      <c r="D529" s="60"/>
      <c r="E529" s="60"/>
      <c r="F529" s="60"/>
      <c r="G529" s="60"/>
      <c r="J529" s="99"/>
      <c r="K529" s="99"/>
      <c r="L529" s="99"/>
      <c r="M529" s="99"/>
      <c r="N529" s="43">
        <f t="shared" si="8"/>
        <v>0</v>
      </c>
    </row>
    <row r="530" spans="2:14" ht="1.5" customHeight="1">
      <c r="B530" s="57"/>
      <c r="C530" s="60"/>
      <c r="D530" s="60"/>
      <c r="E530" s="60"/>
      <c r="F530" s="60"/>
      <c r="G530" s="60"/>
      <c r="J530" s="99"/>
      <c r="K530" s="99"/>
      <c r="L530" s="99"/>
      <c r="M530" s="99"/>
      <c r="N530" s="43">
        <f t="shared" si="8"/>
        <v>0</v>
      </c>
    </row>
    <row r="531" spans="2:14" ht="1.5" customHeight="1">
      <c r="B531" s="57"/>
      <c r="C531" s="60"/>
      <c r="D531" s="60"/>
      <c r="E531" s="60"/>
      <c r="F531" s="60"/>
      <c r="G531" s="60"/>
      <c r="J531" s="99"/>
      <c r="K531" s="99"/>
      <c r="L531" s="99"/>
      <c r="M531" s="99"/>
      <c r="N531" s="43">
        <f t="shared" si="8"/>
        <v>0</v>
      </c>
    </row>
    <row r="532" spans="2:14" ht="1.5" customHeight="1">
      <c r="B532" s="57"/>
      <c r="C532" s="60"/>
      <c r="D532" s="60"/>
      <c r="E532" s="60"/>
      <c r="F532" s="60"/>
      <c r="G532" s="60"/>
      <c r="J532" s="99"/>
      <c r="K532" s="99"/>
      <c r="L532" s="99"/>
      <c r="M532" s="99"/>
      <c r="N532" s="43">
        <f t="shared" si="8"/>
        <v>0</v>
      </c>
    </row>
    <row r="533" spans="2:14" ht="1.5" customHeight="1">
      <c r="B533" s="57"/>
      <c r="C533" s="60"/>
      <c r="D533" s="60"/>
      <c r="E533" s="60"/>
      <c r="F533" s="60"/>
      <c r="G533" s="60"/>
      <c r="J533" s="99"/>
      <c r="K533" s="99"/>
      <c r="L533" s="99"/>
      <c r="M533" s="99"/>
      <c r="N533" s="43">
        <f t="shared" si="8"/>
        <v>0</v>
      </c>
    </row>
    <row r="534" spans="2:14" ht="1.5" customHeight="1">
      <c r="B534" s="57"/>
      <c r="C534" s="60"/>
      <c r="D534" s="60"/>
      <c r="E534" s="60"/>
      <c r="F534" s="60"/>
      <c r="G534" s="60"/>
      <c r="J534" s="99"/>
      <c r="K534" s="99"/>
      <c r="L534" s="99"/>
      <c r="M534" s="99"/>
      <c r="N534" s="43">
        <f t="shared" si="8"/>
        <v>0</v>
      </c>
    </row>
    <row r="535" spans="2:14" ht="1.5" customHeight="1">
      <c r="B535" s="57"/>
      <c r="C535" s="60"/>
      <c r="D535" s="60"/>
      <c r="E535" s="60"/>
      <c r="F535" s="60"/>
      <c r="G535" s="60"/>
      <c r="J535" s="99"/>
      <c r="K535" s="99"/>
      <c r="L535" s="99"/>
      <c r="M535" s="99"/>
      <c r="N535" s="43">
        <f t="shared" si="8"/>
        <v>0</v>
      </c>
    </row>
    <row r="536" spans="2:14" ht="1.5" customHeight="1">
      <c r="B536" s="57"/>
      <c r="C536" s="60"/>
      <c r="D536" s="60"/>
      <c r="E536" s="60"/>
      <c r="F536" s="60"/>
      <c r="G536" s="60"/>
      <c r="J536" s="99"/>
      <c r="K536" s="99"/>
      <c r="L536" s="99"/>
      <c r="M536" s="99"/>
      <c r="N536" s="43">
        <f t="shared" si="8"/>
        <v>0</v>
      </c>
    </row>
    <row r="537" spans="2:14" ht="1.5" customHeight="1">
      <c r="B537" s="57"/>
      <c r="C537" s="60"/>
      <c r="D537" s="60"/>
      <c r="E537" s="60"/>
      <c r="F537" s="60"/>
      <c r="G537" s="60"/>
      <c r="J537" s="99"/>
      <c r="K537" s="99"/>
      <c r="L537" s="99"/>
      <c r="M537" s="99"/>
      <c r="N537" s="43">
        <f t="shared" si="8"/>
        <v>0</v>
      </c>
    </row>
    <row r="538" spans="2:14" ht="1.5" customHeight="1">
      <c r="B538" s="57"/>
      <c r="C538" s="60"/>
      <c r="D538" s="60"/>
      <c r="E538" s="60"/>
      <c r="F538" s="60"/>
      <c r="G538" s="60"/>
      <c r="J538" s="99"/>
      <c r="K538" s="99"/>
      <c r="L538" s="99"/>
      <c r="M538" s="99"/>
      <c r="N538" s="43">
        <f t="shared" si="8"/>
        <v>0</v>
      </c>
    </row>
    <row r="539" spans="2:14" ht="1.5" customHeight="1">
      <c r="B539" s="57"/>
      <c r="C539" s="60"/>
      <c r="D539" s="60"/>
      <c r="E539" s="60"/>
      <c r="F539" s="60"/>
      <c r="G539" s="60"/>
      <c r="J539" s="99"/>
      <c r="K539" s="99"/>
      <c r="L539" s="99"/>
      <c r="M539" s="99"/>
      <c r="N539" s="43">
        <f t="shared" si="8"/>
        <v>0</v>
      </c>
    </row>
    <row r="540" spans="2:14" ht="1.5" customHeight="1">
      <c r="B540" s="57"/>
      <c r="C540" s="60"/>
      <c r="D540" s="60"/>
      <c r="E540" s="60"/>
      <c r="F540" s="60"/>
      <c r="G540" s="60"/>
      <c r="J540" s="99"/>
      <c r="K540" s="99"/>
      <c r="L540" s="99"/>
      <c r="M540" s="99"/>
      <c r="N540" s="43">
        <f t="shared" si="8"/>
        <v>0</v>
      </c>
    </row>
    <row r="541" spans="2:14" ht="1.5" customHeight="1">
      <c r="B541" s="57"/>
      <c r="C541" s="60"/>
      <c r="D541" s="60"/>
      <c r="E541" s="60"/>
      <c r="F541" s="60"/>
      <c r="G541" s="60"/>
      <c r="J541" s="99"/>
      <c r="K541" s="99"/>
      <c r="L541" s="99"/>
      <c r="M541" s="99"/>
      <c r="N541" s="43">
        <f t="shared" si="8"/>
        <v>0</v>
      </c>
    </row>
    <row r="542" spans="2:14" ht="1.5" customHeight="1">
      <c r="B542" s="57"/>
      <c r="C542" s="60"/>
      <c r="D542" s="60"/>
      <c r="E542" s="60"/>
      <c r="F542" s="60"/>
      <c r="G542" s="60"/>
      <c r="J542" s="99"/>
      <c r="K542" s="99"/>
      <c r="L542" s="99"/>
      <c r="M542" s="99"/>
      <c r="N542" s="43">
        <f t="shared" si="8"/>
        <v>0</v>
      </c>
    </row>
    <row r="543" spans="2:14" ht="1.5" customHeight="1">
      <c r="B543" s="57"/>
      <c r="C543" s="60"/>
      <c r="D543" s="60"/>
      <c r="E543" s="60"/>
      <c r="F543" s="60"/>
      <c r="G543" s="60"/>
      <c r="J543" s="99"/>
      <c r="K543" s="99"/>
      <c r="L543" s="99"/>
      <c r="M543" s="99"/>
      <c r="N543" s="43">
        <f t="shared" si="8"/>
        <v>0</v>
      </c>
    </row>
    <row r="544" spans="2:14" ht="1.5" customHeight="1">
      <c r="B544" s="57"/>
      <c r="C544" s="60"/>
      <c r="D544" s="60"/>
      <c r="E544" s="60"/>
      <c r="F544" s="60"/>
      <c r="G544" s="60"/>
      <c r="J544" s="99"/>
      <c r="K544" s="99"/>
      <c r="L544" s="99"/>
      <c r="M544" s="99"/>
      <c r="N544" s="43">
        <f t="shared" si="8"/>
        <v>0</v>
      </c>
    </row>
    <row r="545" spans="2:14" ht="1.5" customHeight="1">
      <c r="B545" s="57"/>
      <c r="C545" s="60"/>
      <c r="D545" s="60"/>
      <c r="E545" s="60"/>
      <c r="F545" s="60"/>
      <c r="G545" s="60"/>
      <c r="J545" s="99"/>
      <c r="K545" s="99"/>
      <c r="L545" s="99"/>
      <c r="M545" s="99"/>
      <c r="N545" s="43">
        <f t="shared" si="8"/>
        <v>0</v>
      </c>
    </row>
    <row r="546" spans="2:14" ht="1.5" customHeight="1">
      <c r="B546" s="57"/>
      <c r="C546" s="60"/>
      <c r="D546" s="60"/>
      <c r="E546" s="60"/>
      <c r="F546" s="60"/>
      <c r="G546" s="60"/>
      <c r="J546" s="99"/>
      <c r="K546" s="99"/>
      <c r="L546" s="99"/>
      <c r="M546" s="99"/>
      <c r="N546" s="43">
        <f t="shared" si="8"/>
        <v>0</v>
      </c>
    </row>
    <row r="547" spans="2:14" ht="1.5" customHeight="1">
      <c r="B547" s="57"/>
      <c r="C547" s="60"/>
      <c r="D547" s="60"/>
      <c r="E547" s="60"/>
      <c r="F547" s="60"/>
      <c r="G547" s="60"/>
      <c r="J547" s="99"/>
      <c r="K547" s="99"/>
      <c r="L547" s="99"/>
      <c r="M547" s="99"/>
      <c r="N547" s="43">
        <f t="shared" si="8"/>
        <v>0</v>
      </c>
    </row>
    <row r="548" spans="2:14" ht="1.5" customHeight="1">
      <c r="B548" s="57"/>
      <c r="C548" s="60"/>
      <c r="D548" s="60"/>
      <c r="E548" s="60"/>
      <c r="F548" s="60"/>
      <c r="G548" s="60"/>
      <c r="J548" s="99"/>
      <c r="K548" s="99"/>
      <c r="L548" s="99"/>
      <c r="M548" s="99"/>
      <c r="N548" s="43">
        <f t="shared" si="8"/>
        <v>0</v>
      </c>
    </row>
    <row r="549" spans="2:14" ht="1.5" customHeight="1">
      <c r="B549" s="57"/>
      <c r="C549" s="60"/>
      <c r="D549" s="60"/>
      <c r="E549" s="60"/>
      <c r="F549" s="60"/>
      <c r="G549" s="60"/>
      <c r="J549" s="99"/>
      <c r="K549" s="99"/>
      <c r="L549" s="99"/>
      <c r="M549" s="99"/>
      <c r="N549" s="43">
        <f t="shared" si="8"/>
        <v>0</v>
      </c>
    </row>
    <row r="550" spans="2:14" ht="1.5" customHeight="1">
      <c r="B550" s="57"/>
      <c r="C550" s="60"/>
      <c r="D550" s="60"/>
      <c r="E550" s="60"/>
      <c r="F550" s="60"/>
      <c r="G550" s="60"/>
      <c r="J550" s="99"/>
      <c r="K550" s="99"/>
      <c r="L550" s="99"/>
      <c r="M550" s="99"/>
      <c r="N550" s="43">
        <f t="shared" si="8"/>
        <v>0</v>
      </c>
    </row>
    <row r="551" spans="2:14" ht="1.5" customHeight="1">
      <c r="B551" s="57"/>
      <c r="C551" s="60"/>
      <c r="D551" s="60"/>
      <c r="E551" s="60"/>
      <c r="F551" s="60"/>
      <c r="G551" s="60"/>
      <c r="J551" s="99"/>
      <c r="K551" s="99"/>
      <c r="L551" s="99"/>
      <c r="M551" s="99"/>
      <c r="N551" s="43">
        <f t="shared" si="8"/>
        <v>0</v>
      </c>
    </row>
    <row r="552" spans="2:14" ht="1.5" customHeight="1">
      <c r="B552" s="57"/>
      <c r="C552" s="60"/>
      <c r="D552" s="60"/>
      <c r="E552" s="60"/>
      <c r="F552" s="60"/>
      <c r="G552" s="60"/>
      <c r="J552" s="99"/>
      <c r="K552" s="99"/>
      <c r="L552" s="99"/>
      <c r="M552" s="99"/>
      <c r="N552" s="43">
        <f t="shared" si="8"/>
        <v>0</v>
      </c>
    </row>
    <row r="553" spans="2:14" ht="1.5" customHeight="1">
      <c r="B553" s="57"/>
      <c r="C553" s="60"/>
      <c r="D553" s="60"/>
      <c r="E553" s="60"/>
      <c r="F553" s="60"/>
      <c r="G553" s="60"/>
      <c r="J553" s="99"/>
      <c r="K553" s="99"/>
      <c r="L553" s="99"/>
      <c r="M553" s="99"/>
      <c r="N553" s="43">
        <f t="shared" si="8"/>
        <v>0</v>
      </c>
    </row>
    <row r="554" spans="2:14" ht="1.5" customHeight="1">
      <c r="B554" s="57"/>
      <c r="C554" s="60"/>
      <c r="D554" s="60"/>
      <c r="E554" s="60"/>
      <c r="F554" s="60"/>
      <c r="G554" s="60"/>
      <c r="J554" s="99"/>
      <c r="K554" s="99"/>
      <c r="L554" s="99"/>
      <c r="M554" s="99"/>
      <c r="N554" s="43">
        <f t="shared" si="8"/>
        <v>0</v>
      </c>
    </row>
    <row r="555" spans="2:14" ht="1.5" customHeight="1">
      <c r="B555" s="57"/>
      <c r="C555" s="60"/>
      <c r="D555" s="60"/>
      <c r="E555" s="60"/>
      <c r="F555" s="60"/>
      <c r="G555" s="60"/>
      <c r="J555" s="99"/>
      <c r="K555" s="99"/>
      <c r="L555" s="99"/>
      <c r="M555" s="99"/>
      <c r="N555" s="43">
        <f t="shared" si="8"/>
        <v>0</v>
      </c>
    </row>
    <row r="556" spans="2:14" ht="1.5" customHeight="1">
      <c r="B556" s="57"/>
      <c r="C556" s="60"/>
      <c r="D556" s="60"/>
      <c r="E556" s="60"/>
      <c r="F556" s="60"/>
      <c r="G556" s="60"/>
      <c r="J556" s="99"/>
      <c r="K556" s="99"/>
      <c r="L556" s="99"/>
      <c r="M556" s="99"/>
      <c r="N556" s="43">
        <f t="shared" si="8"/>
        <v>0</v>
      </c>
    </row>
    <row r="557" spans="2:14" ht="1.5" customHeight="1">
      <c r="B557" s="57"/>
      <c r="C557" s="60"/>
      <c r="D557" s="60"/>
      <c r="E557" s="60"/>
      <c r="F557" s="60"/>
      <c r="G557" s="60"/>
      <c r="J557" s="99"/>
      <c r="K557" s="99"/>
      <c r="L557" s="99"/>
      <c r="M557" s="99"/>
      <c r="N557" s="43">
        <f t="shared" si="8"/>
        <v>0</v>
      </c>
    </row>
    <row r="558" spans="2:14" ht="1.5" customHeight="1">
      <c r="B558" s="57"/>
      <c r="C558" s="60"/>
      <c r="D558" s="60"/>
      <c r="E558" s="60"/>
      <c r="F558" s="60"/>
      <c r="G558" s="60"/>
      <c r="J558" s="99"/>
      <c r="K558" s="99"/>
      <c r="L558" s="99"/>
      <c r="M558" s="99"/>
      <c r="N558" s="43">
        <f t="shared" si="8"/>
        <v>0</v>
      </c>
    </row>
    <row r="559" spans="2:14" ht="1.5" customHeight="1">
      <c r="B559" s="57"/>
      <c r="C559" s="60"/>
      <c r="D559" s="60"/>
      <c r="E559" s="60"/>
      <c r="F559" s="60"/>
      <c r="G559" s="60"/>
      <c r="J559" s="99"/>
      <c r="K559" s="99"/>
      <c r="L559" s="99"/>
      <c r="M559" s="99"/>
      <c r="N559" s="43">
        <f t="shared" si="8"/>
        <v>0</v>
      </c>
    </row>
    <row r="560" spans="2:14" ht="1.5" customHeight="1">
      <c r="B560" s="57"/>
      <c r="C560" s="60"/>
      <c r="D560" s="60"/>
      <c r="E560" s="60"/>
      <c r="F560" s="60"/>
      <c r="G560" s="60"/>
      <c r="J560" s="99"/>
      <c r="K560" s="99"/>
      <c r="L560" s="99"/>
      <c r="M560" s="99"/>
      <c r="N560" s="43">
        <f t="shared" si="8"/>
        <v>0</v>
      </c>
    </row>
    <row r="561" spans="2:14" ht="1.5" customHeight="1">
      <c r="B561" s="57"/>
      <c r="C561" s="60"/>
      <c r="D561" s="60"/>
      <c r="E561" s="60"/>
      <c r="F561" s="60"/>
      <c r="G561" s="60"/>
      <c r="J561" s="99"/>
      <c r="K561" s="99"/>
      <c r="L561" s="99"/>
      <c r="M561" s="99"/>
      <c r="N561" s="43">
        <f t="shared" si="8"/>
        <v>0</v>
      </c>
    </row>
    <row r="562" spans="2:14" ht="1.5" customHeight="1">
      <c r="B562" s="57"/>
      <c r="C562" s="60"/>
      <c r="D562" s="60"/>
      <c r="E562" s="60"/>
      <c r="F562" s="60"/>
      <c r="G562" s="60"/>
      <c r="J562" s="99"/>
      <c r="K562" s="99"/>
      <c r="L562" s="99"/>
      <c r="M562" s="99"/>
      <c r="N562" s="43">
        <f t="shared" si="8"/>
        <v>0</v>
      </c>
    </row>
    <row r="563" spans="2:14" ht="1.5" customHeight="1">
      <c r="B563" s="57"/>
      <c r="C563" s="60"/>
      <c r="D563" s="60"/>
      <c r="E563" s="60"/>
      <c r="F563" s="60"/>
      <c r="G563" s="60"/>
      <c r="J563" s="99"/>
      <c r="K563" s="99"/>
      <c r="L563" s="99"/>
      <c r="M563" s="99"/>
      <c r="N563" s="43">
        <f t="shared" si="8"/>
        <v>0</v>
      </c>
    </row>
    <row r="564" spans="2:14" ht="1.5" customHeight="1">
      <c r="B564" s="57"/>
      <c r="C564" s="60"/>
      <c r="D564" s="60"/>
      <c r="E564" s="60"/>
      <c r="F564" s="60"/>
      <c r="G564" s="60"/>
      <c r="J564" s="99"/>
      <c r="K564" s="99"/>
      <c r="L564" s="99"/>
      <c r="M564" s="99"/>
      <c r="N564" s="43">
        <f t="shared" si="8"/>
        <v>0</v>
      </c>
    </row>
    <row r="565" spans="2:14" ht="1.5" customHeight="1">
      <c r="B565" s="57"/>
      <c r="C565" s="60"/>
      <c r="D565" s="60"/>
      <c r="E565" s="60"/>
      <c r="F565" s="60"/>
      <c r="G565" s="60"/>
      <c r="J565" s="99"/>
      <c r="K565" s="99"/>
      <c r="L565" s="99"/>
      <c r="M565" s="99"/>
      <c r="N565" s="43">
        <f t="shared" si="8"/>
        <v>0</v>
      </c>
    </row>
    <row r="566" spans="2:14" ht="1.5" customHeight="1">
      <c r="B566" s="57"/>
      <c r="C566" s="60"/>
      <c r="D566" s="60"/>
      <c r="E566" s="60"/>
      <c r="F566" s="60"/>
      <c r="G566" s="60"/>
      <c r="J566" s="99"/>
      <c r="K566" s="99"/>
      <c r="L566" s="99"/>
      <c r="M566" s="99"/>
      <c r="N566" s="43">
        <f t="shared" si="8"/>
        <v>0</v>
      </c>
    </row>
    <row r="567" spans="2:14" ht="1.5" customHeight="1">
      <c r="B567" s="57"/>
      <c r="C567" s="60"/>
      <c r="D567" s="60"/>
      <c r="E567" s="60"/>
      <c r="F567" s="60"/>
      <c r="G567" s="60"/>
      <c r="J567" s="99"/>
      <c r="K567" s="99"/>
      <c r="L567" s="99"/>
      <c r="M567" s="99"/>
      <c r="N567" s="43">
        <f t="shared" si="8"/>
        <v>0</v>
      </c>
    </row>
    <row r="568" spans="2:14" ht="1.5" customHeight="1">
      <c r="B568" s="57"/>
      <c r="C568" s="60"/>
      <c r="D568" s="60"/>
      <c r="E568" s="60"/>
      <c r="F568" s="60"/>
      <c r="G568" s="60"/>
      <c r="J568" s="99"/>
      <c r="K568" s="99"/>
      <c r="L568" s="99"/>
      <c r="M568" s="99"/>
      <c r="N568" s="43">
        <f t="shared" si="8"/>
        <v>0</v>
      </c>
    </row>
    <row r="569" spans="2:14" ht="1.5" customHeight="1">
      <c r="B569" s="57"/>
      <c r="C569" s="60"/>
      <c r="D569" s="60"/>
      <c r="E569" s="60"/>
      <c r="F569" s="60"/>
      <c r="G569" s="60"/>
      <c r="J569" s="99"/>
      <c r="K569" s="99"/>
      <c r="L569" s="99"/>
      <c r="M569" s="99"/>
      <c r="N569" s="43">
        <f t="shared" si="8"/>
        <v>0</v>
      </c>
    </row>
    <row r="570" spans="2:14" ht="1.5" customHeight="1">
      <c r="B570" s="57"/>
      <c r="C570" s="60"/>
      <c r="D570" s="60"/>
      <c r="E570" s="60"/>
      <c r="F570" s="60"/>
      <c r="G570" s="60"/>
      <c r="J570" s="99"/>
      <c r="K570" s="99"/>
      <c r="L570" s="99"/>
      <c r="M570" s="99"/>
      <c r="N570" s="43">
        <f t="shared" si="8"/>
        <v>0</v>
      </c>
    </row>
    <row r="571" spans="2:14" ht="1.5" customHeight="1">
      <c r="B571" s="57"/>
      <c r="C571" s="60"/>
      <c r="D571" s="60"/>
      <c r="E571" s="60"/>
      <c r="F571" s="60"/>
      <c r="G571" s="60"/>
      <c r="J571" s="99"/>
      <c r="K571" s="99"/>
      <c r="L571" s="99"/>
      <c r="M571" s="99"/>
      <c r="N571" s="43">
        <f t="shared" si="8"/>
        <v>0</v>
      </c>
    </row>
    <row r="572" spans="2:14" ht="1.5" customHeight="1">
      <c r="B572" s="57"/>
      <c r="C572" s="60"/>
      <c r="D572" s="60"/>
      <c r="E572" s="60"/>
      <c r="F572" s="60"/>
      <c r="G572" s="60"/>
      <c r="J572" s="99"/>
      <c r="K572" s="99"/>
      <c r="L572" s="99"/>
      <c r="M572" s="99"/>
      <c r="N572" s="43">
        <f t="shared" si="8"/>
        <v>0</v>
      </c>
    </row>
    <row r="573" spans="2:14" ht="1.5" customHeight="1">
      <c r="B573" s="57"/>
      <c r="C573" s="60"/>
      <c r="D573" s="60"/>
      <c r="E573" s="60"/>
      <c r="F573" s="60"/>
      <c r="G573" s="60"/>
      <c r="J573" s="99"/>
      <c r="K573" s="99"/>
      <c r="L573" s="99"/>
      <c r="M573" s="99"/>
      <c r="N573" s="43">
        <f t="shared" si="8"/>
        <v>0</v>
      </c>
    </row>
    <row r="574" spans="2:14" ht="1.5" customHeight="1">
      <c r="B574" s="57"/>
      <c r="C574" s="60"/>
      <c r="D574" s="60"/>
      <c r="E574" s="60"/>
      <c r="F574" s="60"/>
      <c r="G574" s="60"/>
      <c r="J574" s="99"/>
      <c r="K574" s="99"/>
      <c r="L574" s="99"/>
      <c r="M574" s="99"/>
      <c r="N574" s="43">
        <f t="shared" si="8"/>
        <v>0</v>
      </c>
    </row>
    <row r="575" spans="2:14" ht="1.5" customHeight="1">
      <c r="B575" s="57"/>
      <c r="C575" s="60"/>
      <c r="D575" s="60"/>
      <c r="E575" s="60"/>
      <c r="F575" s="60"/>
      <c r="G575" s="60"/>
      <c r="J575" s="99"/>
      <c r="K575" s="99"/>
      <c r="L575" s="99"/>
      <c r="M575" s="99"/>
      <c r="N575" s="43">
        <f t="shared" si="8"/>
        <v>0</v>
      </c>
    </row>
    <row r="576" spans="2:14" ht="1.5" customHeight="1">
      <c r="B576" s="57"/>
      <c r="C576" s="60"/>
      <c r="D576" s="60"/>
      <c r="E576" s="60"/>
      <c r="F576" s="60"/>
      <c r="G576" s="60"/>
      <c r="J576" s="99"/>
      <c r="K576" s="99"/>
      <c r="L576" s="99"/>
      <c r="M576" s="99"/>
      <c r="N576" s="43">
        <f t="shared" si="8"/>
        <v>0</v>
      </c>
    </row>
    <row r="577" spans="2:14" ht="1.5" customHeight="1">
      <c r="B577" s="57"/>
      <c r="C577" s="60"/>
      <c r="D577" s="60"/>
      <c r="E577" s="60"/>
      <c r="F577" s="60"/>
      <c r="G577" s="60"/>
      <c r="J577" s="99"/>
      <c r="K577" s="99"/>
      <c r="L577" s="99"/>
      <c r="M577" s="99"/>
      <c r="N577" s="43">
        <f t="shared" si="8"/>
        <v>0</v>
      </c>
    </row>
    <row r="578" spans="2:14" ht="1.5" customHeight="1">
      <c r="B578" s="57"/>
      <c r="C578" s="60"/>
      <c r="D578" s="60"/>
      <c r="E578" s="60"/>
      <c r="F578" s="60"/>
      <c r="G578" s="60"/>
      <c r="J578" s="99"/>
      <c r="K578" s="99"/>
      <c r="L578" s="99"/>
      <c r="M578" s="99"/>
      <c r="N578" s="43">
        <f t="shared" si="8"/>
        <v>0</v>
      </c>
    </row>
    <row r="579" spans="2:14" ht="1.5" customHeight="1">
      <c r="B579" s="57"/>
      <c r="C579" s="60"/>
      <c r="D579" s="60"/>
      <c r="E579" s="60"/>
      <c r="F579" s="60"/>
      <c r="G579" s="60"/>
      <c r="J579" s="99"/>
      <c r="K579" s="99"/>
      <c r="L579" s="99"/>
      <c r="M579" s="99"/>
      <c r="N579" s="43">
        <f t="shared" si="8"/>
        <v>0</v>
      </c>
    </row>
    <row r="580" spans="2:14" ht="1.5" customHeight="1">
      <c r="B580" s="57"/>
      <c r="C580" s="60"/>
      <c r="D580" s="60"/>
      <c r="E580" s="60"/>
      <c r="F580" s="60"/>
      <c r="G580" s="60"/>
      <c r="J580" s="99"/>
      <c r="K580" s="99"/>
      <c r="L580" s="99"/>
      <c r="M580" s="99"/>
      <c r="N580" s="43">
        <f t="shared" si="8"/>
        <v>0</v>
      </c>
    </row>
    <row r="581" spans="2:14" ht="1.5" customHeight="1">
      <c r="B581" s="57"/>
      <c r="C581" s="60"/>
      <c r="D581" s="60"/>
      <c r="E581" s="60"/>
      <c r="F581" s="60"/>
      <c r="G581" s="60"/>
      <c r="J581" s="99"/>
      <c r="K581" s="99"/>
      <c r="L581" s="99"/>
      <c r="M581" s="99"/>
      <c r="N581" s="43">
        <f t="shared" si="8"/>
        <v>0</v>
      </c>
    </row>
    <row r="582" spans="2:14" ht="1.5" customHeight="1">
      <c r="B582" s="57"/>
      <c r="C582" s="60"/>
      <c r="D582" s="60"/>
      <c r="E582" s="60"/>
      <c r="F582" s="60"/>
      <c r="G582" s="60"/>
      <c r="J582" s="99"/>
      <c r="K582" s="99"/>
      <c r="L582" s="99"/>
      <c r="M582" s="99"/>
      <c r="N582" s="43">
        <f t="shared" si="8"/>
        <v>0</v>
      </c>
    </row>
    <row r="583" spans="2:14" ht="1.5" customHeight="1">
      <c r="B583" s="57"/>
      <c r="C583" s="60"/>
      <c r="D583" s="60"/>
      <c r="E583" s="60"/>
      <c r="F583" s="60"/>
      <c r="G583" s="60"/>
      <c r="J583" s="99"/>
      <c r="K583" s="99"/>
      <c r="L583" s="99"/>
      <c r="M583" s="99"/>
      <c r="N583" s="43">
        <f t="shared" si="8"/>
        <v>0</v>
      </c>
    </row>
    <row r="584" spans="2:14" ht="1.5" customHeight="1">
      <c r="B584" s="57"/>
      <c r="C584" s="60"/>
      <c r="D584" s="60"/>
      <c r="E584" s="60"/>
      <c r="F584" s="60"/>
      <c r="G584" s="60"/>
      <c r="J584" s="99"/>
      <c r="K584" s="99"/>
      <c r="L584" s="99"/>
      <c r="M584" s="99"/>
      <c r="N584" s="43">
        <f t="shared" si="8"/>
        <v>0</v>
      </c>
    </row>
    <row r="585" spans="2:14" ht="1.5" customHeight="1">
      <c r="B585" s="57"/>
      <c r="C585" s="60"/>
      <c r="D585" s="60"/>
      <c r="E585" s="60"/>
      <c r="F585" s="60"/>
      <c r="G585" s="60"/>
      <c r="J585" s="99"/>
      <c r="K585" s="99"/>
      <c r="L585" s="99"/>
      <c r="M585" s="99"/>
      <c r="N585" s="43">
        <f t="shared" si="8"/>
        <v>0</v>
      </c>
    </row>
    <row r="586" spans="2:14" ht="1.5" customHeight="1">
      <c r="B586" s="57"/>
      <c r="C586" s="60"/>
      <c r="D586" s="60"/>
      <c r="E586" s="60"/>
      <c r="F586" s="60"/>
      <c r="G586" s="60"/>
      <c r="J586" s="99"/>
      <c r="K586" s="99"/>
      <c r="L586" s="99"/>
      <c r="M586" s="99"/>
      <c r="N586" s="43">
        <f t="shared" si="8"/>
        <v>0</v>
      </c>
    </row>
    <row r="587" spans="2:14" ht="1.5" customHeight="1">
      <c r="B587" s="57"/>
      <c r="C587" s="60"/>
      <c r="D587" s="60"/>
      <c r="E587" s="60"/>
      <c r="F587" s="60"/>
      <c r="G587" s="60"/>
      <c r="J587" s="99"/>
      <c r="K587" s="99"/>
      <c r="L587" s="99"/>
      <c r="M587" s="99"/>
      <c r="N587" s="43">
        <f t="shared" ref="N587:N650" si="9">IF($L$4=$C$10,C587,IF(D587="","",B587))</f>
        <v>0</v>
      </c>
    </row>
    <row r="588" spans="2:14" ht="1.5" customHeight="1">
      <c r="B588" s="57"/>
      <c r="C588" s="60"/>
      <c r="D588" s="60"/>
      <c r="E588" s="60"/>
      <c r="F588" s="60"/>
      <c r="G588" s="60"/>
      <c r="J588" s="99"/>
      <c r="K588" s="99"/>
      <c r="L588" s="99"/>
      <c r="M588" s="99"/>
      <c r="N588" s="43">
        <f t="shared" si="9"/>
        <v>0</v>
      </c>
    </row>
    <row r="589" spans="2:14" ht="1.5" customHeight="1">
      <c r="B589" s="57"/>
      <c r="C589" s="60"/>
      <c r="D589" s="60"/>
      <c r="E589" s="60"/>
      <c r="F589" s="60"/>
      <c r="G589" s="60"/>
      <c r="J589" s="99"/>
      <c r="K589" s="99"/>
      <c r="L589" s="99"/>
      <c r="M589" s="99"/>
      <c r="N589" s="43">
        <f t="shared" si="9"/>
        <v>0</v>
      </c>
    </row>
    <row r="590" spans="2:14" ht="1.5" customHeight="1">
      <c r="B590" s="57"/>
      <c r="C590" s="60"/>
      <c r="D590" s="60"/>
      <c r="E590" s="60"/>
      <c r="F590" s="60"/>
      <c r="G590" s="60"/>
      <c r="J590" s="99"/>
      <c r="K590" s="99"/>
      <c r="L590" s="99"/>
      <c r="M590" s="99"/>
      <c r="N590" s="43">
        <f t="shared" si="9"/>
        <v>0</v>
      </c>
    </row>
    <row r="591" spans="2:14" ht="1.5" customHeight="1">
      <c r="B591" s="57"/>
      <c r="C591" s="60"/>
      <c r="D591" s="60"/>
      <c r="E591" s="60"/>
      <c r="F591" s="60"/>
      <c r="G591" s="60"/>
      <c r="J591" s="99"/>
      <c r="K591" s="99"/>
      <c r="L591" s="99"/>
      <c r="M591" s="99"/>
      <c r="N591" s="43">
        <f t="shared" si="9"/>
        <v>0</v>
      </c>
    </row>
    <row r="592" spans="2:14" ht="1.5" customHeight="1">
      <c r="B592" s="57"/>
      <c r="C592" s="60"/>
      <c r="D592" s="60"/>
      <c r="E592" s="60"/>
      <c r="F592" s="60"/>
      <c r="G592" s="60"/>
      <c r="J592" s="99"/>
      <c r="K592" s="99"/>
      <c r="L592" s="99"/>
      <c r="M592" s="99"/>
      <c r="N592" s="43">
        <f t="shared" si="9"/>
        <v>0</v>
      </c>
    </row>
    <row r="593" spans="2:14" ht="1.5" customHeight="1">
      <c r="B593" s="57"/>
      <c r="C593" s="60"/>
      <c r="D593" s="60"/>
      <c r="E593" s="60"/>
      <c r="F593" s="60"/>
      <c r="G593" s="60"/>
      <c r="J593" s="99"/>
      <c r="K593" s="99"/>
      <c r="L593" s="99"/>
      <c r="M593" s="99"/>
      <c r="N593" s="43">
        <f t="shared" si="9"/>
        <v>0</v>
      </c>
    </row>
    <row r="594" spans="2:14" ht="1.5" customHeight="1">
      <c r="B594" s="57"/>
      <c r="C594" s="60"/>
      <c r="D594" s="60"/>
      <c r="E594" s="60"/>
      <c r="F594" s="60"/>
      <c r="G594" s="60"/>
      <c r="J594" s="99"/>
      <c r="K594" s="99"/>
      <c r="L594" s="99"/>
      <c r="M594" s="99"/>
      <c r="N594" s="43">
        <f t="shared" si="9"/>
        <v>0</v>
      </c>
    </row>
    <row r="595" spans="2:14" ht="1.5" customHeight="1">
      <c r="B595" s="57"/>
      <c r="C595" s="60"/>
      <c r="D595" s="60"/>
      <c r="E595" s="60"/>
      <c r="F595" s="60"/>
      <c r="G595" s="60"/>
      <c r="J595" s="99"/>
      <c r="K595" s="99"/>
      <c r="L595" s="99"/>
      <c r="M595" s="99"/>
      <c r="N595" s="43">
        <f t="shared" si="9"/>
        <v>0</v>
      </c>
    </row>
    <row r="596" spans="2:14" ht="1.5" customHeight="1">
      <c r="B596" s="57"/>
      <c r="C596" s="60"/>
      <c r="D596" s="60"/>
      <c r="E596" s="60"/>
      <c r="F596" s="60"/>
      <c r="G596" s="60"/>
      <c r="J596" s="99"/>
      <c r="K596" s="99"/>
      <c r="L596" s="99"/>
      <c r="M596" s="99"/>
      <c r="N596" s="43">
        <f t="shared" si="9"/>
        <v>0</v>
      </c>
    </row>
    <row r="597" spans="2:14" ht="1.5" customHeight="1">
      <c r="B597" s="57"/>
      <c r="C597" s="60"/>
      <c r="D597" s="60"/>
      <c r="E597" s="60"/>
      <c r="F597" s="60"/>
      <c r="G597" s="60"/>
      <c r="J597" s="99"/>
      <c r="K597" s="99"/>
      <c r="L597" s="99"/>
      <c r="M597" s="99"/>
      <c r="N597" s="43">
        <f t="shared" si="9"/>
        <v>0</v>
      </c>
    </row>
    <row r="598" spans="2:14" ht="1.5" customHeight="1">
      <c r="B598" s="57"/>
      <c r="C598" s="60"/>
      <c r="D598" s="60"/>
      <c r="E598" s="60"/>
      <c r="F598" s="60"/>
      <c r="G598" s="60"/>
      <c r="J598" s="99"/>
      <c r="K598" s="99"/>
      <c r="L598" s="99"/>
      <c r="M598" s="99"/>
      <c r="N598" s="43">
        <f t="shared" si="9"/>
        <v>0</v>
      </c>
    </row>
    <row r="599" spans="2:14" ht="1.5" customHeight="1">
      <c r="B599" s="57"/>
      <c r="C599" s="60"/>
      <c r="D599" s="60"/>
      <c r="E599" s="60"/>
      <c r="F599" s="60"/>
      <c r="G599" s="60"/>
      <c r="J599" s="99"/>
      <c r="K599" s="99"/>
      <c r="L599" s="99"/>
      <c r="M599" s="99"/>
      <c r="N599" s="43">
        <f t="shared" si="9"/>
        <v>0</v>
      </c>
    </row>
    <row r="600" spans="2:14" ht="1.5" customHeight="1">
      <c r="B600" s="57"/>
      <c r="C600" s="60"/>
      <c r="D600" s="60"/>
      <c r="E600" s="60"/>
      <c r="F600" s="60"/>
      <c r="G600" s="60"/>
      <c r="J600" s="99"/>
      <c r="K600" s="99"/>
      <c r="L600" s="99"/>
      <c r="M600" s="99"/>
      <c r="N600" s="43">
        <f t="shared" si="9"/>
        <v>0</v>
      </c>
    </row>
    <row r="601" spans="2:14" ht="1.5" customHeight="1">
      <c r="B601" s="57"/>
      <c r="C601" s="60"/>
      <c r="D601" s="60"/>
      <c r="E601" s="60"/>
      <c r="F601" s="60"/>
      <c r="G601" s="60"/>
      <c r="J601" s="99"/>
      <c r="K601" s="99"/>
      <c r="L601" s="99"/>
      <c r="M601" s="99"/>
      <c r="N601" s="43">
        <f t="shared" si="9"/>
        <v>0</v>
      </c>
    </row>
    <row r="602" spans="2:14" ht="1.5" customHeight="1">
      <c r="B602" s="57"/>
      <c r="C602" s="60"/>
      <c r="D602" s="60"/>
      <c r="E602" s="60"/>
      <c r="F602" s="60"/>
      <c r="G602" s="60"/>
      <c r="J602" s="99"/>
      <c r="K602" s="99"/>
      <c r="L602" s="99"/>
      <c r="M602" s="99"/>
      <c r="N602" s="43">
        <f t="shared" si="9"/>
        <v>0</v>
      </c>
    </row>
    <row r="603" spans="2:14" ht="1.5" customHeight="1">
      <c r="B603" s="57"/>
      <c r="C603" s="60"/>
      <c r="D603" s="60"/>
      <c r="E603" s="60"/>
      <c r="F603" s="60"/>
      <c r="G603" s="60"/>
      <c r="J603" s="99"/>
      <c r="K603" s="99"/>
      <c r="L603" s="99"/>
      <c r="M603" s="99"/>
      <c r="N603" s="43">
        <f t="shared" si="9"/>
        <v>0</v>
      </c>
    </row>
    <row r="604" spans="2:14" ht="1.5" customHeight="1">
      <c r="B604" s="57"/>
      <c r="C604" s="60"/>
      <c r="D604" s="60"/>
      <c r="E604" s="60"/>
      <c r="F604" s="60"/>
      <c r="G604" s="60"/>
      <c r="J604" s="99"/>
      <c r="K604" s="99"/>
      <c r="L604" s="99"/>
      <c r="M604" s="99"/>
      <c r="N604" s="43">
        <f t="shared" si="9"/>
        <v>0</v>
      </c>
    </row>
    <row r="605" spans="2:14" ht="1.5" customHeight="1">
      <c r="B605" s="57"/>
      <c r="C605" s="60"/>
      <c r="D605" s="60"/>
      <c r="E605" s="60"/>
      <c r="F605" s="60"/>
      <c r="G605" s="60"/>
      <c r="J605" s="99"/>
      <c r="K605" s="99"/>
      <c r="L605" s="99"/>
      <c r="M605" s="99"/>
      <c r="N605" s="43">
        <f t="shared" si="9"/>
        <v>0</v>
      </c>
    </row>
    <row r="606" spans="2:14" ht="1.5" customHeight="1">
      <c r="B606" s="57"/>
      <c r="C606" s="60"/>
      <c r="D606" s="60"/>
      <c r="E606" s="60"/>
      <c r="F606" s="60"/>
      <c r="G606" s="60"/>
      <c r="J606" s="99"/>
      <c r="K606" s="99"/>
      <c r="L606" s="99"/>
      <c r="M606" s="99"/>
      <c r="N606" s="43">
        <f t="shared" si="9"/>
        <v>0</v>
      </c>
    </row>
    <row r="607" spans="2:14" ht="1.5" customHeight="1">
      <c r="B607" s="57"/>
      <c r="C607" s="60"/>
      <c r="D607" s="60"/>
      <c r="E607" s="60"/>
      <c r="F607" s="60"/>
      <c r="G607" s="60"/>
      <c r="J607" s="99"/>
      <c r="K607" s="99"/>
      <c r="L607" s="99"/>
      <c r="M607" s="99"/>
      <c r="N607" s="43">
        <f t="shared" si="9"/>
        <v>0</v>
      </c>
    </row>
    <row r="608" spans="2:14" ht="1.5" customHeight="1">
      <c r="B608" s="57"/>
      <c r="C608" s="60"/>
      <c r="D608" s="60"/>
      <c r="E608" s="60"/>
      <c r="F608" s="60"/>
      <c r="G608" s="60"/>
      <c r="J608" s="99"/>
      <c r="K608" s="99"/>
      <c r="L608" s="99"/>
      <c r="M608" s="99"/>
      <c r="N608" s="43">
        <f t="shared" si="9"/>
        <v>0</v>
      </c>
    </row>
    <row r="609" spans="2:14" ht="1.5" customHeight="1">
      <c r="B609" s="57"/>
      <c r="C609" s="60"/>
      <c r="D609" s="60"/>
      <c r="E609" s="60"/>
      <c r="F609" s="60"/>
      <c r="G609" s="60"/>
      <c r="J609" s="99"/>
      <c r="K609" s="99"/>
      <c r="L609" s="99"/>
      <c r="M609" s="99"/>
      <c r="N609" s="43">
        <f t="shared" si="9"/>
        <v>0</v>
      </c>
    </row>
    <row r="610" spans="2:14" ht="1.5" customHeight="1">
      <c r="B610" s="57"/>
      <c r="C610" s="60"/>
      <c r="D610" s="60"/>
      <c r="E610" s="60"/>
      <c r="F610" s="60"/>
      <c r="G610" s="60"/>
      <c r="J610" s="99"/>
      <c r="K610" s="99"/>
      <c r="L610" s="99"/>
      <c r="M610" s="99"/>
      <c r="N610" s="43">
        <f t="shared" si="9"/>
        <v>0</v>
      </c>
    </row>
    <row r="611" spans="2:14" ht="1.5" customHeight="1">
      <c r="B611" s="57"/>
      <c r="C611" s="60"/>
      <c r="D611" s="60"/>
      <c r="E611" s="60"/>
      <c r="F611" s="60"/>
      <c r="G611" s="60"/>
      <c r="J611" s="99"/>
      <c r="K611" s="99"/>
      <c r="L611" s="99"/>
      <c r="M611" s="99"/>
      <c r="N611" s="43">
        <f t="shared" si="9"/>
        <v>0</v>
      </c>
    </row>
    <row r="612" spans="2:14" ht="1.5" customHeight="1">
      <c r="B612" s="57"/>
      <c r="C612" s="60"/>
      <c r="D612" s="60"/>
      <c r="E612" s="60"/>
      <c r="F612" s="60"/>
      <c r="G612" s="60"/>
      <c r="J612" s="99"/>
      <c r="K612" s="99"/>
      <c r="L612" s="99"/>
      <c r="M612" s="99"/>
      <c r="N612" s="43">
        <f t="shared" si="9"/>
        <v>0</v>
      </c>
    </row>
    <row r="613" spans="2:14" ht="1.5" customHeight="1">
      <c r="B613" s="57"/>
      <c r="C613" s="60"/>
      <c r="D613" s="60"/>
      <c r="E613" s="60"/>
      <c r="F613" s="60"/>
      <c r="G613" s="60"/>
      <c r="J613" s="99"/>
      <c r="K613" s="99"/>
      <c r="L613" s="99"/>
      <c r="M613" s="99"/>
      <c r="N613" s="43">
        <f t="shared" si="9"/>
        <v>0</v>
      </c>
    </row>
    <row r="614" spans="2:14" ht="1.5" customHeight="1">
      <c r="B614" s="57"/>
      <c r="C614" s="60"/>
      <c r="D614" s="60"/>
      <c r="E614" s="60"/>
      <c r="F614" s="60"/>
      <c r="G614" s="60"/>
      <c r="J614" s="99"/>
      <c r="K614" s="99"/>
      <c r="L614" s="99"/>
      <c r="M614" s="99"/>
      <c r="N614" s="43">
        <f t="shared" si="9"/>
        <v>0</v>
      </c>
    </row>
    <row r="615" spans="2:14" ht="1.5" customHeight="1">
      <c r="B615" s="57"/>
      <c r="C615" s="60"/>
      <c r="D615" s="60"/>
      <c r="E615" s="60"/>
      <c r="F615" s="60"/>
      <c r="G615" s="60"/>
      <c r="J615" s="99"/>
      <c r="K615" s="99"/>
      <c r="L615" s="99"/>
      <c r="M615" s="99"/>
      <c r="N615" s="43">
        <f t="shared" si="9"/>
        <v>0</v>
      </c>
    </row>
    <row r="616" spans="2:14" ht="1.5" customHeight="1">
      <c r="B616" s="57"/>
      <c r="C616" s="60"/>
      <c r="D616" s="60"/>
      <c r="E616" s="60"/>
      <c r="F616" s="60"/>
      <c r="G616" s="60"/>
      <c r="J616" s="99"/>
      <c r="K616" s="99"/>
      <c r="L616" s="99"/>
      <c r="M616" s="99"/>
      <c r="N616" s="43">
        <f t="shared" si="9"/>
        <v>0</v>
      </c>
    </row>
    <row r="617" spans="2:14" ht="1.5" customHeight="1">
      <c r="B617" s="57"/>
      <c r="C617" s="60"/>
      <c r="D617" s="60"/>
      <c r="E617" s="60"/>
      <c r="F617" s="60"/>
      <c r="G617" s="60"/>
      <c r="J617" s="99"/>
      <c r="K617" s="99"/>
      <c r="L617" s="99"/>
      <c r="M617" s="99"/>
      <c r="N617" s="43">
        <f t="shared" si="9"/>
        <v>0</v>
      </c>
    </row>
    <row r="618" spans="2:14" ht="1.5" customHeight="1">
      <c r="B618" s="57"/>
      <c r="C618" s="60"/>
      <c r="D618" s="60"/>
      <c r="E618" s="60"/>
      <c r="F618" s="60"/>
      <c r="G618" s="60"/>
      <c r="J618" s="99"/>
      <c r="K618" s="99"/>
      <c r="L618" s="99"/>
      <c r="M618" s="99"/>
      <c r="N618" s="43">
        <f t="shared" si="9"/>
        <v>0</v>
      </c>
    </row>
    <row r="619" spans="2:14" ht="1.5" customHeight="1">
      <c r="B619" s="57"/>
      <c r="C619" s="60"/>
      <c r="D619" s="60"/>
      <c r="E619" s="60"/>
      <c r="F619" s="60"/>
      <c r="G619" s="60"/>
      <c r="J619" s="99"/>
      <c r="K619" s="99"/>
      <c r="L619" s="99"/>
      <c r="M619" s="99"/>
      <c r="N619" s="43">
        <f t="shared" si="9"/>
        <v>0</v>
      </c>
    </row>
    <row r="620" spans="2:14" ht="1.5" customHeight="1">
      <c r="B620" s="57"/>
      <c r="C620" s="60"/>
      <c r="D620" s="60"/>
      <c r="E620" s="60"/>
      <c r="F620" s="60"/>
      <c r="G620" s="60"/>
      <c r="J620" s="99"/>
      <c r="K620" s="99"/>
      <c r="L620" s="99"/>
      <c r="M620" s="99"/>
      <c r="N620" s="43">
        <f t="shared" si="9"/>
        <v>0</v>
      </c>
    </row>
    <row r="621" spans="2:14" ht="1.5" customHeight="1">
      <c r="B621" s="57"/>
      <c r="C621" s="60"/>
      <c r="D621" s="60"/>
      <c r="E621" s="60"/>
      <c r="F621" s="60"/>
      <c r="G621" s="60"/>
      <c r="J621" s="99"/>
      <c r="K621" s="99"/>
      <c r="L621" s="99"/>
      <c r="M621" s="99"/>
      <c r="N621" s="43">
        <f t="shared" si="9"/>
        <v>0</v>
      </c>
    </row>
    <row r="622" spans="2:14" ht="1.5" customHeight="1">
      <c r="B622" s="57"/>
      <c r="C622" s="60"/>
      <c r="D622" s="60"/>
      <c r="E622" s="60"/>
      <c r="F622" s="60"/>
      <c r="G622" s="60"/>
      <c r="J622" s="99"/>
      <c r="K622" s="99"/>
      <c r="L622" s="99"/>
      <c r="M622" s="99"/>
      <c r="N622" s="43">
        <f t="shared" si="9"/>
        <v>0</v>
      </c>
    </row>
    <row r="623" spans="2:14" ht="1.5" customHeight="1">
      <c r="B623" s="57"/>
      <c r="C623" s="60"/>
      <c r="D623" s="60"/>
      <c r="E623" s="60"/>
      <c r="F623" s="60"/>
      <c r="G623" s="60"/>
      <c r="J623" s="99"/>
      <c r="K623" s="99"/>
      <c r="L623" s="99"/>
      <c r="M623" s="99"/>
      <c r="N623" s="43">
        <f t="shared" si="9"/>
        <v>0</v>
      </c>
    </row>
    <row r="624" spans="2:14" ht="1.5" customHeight="1">
      <c r="B624" s="57"/>
      <c r="C624" s="60"/>
      <c r="D624" s="60"/>
      <c r="E624" s="60"/>
      <c r="F624" s="60"/>
      <c r="G624" s="60"/>
      <c r="J624" s="99"/>
      <c r="K624" s="99"/>
      <c r="L624" s="99"/>
      <c r="M624" s="99"/>
      <c r="N624" s="43">
        <f t="shared" si="9"/>
        <v>0</v>
      </c>
    </row>
    <row r="625" spans="2:14" ht="1.5" customHeight="1">
      <c r="B625" s="57"/>
      <c r="C625" s="60"/>
      <c r="D625" s="60"/>
      <c r="E625" s="60"/>
      <c r="F625" s="60"/>
      <c r="G625" s="60"/>
      <c r="J625" s="99"/>
      <c r="K625" s="99"/>
      <c r="L625" s="99"/>
      <c r="M625" s="99"/>
      <c r="N625" s="43">
        <f t="shared" si="9"/>
        <v>0</v>
      </c>
    </row>
    <row r="626" spans="2:14" ht="1.5" customHeight="1">
      <c r="B626" s="57"/>
      <c r="C626" s="60"/>
      <c r="D626" s="60"/>
      <c r="E626" s="60"/>
      <c r="F626" s="60"/>
      <c r="G626" s="60"/>
      <c r="J626" s="99"/>
      <c r="K626" s="99"/>
      <c r="L626" s="99"/>
      <c r="M626" s="99"/>
      <c r="N626" s="43">
        <f t="shared" si="9"/>
        <v>0</v>
      </c>
    </row>
    <row r="627" spans="2:14" ht="1.5" customHeight="1">
      <c r="B627" s="57"/>
      <c r="C627" s="60"/>
      <c r="D627" s="60"/>
      <c r="E627" s="60"/>
      <c r="F627" s="60"/>
      <c r="G627" s="60"/>
      <c r="J627" s="99"/>
      <c r="K627" s="99"/>
      <c r="L627" s="99"/>
      <c r="M627" s="99"/>
      <c r="N627" s="43">
        <f t="shared" si="9"/>
        <v>0</v>
      </c>
    </row>
    <row r="628" spans="2:14" ht="1.5" customHeight="1">
      <c r="B628" s="57"/>
      <c r="C628" s="60"/>
      <c r="D628" s="60"/>
      <c r="E628" s="60"/>
      <c r="F628" s="60"/>
      <c r="G628" s="60"/>
      <c r="J628" s="99"/>
      <c r="K628" s="99"/>
      <c r="L628" s="99"/>
      <c r="M628" s="99"/>
      <c r="N628" s="43">
        <f t="shared" si="9"/>
        <v>0</v>
      </c>
    </row>
    <row r="629" spans="2:14" ht="1.5" customHeight="1">
      <c r="B629" s="57"/>
      <c r="C629" s="60"/>
      <c r="D629" s="60"/>
      <c r="E629" s="60"/>
      <c r="F629" s="60"/>
      <c r="G629" s="60"/>
      <c r="J629" s="99"/>
      <c r="K629" s="99"/>
      <c r="L629" s="99"/>
      <c r="M629" s="99"/>
      <c r="N629" s="43">
        <f t="shared" si="9"/>
        <v>0</v>
      </c>
    </row>
    <row r="630" spans="2:14" ht="1.5" customHeight="1">
      <c r="B630" s="57"/>
      <c r="C630" s="60"/>
      <c r="D630" s="60"/>
      <c r="E630" s="60"/>
      <c r="F630" s="60"/>
      <c r="G630" s="60"/>
      <c r="J630" s="99"/>
      <c r="K630" s="99"/>
      <c r="L630" s="99"/>
      <c r="M630" s="99"/>
      <c r="N630" s="43">
        <f t="shared" si="9"/>
        <v>0</v>
      </c>
    </row>
    <row r="631" spans="2:14" ht="1.5" customHeight="1">
      <c r="B631" s="57"/>
      <c r="C631" s="60"/>
      <c r="D631" s="60"/>
      <c r="E631" s="60"/>
      <c r="F631" s="60"/>
      <c r="G631" s="60"/>
      <c r="J631" s="99"/>
      <c r="K631" s="99"/>
      <c r="L631" s="99"/>
      <c r="M631" s="99"/>
      <c r="N631" s="43">
        <f t="shared" si="9"/>
        <v>0</v>
      </c>
    </row>
    <row r="632" spans="2:14" ht="1.5" customHeight="1">
      <c r="B632" s="57"/>
      <c r="C632" s="60"/>
      <c r="D632" s="60"/>
      <c r="E632" s="60"/>
      <c r="F632" s="60"/>
      <c r="G632" s="60"/>
      <c r="J632" s="99"/>
      <c r="K632" s="99"/>
      <c r="L632" s="99"/>
      <c r="M632" s="99"/>
      <c r="N632" s="43">
        <f t="shared" si="9"/>
        <v>0</v>
      </c>
    </row>
    <row r="633" spans="2:14" ht="1.5" customHeight="1">
      <c r="B633" s="57"/>
      <c r="C633" s="60"/>
      <c r="D633" s="60"/>
      <c r="E633" s="60"/>
      <c r="F633" s="60"/>
      <c r="G633" s="60"/>
      <c r="J633" s="99"/>
      <c r="K633" s="99"/>
      <c r="L633" s="99"/>
      <c r="M633" s="99"/>
      <c r="N633" s="43">
        <f t="shared" si="9"/>
        <v>0</v>
      </c>
    </row>
    <row r="634" spans="2:14" ht="1.5" customHeight="1">
      <c r="B634" s="57"/>
      <c r="C634" s="60"/>
      <c r="D634" s="60"/>
      <c r="E634" s="60"/>
      <c r="F634" s="60"/>
      <c r="G634" s="60"/>
      <c r="J634" s="99"/>
      <c r="K634" s="99"/>
      <c r="L634" s="99"/>
      <c r="M634" s="99"/>
      <c r="N634" s="43">
        <f t="shared" si="9"/>
        <v>0</v>
      </c>
    </row>
    <row r="635" spans="2:14" ht="1.5" customHeight="1">
      <c r="B635" s="57"/>
      <c r="C635" s="60"/>
      <c r="D635" s="60"/>
      <c r="E635" s="60"/>
      <c r="F635" s="60"/>
      <c r="G635" s="60"/>
      <c r="J635" s="99"/>
      <c r="K635" s="99"/>
      <c r="L635" s="99"/>
      <c r="M635" s="99"/>
      <c r="N635" s="43">
        <f t="shared" si="9"/>
        <v>0</v>
      </c>
    </row>
    <row r="636" spans="2:14" ht="1.5" customHeight="1">
      <c r="B636" s="57"/>
      <c r="C636" s="60"/>
      <c r="D636" s="60"/>
      <c r="E636" s="60"/>
      <c r="F636" s="60"/>
      <c r="G636" s="60"/>
      <c r="J636" s="99"/>
      <c r="K636" s="99"/>
      <c r="L636" s="99"/>
      <c r="M636" s="99"/>
      <c r="N636" s="43">
        <f t="shared" si="9"/>
        <v>0</v>
      </c>
    </row>
    <row r="637" spans="2:14" ht="1.5" customHeight="1">
      <c r="B637" s="57"/>
      <c r="C637" s="60"/>
      <c r="D637" s="60"/>
      <c r="E637" s="60"/>
      <c r="F637" s="60"/>
      <c r="G637" s="60"/>
      <c r="J637" s="99"/>
      <c r="K637" s="99"/>
      <c r="L637" s="99"/>
      <c r="M637" s="99"/>
      <c r="N637" s="43">
        <f t="shared" si="9"/>
        <v>0</v>
      </c>
    </row>
    <row r="638" spans="2:14" ht="1.5" customHeight="1">
      <c r="B638" s="57"/>
      <c r="C638" s="60"/>
      <c r="D638" s="60"/>
      <c r="E638" s="60"/>
      <c r="F638" s="60"/>
      <c r="G638" s="60"/>
      <c r="J638" s="99"/>
      <c r="K638" s="99"/>
      <c r="L638" s="99"/>
      <c r="M638" s="99"/>
      <c r="N638" s="43">
        <f t="shared" si="9"/>
        <v>0</v>
      </c>
    </row>
    <row r="639" spans="2:14" ht="1.5" customHeight="1">
      <c r="B639" s="57"/>
      <c r="C639" s="60"/>
      <c r="D639" s="60"/>
      <c r="E639" s="60"/>
      <c r="F639" s="60"/>
      <c r="G639" s="60"/>
      <c r="J639" s="99"/>
      <c r="K639" s="99"/>
      <c r="L639" s="99"/>
      <c r="M639" s="99"/>
      <c r="N639" s="43">
        <f t="shared" si="9"/>
        <v>0</v>
      </c>
    </row>
    <row r="640" spans="2:14" ht="1.5" customHeight="1">
      <c r="B640" s="57"/>
      <c r="C640" s="60"/>
      <c r="D640" s="60"/>
      <c r="E640" s="60"/>
      <c r="F640" s="60"/>
      <c r="G640" s="60"/>
      <c r="J640" s="99"/>
      <c r="K640" s="99"/>
      <c r="L640" s="99"/>
      <c r="M640" s="99"/>
      <c r="N640" s="43">
        <f t="shared" si="9"/>
        <v>0</v>
      </c>
    </row>
    <row r="641" spans="2:14" ht="1.5" customHeight="1">
      <c r="B641" s="57"/>
      <c r="C641" s="60"/>
      <c r="D641" s="60"/>
      <c r="E641" s="60"/>
      <c r="F641" s="60"/>
      <c r="G641" s="60"/>
      <c r="J641" s="99"/>
      <c r="K641" s="99"/>
      <c r="L641" s="99"/>
      <c r="M641" s="99"/>
      <c r="N641" s="43">
        <f t="shared" si="9"/>
        <v>0</v>
      </c>
    </row>
    <row r="642" spans="2:14" ht="1.5" customHeight="1">
      <c r="B642" s="57"/>
      <c r="C642" s="60"/>
      <c r="D642" s="60"/>
      <c r="E642" s="60"/>
      <c r="F642" s="60"/>
      <c r="G642" s="60"/>
      <c r="J642" s="99"/>
      <c r="K642" s="99"/>
      <c r="L642" s="99"/>
      <c r="M642" s="99"/>
      <c r="N642" s="43">
        <f t="shared" si="9"/>
        <v>0</v>
      </c>
    </row>
    <row r="643" spans="2:14" ht="1.5" customHeight="1">
      <c r="B643" s="57"/>
      <c r="C643" s="60"/>
      <c r="D643" s="60"/>
      <c r="E643" s="60"/>
      <c r="F643" s="60"/>
      <c r="G643" s="60"/>
      <c r="J643" s="99"/>
      <c r="K643" s="99"/>
      <c r="L643" s="99"/>
      <c r="M643" s="99"/>
      <c r="N643" s="43">
        <f t="shared" si="9"/>
        <v>0</v>
      </c>
    </row>
    <row r="644" spans="2:14" ht="1.5" customHeight="1">
      <c r="B644" s="57"/>
      <c r="C644" s="60"/>
      <c r="D644" s="60"/>
      <c r="E644" s="60"/>
      <c r="F644" s="60"/>
      <c r="G644" s="60"/>
      <c r="J644" s="99"/>
      <c r="K644" s="99"/>
      <c r="L644" s="99"/>
      <c r="M644" s="99"/>
      <c r="N644" s="43">
        <f t="shared" si="9"/>
        <v>0</v>
      </c>
    </row>
    <row r="645" spans="2:14" ht="1.5" customHeight="1">
      <c r="B645" s="57"/>
      <c r="C645" s="60"/>
      <c r="D645" s="60"/>
      <c r="E645" s="60"/>
      <c r="F645" s="60"/>
      <c r="G645" s="60"/>
      <c r="J645" s="99"/>
      <c r="K645" s="99"/>
      <c r="L645" s="99"/>
      <c r="M645" s="99"/>
      <c r="N645" s="43">
        <f t="shared" si="9"/>
        <v>0</v>
      </c>
    </row>
    <row r="646" spans="2:14" ht="1.5" customHeight="1">
      <c r="B646" s="57"/>
      <c r="C646" s="60"/>
      <c r="D646" s="60"/>
      <c r="E646" s="60"/>
      <c r="F646" s="60"/>
      <c r="G646" s="60"/>
      <c r="J646" s="99"/>
      <c r="K646" s="99"/>
      <c r="L646" s="99"/>
      <c r="M646" s="99"/>
      <c r="N646" s="43">
        <f t="shared" si="9"/>
        <v>0</v>
      </c>
    </row>
    <row r="647" spans="2:14" ht="1.5" customHeight="1">
      <c r="B647" s="57"/>
      <c r="C647" s="60"/>
      <c r="D647" s="60"/>
      <c r="E647" s="60"/>
      <c r="F647" s="60"/>
      <c r="G647" s="60"/>
      <c r="J647" s="99"/>
      <c r="K647" s="99"/>
      <c r="L647" s="99"/>
      <c r="M647" s="99"/>
      <c r="N647" s="43">
        <f t="shared" si="9"/>
        <v>0</v>
      </c>
    </row>
    <row r="648" spans="2:14" ht="1.5" customHeight="1">
      <c r="B648" s="57"/>
      <c r="C648" s="60"/>
      <c r="D648" s="60"/>
      <c r="E648" s="60"/>
      <c r="F648" s="60"/>
      <c r="G648" s="60"/>
      <c r="J648" s="99"/>
      <c r="K648" s="99"/>
      <c r="L648" s="99"/>
      <c r="M648" s="99"/>
      <c r="N648" s="43">
        <f t="shared" si="9"/>
        <v>0</v>
      </c>
    </row>
    <row r="649" spans="2:14" ht="1.5" customHeight="1">
      <c r="B649" s="57"/>
      <c r="C649" s="60"/>
      <c r="D649" s="60"/>
      <c r="E649" s="60"/>
      <c r="F649" s="60"/>
      <c r="G649" s="60"/>
      <c r="J649" s="99"/>
      <c r="K649" s="99"/>
      <c r="L649" s="99"/>
      <c r="M649" s="99"/>
      <c r="N649" s="43">
        <f t="shared" si="9"/>
        <v>0</v>
      </c>
    </row>
    <row r="650" spans="2:14" ht="1.5" customHeight="1">
      <c r="B650" s="57"/>
      <c r="C650" s="60"/>
      <c r="D650" s="60"/>
      <c r="E650" s="60"/>
      <c r="F650" s="60"/>
      <c r="G650" s="60"/>
      <c r="J650" s="99"/>
      <c r="K650" s="99"/>
      <c r="L650" s="99"/>
      <c r="M650" s="99"/>
      <c r="N650" s="43">
        <f t="shared" si="9"/>
        <v>0</v>
      </c>
    </row>
    <row r="651" spans="2:14" ht="1.5" customHeight="1">
      <c r="B651" s="57"/>
      <c r="C651" s="60"/>
      <c r="D651" s="60"/>
      <c r="E651" s="60"/>
      <c r="F651" s="60"/>
      <c r="G651" s="60"/>
      <c r="J651" s="99"/>
      <c r="K651" s="99"/>
      <c r="L651" s="99"/>
      <c r="M651" s="99"/>
      <c r="N651" s="43">
        <f t="shared" ref="N651:N714" si="10">IF($L$4=$C$10,C651,IF(D651="","",B651))</f>
        <v>0</v>
      </c>
    </row>
    <row r="652" spans="2:14" ht="1.5" customHeight="1">
      <c r="B652" s="57"/>
      <c r="C652" s="60"/>
      <c r="D652" s="60"/>
      <c r="E652" s="60"/>
      <c r="F652" s="60"/>
      <c r="G652" s="60"/>
      <c r="J652" s="99"/>
      <c r="K652" s="99"/>
      <c r="L652" s="99"/>
      <c r="M652" s="99"/>
      <c r="N652" s="43">
        <f t="shared" si="10"/>
        <v>0</v>
      </c>
    </row>
    <row r="653" spans="2:14" ht="1.5" customHeight="1">
      <c r="B653" s="57"/>
      <c r="C653" s="60"/>
      <c r="D653" s="60"/>
      <c r="E653" s="60"/>
      <c r="F653" s="60"/>
      <c r="G653" s="60"/>
      <c r="J653" s="99"/>
      <c r="K653" s="99"/>
      <c r="L653" s="99"/>
      <c r="M653" s="99"/>
      <c r="N653" s="43">
        <f t="shared" si="10"/>
        <v>0</v>
      </c>
    </row>
    <row r="654" spans="2:14" ht="1.5" customHeight="1">
      <c r="B654" s="57"/>
      <c r="C654" s="60"/>
      <c r="D654" s="60"/>
      <c r="E654" s="60"/>
      <c r="F654" s="60"/>
      <c r="G654" s="60"/>
      <c r="J654" s="99"/>
      <c r="K654" s="99"/>
      <c r="L654" s="99"/>
      <c r="M654" s="99"/>
      <c r="N654" s="43">
        <f t="shared" si="10"/>
        <v>0</v>
      </c>
    </row>
    <row r="655" spans="2:14" ht="1.5" customHeight="1">
      <c r="B655" s="57"/>
      <c r="C655" s="60"/>
      <c r="D655" s="60"/>
      <c r="E655" s="60"/>
      <c r="F655" s="60"/>
      <c r="G655" s="60"/>
      <c r="J655" s="99"/>
      <c r="K655" s="99"/>
      <c r="L655" s="99"/>
      <c r="M655" s="99"/>
      <c r="N655" s="43">
        <f t="shared" si="10"/>
        <v>0</v>
      </c>
    </row>
    <row r="656" spans="2:14" ht="1.5" customHeight="1">
      <c r="B656" s="57"/>
      <c r="C656" s="60"/>
      <c r="D656" s="60"/>
      <c r="E656" s="60"/>
      <c r="F656" s="60"/>
      <c r="G656" s="60"/>
      <c r="J656" s="99"/>
      <c r="K656" s="99"/>
      <c r="L656" s="99"/>
      <c r="M656" s="99"/>
      <c r="N656" s="43">
        <f t="shared" si="10"/>
        <v>0</v>
      </c>
    </row>
    <row r="657" spans="2:14" ht="1.5" customHeight="1">
      <c r="B657" s="57"/>
      <c r="C657" s="60"/>
      <c r="D657" s="60"/>
      <c r="E657" s="60"/>
      <c r="F657" s="60"/>
      <c r="G657" s="60"/>
      <c r="J657" s="99"/>
      <c r="K657" s="99"/>
      <c r="L657" s="99"/>
      <c r="M657" s="99"/>
      <c r="N657" s="43">
        <f t="shared" si="10"/>
        <v>0</v>
      </c>
    </row>
    <row r="658" spans="2:14" ht="1.5" customHeight="1">
      <c r="B658" s="57"/>
      <c r="C658" s="60"/>
      <c r="D658" s="60"/>
      <c r="E658" s="60"/>
      <c r="F658" s="60"/>
      <c r="G658" s="60"/>
      <c r="J658" s="99"/>
      <c r="K658" s="99"/>
      <c r="L658" s="99"/>
      <c r="M658" s="99"/>
      <c r="N658" s="43">
        <f t="shared" si="10"/>
        <v>0</v>
      </c>
    </row>
    <row r="659" spans="2:14" ht="1.5" customHeight="1">
      <c r="B659" s="57"/>
      <c r="C659" s="60"/>
      <c r="D659" s="60"/>
      <c r="E659" s="60"/>
      <c r="F659" s="60"/>
      <c r="G659" s="60"/>
      <c r="J659" s="99"/>
      <c r="K659" s="99"/>
      <c r="L659" s="99"/>
      <c r="M659" s="99"/>
      <c r="N659" s="43">
        <f t="shared" si="10"/>
        <v>0</v>
      </c>
    </row>
    <row r="660" spans="2:14" ht="1.5" customHeight="1">
      <c r="B660" s="57"/>
      <c r="C660" s="60"/>
      <c r="D660" s="60"/>
      <c r="E660" s="60"/>
      <c r="F660" s="60"/>
      <c r="G660" s="60"/>
      <c r="J660" s="99"/>
      <c r="K660" s="99"/>
      <c r="L660" s="99"/>
      <c r="M660" s="99"/>
      <c r="N660" s="43">
        <f t="shared" si="10"/>
        <v>0</v>
      </c>
    </row>
    <row r="661" spans="2:14" ht="1.5" customHeight="1">
      <c r="B661" s="57"/>
      <c r="C661" s="60"/>
      <c r="D661" s="60"/>
      <c r="E661" s="60"/>
      <c r="F661" s="60"/>
      <c r="G661" s="60"/>
      <c r="J661" s="99"/>
      <c r="K661" s="99"/>
      <c r="L661" s="99"/>
      <c r="M661" s="99"/>
      <c r="N661" s="43">
        <f t="shared" si="10"/>
        <v>0</v>
      </c>
    </row>
    <row r="662" spans="2:14" ht="1.5" customHeight="1">
      <c r="B662" s="57"/>
      <c r="C662" s="60"/>
      <c r="D662" s="60"/>
      <c r="E662" s="60"/>
      <c r="F662" s="60"/>
      <c r="G662" s="60"/>
      <c r="J662" s="99"/>
      <c r="K662" s="99"/>
      <c r="L662" s="99"/>
      <c r="M662" s="99"/>
      <c r="N662" s="43">
        <f t="shared" si="10"/>
        <v>0</v>
      </c>
    </row>
    <row r="663" spans="2:14" ht="1.5" customHeight="1">
      <c r="B663" s="57"/>
      <c r="C663" s="60"/>
      <c r="D663" s="60"/>
      <c r="E663" s="60"/>
      <c r="F663" s="60"/>
      <c r="G663" s="60"/>
      <c r="J663" s="99"/>
      <c r="K663" s="99"/>
      <c r="L663" s="99"/>
      <c r="M663" s="99"/>
      <c r="N663" s="43">
        <f t="shared" si="10"/>
        <v>0</v>
      </c>
    </row>
    <row r="664" spans="2:14" ht="1.5" customHeight="1">
      <c r="B664" s="57"/>
      <c r="C664" s="60"/>
      <c r="D664" s="60"/>
      <c r="E664" s="60"/>
      <c r="F664" s="60"/>
      <c r="G664" s="60"/>
      <c r="J664" s="99"/>
      <c r="K664" s="99"/>
      <c r="L664" s="99"/>
      <c r="M664" s="99"/>
      <c r="N664" s="43">
        <f t="shared" si="10"/>
        <v>0</v>
      </c>
    </row>
    <row r="665" spans="2:14" ht="1.5" customHeight="1">
      <c r="B665" s="57"/>
      <c r="C665" s="60"/>
      <c r="D665" s="60"/>
      <c r="E665" s="60"/>
      <c r="F665" s="60"/>
      <c r="G665" s="60"/>
      <c r="J665" s="99"/>
      <c r="K665" s="99"/>
      <c r="L665" s="99"/>
      <c r="M665" s="99"/>
      <c r="N665" s="43">
        <f t="shared" si="10"/>
        <v>0</v>
      </c>
    </row>
    <row r="666" spans="2:14" ht="1.5" customHeight="1">
      <c r="B666" s="57"/>
      <c r="C666" s="60"/>
      <c r="D666" s="60"/>
      <c r="E666" s="60"/>
      <c r="F666" s="60"/>
      <c r="G666" s="60"/>
      <c r="J666" s="99"/>
      <c r="K666" s="99"/>
      <c r="L666" s="99"/>
      <c r="M666" s="99"/>
      <c r="N666" s="43">
        <f t="shared" si="10"/>
        <v>0</v>
      </c>
    </row>
    <row r="667" spans="2:14" ht="1.5" customHeight="1">
      <c r="B667" s="57"/>
      <c r="C667" s="60"/>
      <c r="D667" s="60"/>
      <c r="E667" s="60"/>
      <c r="F667" s="60"/>
      <c r="G667" s="60"/>
      <c r="J667" s="99"/>
      <c r="K667" s="99"/>
      <c r="L667" s="99"/>
      <c r="M667" s="99"/>
      <c r="N667" s="43">
        <f t="shared" si="10"/>
        <v>0</v>
      </c>
    </row>
    <row r="668" spans="2:14" ht="1.5" customHeight="1">
      <c r="B668" s="57"/>
      <c r="C668" s="60"/>
      <c r="D668" s="60"/>
      <c r="E668" s="60"/>
      <c r="F668" s="60"/>
      <c r="G668" s="60"/>
      <c r="J668" s="99"/>
      <c r="K668" s="99"/>
      <c r="L668" s="99"/>
      <c r="M668" s="99"/>
      <c r="N668" s="43">
        <f t="shared" si="10"/>
        <v>0</v>
      </c>
    </row>
    <row r="669" spans="2:14" ht="1.5" customHeight="1">
      <c r="B669" s="57"/>
      <c r="C669" s="60"/>
      <c r="D669" s="60"/>
      <c r="E669" s="60"/>
      <c r="F669" s="60"/>
      <c r="G669" s="60"/>
      <c r="J669" s="99"/>
      <c r="K669" s="99"/>
      <c r="L669" s="99"/>
      <c r="M669" s="99"/>
      <c r="N669" s="43">
        <f t="shared" si="10"/>
        <v>0</v>
      </c>
    </row>
    <row r="670" spans="2:14" ht="1.5" customHeight="1">
      <c r="B670" s="57"/>
      <c r="C670" s="60"/>
      <c r="D670" s="60"/>
      <c r="E670" s="60"/>
      <c r="F670" s="60"/>
      <c r="G670" s="60"/>
      <c r="J670" s="99"/>
      <c r="K670" s="99"/>
      <c r="L670" s="99"/>
      <c r="M670" s="99"/>
      <c r="N670" s="43">
        <f t="shared" si="10"/>
        <v>0</v>
      </c>
    </row>
    <row r="671" spans="2:14" ht="1.5" customHeight="1">
      <c r="B671" s="57"/>
      <c r="C671" s="60"/>
      <c r="D671" s="60"/>
      <c r="E671" s="60"/>
      <c r="F671" s="60"/>
      <c r="G671" s="60"/>
      <c r="J671" s="99"/>
      <c r="K671" s="99"/>
      <c r="L671" s="99"/>
      <c r="M671" s="99"/>
      <c r="N671" s="43">
        <f t="shared" si="10"/>
        <v>0</v>
      </c>
    </row>
    <row r="672" spans="2:14" ht="1.5" customHeight="1">
      <c r="B672" s="57"/>
      <c r="C672" s="60"/>
      <c r="D672" s="60"/>
      <c r="E672" s="60"/>
      <c r="F672" s="60"/>
      <c r="G672" s="60"/>
      <c r="J672" s="99"/>
      <c r="K672" s="99"/>
      <c r="L672" s="99"/>
      <c r="M672" s="99"/>
      <c r="N672" s="43">
        <f t="shared" si="10"/>
        <v>0</v>
      </c>
    </row>
    <row r="673" spans="2:14" ht="1.5" customHeight="1">
      <c r="B673" s="57"/>
      <c r="C673" s="60"/>
      <c r="D673" s="60"/>
      <c r="E673" s="60"/>
      <c r="F673" s="60"/>
      <c r="G673" s="60"/>
      <c r="J673" s="99"/>
      <c r="K673" s="99"/>
      <c r="L673" s="99"/>
      <c r="M673" s="99"/>
      <c r="N673" s="43">
        <f t="shared" si="10"/>
        <v>0</v>
      </c>
    </row>
    <row r="674" spans="2:14" ht="1.5" customHeight="1">
      <c r="B674" s="57"/>
      <c r="C674" s="60"/>
      <c r="D674" s="60"/>
      <c r="E674" s="60"/>
      <c r="F674" s="60"/>
      <c r="G674" s="60"/>
      <c r="J674" s="99"/>
      <c r="K674" s="99"/>
      <c r="L674" s="99"/>
      <c r="M674" s="99"/>
      <c r="N674" s="43">
        <f t="shared" si="10"/>
        <v>0</v>
      </c>
    </row>
    <row r="675" spans="2:14" ht="1.5" customHeight="1">
      <c r="B675" s="57"/>
      <c r="C675" s="60"/>
      <c r="D675" s="60"/>
      <c r="E675" s="60"/>
      <c r="F675" s="60"/>
      <c r="G675" s="60"/>
      <c r="J675" s="99"/>
      <c r="K675" s="99"/>
      <c r="L675" s="99"/>
      <c r="M675" s="99"/>
      <c r="N675" s="43">
        <f t="shared" si="10"/>
        <v>0</v>
      </c>
    </row>
    <row r="676" spans="2:14" ht="1.5" customHeight="1">
      <c r="B676" s="57"/>
      <c r="C676" s="60"/>
      <c r="D676" s="60"/>
      <c r="E676" s="60"/>
      <c r="F676" s="60"/>
      <c r="G676" s="60"/>
      <c r="J676" s="99"/>
      <c r="K676" s="99"/>
      <c r="L676" s="99"/>
      <c r="M676" s="99"/>
      <c r="N676" s="43">
        <f t="shared" si="10"/>
        <v>0</v>
      </c>
    </row>
    <row r="677" spans="2:14" ht="1.5" customHeight="1">
      <c r="B677" s="57"/>
      <c r="C677" s="60"/>
      <c r="D677" s="60"/>
      <c r="E677" s="60"/>
      <c r="F677" s="60"/>
      <c r="G677" s="60"/>
      <c r="J677" s="99"/>
      <c r="K677" s="99"/>
      <c r="L677" s="99"/>
      <c r="M677" s="99"/>
      <c r="N677" s="43">
        <f t="shared" si="10"/>
        <v>0</v>
      </c>
    </row>
    <row r="678" spans="2:14" ht="1.5" customHeight="1">
      <c r="B678" s="57"/>
      <c r="C678" s="60"/>
      <c r="D678" s="60"/>
      <c r="E678" s="60"/>
      <c r="F678" s="60"/>
      <c r="G678" s="60"/>
      <c r="J678" s="99"/>
      <c r="K678" s="99"/>
      <c r="L678" s="99"/>
      <c r="M678" s="99"/>
      <c r="N678" s="43">
        <f t="shared" si="10"/>
        <v>0</v>
      </c>
    </row>
    <row r="679" spans="2:14" ht="1.5" customHeight="1">
      <c r="B679" s="57"/>
      <c r="C679" s="60"/>
      <c r="D679" s="60"/>
      <c r="E679" s="60"/>
      <c r="F679" s="60"/>
      <c r="G679" s="60"/>
      <c r="J679" s="99"/>
      <c r="K679" s="99"/>
      <c r="L679" s="99"/>
      <c r="M679" s="99"/>
      <c r="N679" s="43">
        <f t="shared" si="10"/>
        <v>0</v>
      </c>
    </row>
    <row r="680" spans="2:14" ht="1.5" customHeight="1">
      <c r="B680" s="57"/>
      <c r="C680" s="60"/>
      <c r="D680" s="60"/>
      <c r="E680" s="60"/>
      <c r="F680" s="60"/>
      <c r="G680" s="60"/>
      <c r="J680" s="99"/>
      <c r="K680" s="99"/>
      <c r="L680" s="99"/>
      <c r="M680" s="99"/>
      <c r="N680" s="43">
        <f t="shared" si="10"/>
        <v>0</v>
      </c>
    </row>
    <row r="681" spans="2:14" ht="1.5" customHeight="1">
      <c r="B681" s="57"/>
      <c r="C681" s="60"/>
      <c r="D681" s="60"/>
      <c r="E681" s="60"/>
      <c r="F681" s="60"/>
      <c r="G681" s="60"/>
      <c r="J681" s="99"/>
      <c r="K681" s="99"/>
      <c r="L681" s="99"/>
      <c r="M681" s="99"/>
      <c r="N681" s="43">
        <f t="shared" si="10"/>
        <v>0</v>
      </c>
    </row>
    <row r="682" spans="2:14" ht="1.5" customHeight="1">
      <c r="B682" s="57"/>
      <c r="C682" s="60"/>
      <c r="D682" s="60"/>
      <c r="E682" s="60"/>
      <c r="F682" s="60"/>
      <c r="G682" s="60"/>
      <c r="J682" s="99"/>
      <c r="K682" s="99"/>
      <c r="L682" s="99"/>
      <c r="M682" s="99"/>
      <c r="N682" s="43">
        <f t="shared" si="10"/>
        <v>0</v>
      </c>
    </row>
    <row r="683" spans="2:14" ht="1.5" customHeight="1">
      <c r="B683" s="57"/>
      <c r="C683" s="60"/>
      <c r="D683" s="60"/>
      <c r="E683" s="60"/>
      <c r="F683" s="60"/>
      <c r="G683" s="60"/>
      <c r="J683" s="99"/>
      <c r="K683" s="99"/>
      <c r="L683" s="99"/>
      <c r="M683" s="99"/>
      <c r="N683" s="43">
        <f t="shared" si="10"/>
        <v>0</v>
      </c>
    </row>
    <row r="684" spans="2:14" ht="1.5" customHeight="1">
      <c r="B684" s="57"/>
      <c r="C684" s="60"/>
      <c r="D684" s="60"/>
      <c r="E684" s="60"/>
      <c r="F684" s="60"/>
      <c r="G684" s="60"/>
      <c r="J684" s="99"/>
      <c r="K684" s="99"/>
      <c r="L684" s="99"/>
      <c r="M684" s="99"/>
      <c r="N684" s="43">
        <f t="shared" si="10"/>
        <v>0</v>
      </c>
    </row>
    <row r="685" spans="2:14" ht="1.5" customHeight="1">
      <c r="B685" s="57"/>
      <c r="C685" s="60"/>
      <c r="D685" s="60"/>
      <c r="E685" s="60"/>
      <c r="F685" s="60"/>
      <c r="G685" s="60"/>
      <c r="J685" s="99"/>
      <c r="K685" s="99"/>
      <c r="L685" s="99"/>
      <c r="M685" s="99"/>
      <c r="N685" s="43">
        <f t="shared" si="10"/>
        <v>0</v>
      </c>
    </row>
    <row r="686" spans="2:14" ht="1.5" customHeight="1">
      <c r="B686" s="57"/>
      <c r="C686" s="60"/>
      <c r="D686" s="60"/>
      <c r="E686" s="60"/>
      <c r="F686" s="60"/>
      <c r="G686" s="60"/>
      <c r="J686" s="99"/>
      <c r="K686" s="99"/>
      <c r="L686" s="99"/>
      <c r="M686" s="99"/>
      <c r="N686" s="43">
        <f t="shared" si="10"/>
        <v>0</v>
      </c>
    </row>
    <row r="687" spans="2:14" ht="1.5" customHeight="1">
      <c r="B687" s="57"/>
      <c r="C687" s="60"/>
      <c r="D687" s="60"/>
      <c r="E687" s="60"/>
      <c r="F687" s="60"/>
      <c r="G687" s="60"/>
      <c r="J687" s="99"/>
      <c r="K687" s="99"/>
      <c r="L687" s="99"/>
      <c r="M687" s="99"/>
      <c r="N687" s="43">
        <f t="shared" si="10"/>
        <v>0</v>
      </c>
    </row>
    <row r="688" spans="2:14" ht="1.5" customHeight="1">
      <c r="B688" s="57"/>
      <c r="C688" s="60"/>
      <c r="D688" s="60"/>
      <c r="E688" s="60"/>
      <c r="F688" s="60"/>
      <c r="G688" s="60"/>
      <c r="J688" s="99"/>
      <c r="K688" s="99"/>
      <c r="L688" s="99"/>
      <c r="M688" s="99"/>
      <c r="N688" s="43">
        <f t="shared" si="10"/>
        <v>0</v>
      </c>
    </row>
    <row r="689" spans="2:14" ht="1.5" customHeight="1">
      <c r="B689" s="57"/>
      <c r="C689" s="60"/>
      <c r="D689" s="60"/>
      <c r="E689" s="60"/>
      <c r="F689" s="60"/>
      <c r="G689" s="60"/>
      <c r="J689" s="99"/>
      <c r="K689" s="99"/>
      <c r="L689" s="99"/>
      <c r="M689" s="99"/>
      <c r="N689" s="43">
        <f t="shared" si="10"/>
        <v>0</v>
      </c>
    </row>
    <row r="690" spans="2:14" ht="1.5" customHeight="1">
      <c r="B690" s="57"/>
      <c r="C690" s="60"/>
      <c r="D690" s="60"/>
      <c r="E690" s="60"/>
      <c r="F690" s="60"/>
      <c r="G690" s="60"/>
      <c r="J690" s="99"/>
      <c r="K690" s="99"/>
      <c r="L690" s="99"/>
      <c r="M690" s="99"/>
      <c r="N690" s="43">
        <f t="shared" si="10"/>
        <v>0</v>
      </c>
    </row>
    <row r="691" spans="2:14" ht="1.5" customHeight="1">
      <c r="B691" s="57"/>
      <c r="C691" s="60"/>
      <c r="D691" s="60"/>
      <c r="E691" s="60"/>
      <c r="F691" s="60"/>
      <c r="G691" s="60"/>
      <c r="J691" s="99"/>
      <c r="K691" s="99"/>
      <c r="L691" s="99"/>
      <c r="M691" s="99"/>
      <c r="N691" s="43">
        <f t="shared" si="10"/>
        <v>0</v>
      </c>
    </row>
    <row r="692" spans="2:14" ht="1.5" customHeight="1">
      <c r="B692" s="57"/>
      <c r="C692" s="60"/>
      <c r="D692" s="60"/>
      <c r="E692" s="60"/>
      <c r="F692" s="60"/>
      <c r="G692" s="60"/>
      <c r="J692" s="99"/>
      <c r="K692" s="99"/>
      <c r="L692" s="99"/>
      <c r="M692" s="99"/>
      <c r="N692" s="43">
        <f t="shared" si="10"/>
        <v>0</v>
      </c>
    </row>
    <row r="693" spans="2:14" ht="1.5" customHeight="1">
      <c r="B693" s="57"/>
      <c r="C693" s="60"/>
      <c r="D693" s="60"/>
      <c r="E693" s="60"/>
      <c r="F693" s="60"/>
      <c r="G693" s="60"/>
      <c r="J693" s="99"/>
      <c r="K693" s="99"/>
      <c r="L693" s="99"/>
      <c r="M693" s="99"/>
      <c r="N693" s="43">
        <f t="shared" si="10"/>
        <v>0</v>
      </c>
    </row>
    <row r="694" spans="2:14" ht="1.5" customHeight="1">
      <c r="B694" s="57"/>
      <c r="C694" s="60"/>
      <c r="D694" s="60"/>
      <c r="E694" s="60"/>
      <c r="F694" s="60"/>
      <c r="G694" s="60"/>
      <c r="J694" s="99"/>
      <c r="K694" s="99"/>
      <c r="L694" s="99"/>
      <c r="M694" s="99"/>
      <c r="N694" s="43">
        <f t="shared" si="10"/>
        <v>0</v>
      </c>
    </row>
    <row r="695" spans="2:14" ht="1.5" customHeight="1">
      <c r="B695" s="57"/>
      <c r="C695" s="60"/>
      <c r="D695" s="60"/>
      <c r="E695" s="60"/>
      <c r="F695" s="60"/>
      <c r="G695" s="60"/>
      <c r="J695" s="99"/>
      <c r="K695" s="99"/>
      <c r="L695" s="99"/>
      <c r="M695" s="99"/>
      <c r="N695" s="43">
        <f t="shared" si="10"/>
        <v>0</v>
      </c>
    </row>
    <row r="696" spans="2:14" ht="1.5" customHeight="1">
      <c r="B696" s="57"/>
      <c r="C696" s="60"/>
      <c r="D696" s="60"/>
      <c r="E696" s="60"/>
      <c r="F696" s="60"/>
      <c r="G696" s="60"/>
      <c r="J696" s="99"/>
      <c r="K696" s="99"/>
      <c r="L696" s="99"/>
      <c r="M696" s="99"/>
      <c r="N696" s="43">
        <f t="shared" si="10"/>
        <v>0</v>
      </c>
    </row>
    <row r="697" spans="2:14" ht="1.5" customHeight="1">
      <c r="B697" s="57"/>
      <c r="C697" s="60"/>
      <c r="D697" s="60"/>
      <c r="E697" s="60"/>
      <c r="F697" s="60"/>
      <c r="G697" s="60"/>
      <c r="J697" s="99"/>
      <c r="K697" s="99"/>
      <c r="L697" s="99"/>
      <c r="M697" s="99"/>
      <c r="N697" s="43">
        <f t="shared" si="10"/>
        <v>0</v>
      </c>
    </row>
    <row r="698" spans="2:14" ht="1.5" customHeight="1">
      <c r="B698" s="57"/>
      <c r="C698" s="60"/>
      <c r="D698" s="60"/>
      <c r="E698" s="60"/>
      <c r="F698" s="60"/>
      <c r="G698" s="60"/>
      <c r="J698" s="99"/>
      <c r="K698" s="99"/>
      <c r="L698" s="99"/>
      <c r="M698" s="99"/>
      <c r="N698" s="43">
        <f t="shared" si="10"/>
        <v>0</v>
      </c>
    </row>
    <row r="699" spans="2:14" ht="1.5" customHeight="1">
      <c r="B699" s="57"/>
      <c r="C699" s="60"/>
      <c r="D699" s="60"/>
      <c r="E699" s="60"/>
      <c r="F699" s="60"/>
      <c r="G699" s="60"/>
      <c r="J699" s="99"/>
      <c r="K699" s="99"/>
      <c r="L699" s="99"/>
      <c r="M699" s="99"/>
      <c r="N699" s="43">
        <f t="shared" si="10"/>
        <v>0</v>
      </c>
    </row>
    <row r="700" spans="2:14" ht="1.5" customHeight="1">
      <c r="B700" s="57"/>
      <c r="C700" s="60"/>
      <c r="D700" s="60"/>
      <c r="E700" s="60"/>
      <c r="F700" s="60"/>
      <c r="G700" s="60"/>
      <c r="J700" s="99"/>
      <c r="K700" s="99"/>
      <c r="L700" s="99"/>
      <c r="M700" s="99"/>
      <c r="N700" s="43">
        <f t="shared" si="10"/>
        <v>0</v>
      </c>
    </row>
    <row r="701" spans="2:14" ht="1.5" customHeight="1">
      <c r="B701" s="57"/>
      <c r="C701" s="60"/>
      <c r="D701" s="60"/>
      <c r="E701" s="60"/>
      <c r="F701" s="60"/>
      <c r="G701" s="60"/>
      <c r="J701" s="99"/>
      <c r="K701" s="99"/>
      <c r="L701" s="99"/>
      <c r="M701" s="99"/>
      <c r="N701" s="43">
        <f t="shared" si="10"/>
        <v>0</v>
      </c>
    </row>
    <row r="702" spans="2:14" ht="1.5" customHeight="1">
      <c r="B702" s="57"/>
      <c r="C702" s="60"/>
      <c r="D702" s="60"/>
      <c r="E702" s="60"/>
      <c r="F702" s="60"/>
      <c r="G702" s="60"/>
      <c r="J702" s="99"/>
      <c r="K702" s="99"/>
      <c r="L702" s="99"/>
      <c r="M702" s="99"/>
      <c r="N702" s="43">
        <f t="shared" si="10"/>
        <v>0</v>
      </c>
    </row>
    <row r="703" spans="2:14" ht="1.5" customHeight="1">
      <c r="B703" s="57"/>
      <c r="C703" s="60"/>
      <c r="D703" s="60"/>
      <c r="E703" s="60"/>
      <c r="F703" s="60"/>
      <c r="G703" s="60"/>
      <c r="J703" s="99"/>
      <c r="K703" s="99"/>
      <c r="L703" s="99"/>
      <c r="M703" s="99"/>
      <c r="N703" s="43">
        <f t="shared" si="10"/>
        <v>0</v>
      </c>
    </row>
    <row r="704" spans="2:14" ht="1.5" customHeight="1">
      <c r="B704" s="57"/>
      <c r="C704" s="60"/>
      <c r="D704" s="60"/>
      <c r="E704" s="60"/>
      <c r="F704" s="60"/>
      <c r="G704" s="60"/>
      <c r="J704" s="99"/>
      <c r="K704" s="99"/>
      <c r="L704" s="99"/>
      <c r="M704" s="99"/>
      <c r="N704" s="43">
        <f t="shared" si="10"/>
        <v>0</v>
      </c>
    </row>
    <row r="705" spans="2:14" ht="1.5" customHeight="1">
      <c r="B705" s="57"/>
      <c r="C705" s="60"/>
      <c r="D705" s="60"/>
      <c r="E705" s="60"/>
      <c r="F705" s="60"/>
      <c r="G705" s="60"/>
      <c r="J705" s="99"/>
      <c r="K705" s="99"/>
      <c r="L705" s="99"/>
      <c r="M705" s="99"/>
      <c r="N705" s="43">
        <f t="shared" si="10"/>
        <v>0</v>
      </c>
    </row>
    <row r="706" spans="2:14" ht="1.5" customHeight="1">
      <c r="B706" s="57"/>
      <c r="C706" s="60"/>
      <c r="D706" s="60"/>
      <c r="E706" s="60"/>
      <c r="F706" s="60"/>
      <c r="G706" s="60"/>
      <c r="J706" s="99"/>
      <c r="K706" s="99"/>
      <c r="L706" s="99"/>
      <c r="M706" s="99"/>
      <c r="N706" s="43">
        <f t="shared" si="10"/>
        <v>0</v>
      </c>
    </row>
    <row r="707" spans="2:14" ht="1.5" customHeight="1">
      <c r="B707" s="57"/>
      <c r="C707" s="60"/>
      <c r="D707" s="60"/>
      <c r="E707" s="60"/>
      <c r="F707" s="60"/>
      <c r="G707" s="60"/>
      <c r="J707" s="99"/>
      <c r="K707" s="99"/>
      <c r="L707" s="99"/>
      <c r="M707" s="99"/>
      <c r="N707" s="43">
        <f t="shared" si="10"/>
        <v>0</v>
      </c>
    </row>
    <row r="708" spans="2:14" ht="1.5" customHeight="1">
      <c r="B708" s="57"/>
      <c r="C708" s="60"/>
      <c r="D708" s="60"/>
      <c r="E708" s="60"/>
      <c r="F708" s="60"/>
      <c r="G708" s="60"/>
      <c r="J708" s="99"/>
      <c r="K708" s="99"/>
      <c r="L708" s="99"/>
      <c r="M708" s="99"/>
      <c r="N708" s="43">
        <f t="shared" si="10"/>
        <v>0</v>
      </c>
    </row>
    <row r="709" spans="2:14" ht="1.5" customHeight="1">
      <c r="B709" s="57"/>
      <c r="C709" s="60"/>
      <c r="D709" s="60"/>
      <c r="E709" s="60"/>
      <c r="F709" s="60"/>
      <c r="G709" s="60"/>
      <c r="J709" s="99"/>
      <c r="K709" s="99"/>
      <c r="L709" s="99"/>
      <c r="M709" s="99"/>
      <c r="N709" s="43">
        <f t="shared" si="10"/>
        <v>0</v>
      </c>
    </row>
    <row r="710" spans="2:14" ht="1.5" customHeight="1">
      <c r="B710" s="57"/>
      <c r="C710" s="60"/>
      <c r="D710" s="60"/>
      <c r="E710" s="60"/>
      <c r="F710" s="60"/>
      <c r="G710" s="60"/>
      <c r="J710" s="99"/>
      <c r="K710" s="99"/>
      <c r="L710" s="99"/>
      <c r="M710" s="99"/>
      <c r="N710" s="43">
        <f t="shared" si="10"/>
        <v>0</v>
      </c>
    </row>
    <row r="711" spans="2:14" ht="1.5" customHeight="1">
      <c r="B711" s="57"/>
      <c r="C711" s="60"/>
      <c r="D711" s="60"/>
      <c r="E711" s="60"/>
      <c r="F711" s="60"/>
      <c r="G711" s="60"/>
      <c r="J711" s="99"/>
      <c r="K711" s="99"/>
      <c r="L711" s="99"/>
      <c r="M711" s="99"/>
      <c r="N711" s="43">
        <f t="shared" si="10"/>
        <v>0</v>
      </c>
    </row>
    <row r="712" spans="2:14" ht="1.5" customHeight="1">
      <c r="B712" s="57"/>
      <c r="C712" s="60"/>
      <c r="D712" s="60"/>
      <c r="E712" s="60"/>
      <c r="F712" s="60"/>
      <c r="G712" s="60"/>
      <c r="J712" s="99"/>
      <c r="K712" s="99"/>
      <c r="L712" s="99"/>
      <c r="M712" s="99"/>
      <c r="N712" s="43">
        <f t="shared" si="10"/>
        <v>0</v>
      </c>
    </row>
    <row r="713" spans="2:14" ht="1.5" customHeight="1">
      <c r="B713" s="57"/>
      <c r="C713" s="60"/>
      <c r="D713" s="60"/>
      <c r="E713" s="60"/>
      <c r="F713" s="60"/>
      <c r="G713" s="60"/>
      <c r="J713" s="99"/>
      <c r="K713" s="99"/>
      <c r="L713" s="99"/>
      <c r="M713" s="99"/>
      <c r="N713" s="43">
        <f t="shared" si="10"/>
        <v>0</v>
      </c>
    </row>
    <row r="714" spans="2:14" ht="1.5" customHeight="1">
      <c r="B714" s="57"/>
      <c r="C714" s="60"/>
      <c r="D714" s="60"/>
      <c r="E714" s="60"/>
      <c r="F714" s="60"/>
      <c r="G714" s="60"/>
      <c r="J714" s="99"/>
      <c r="K714" s="99"/>
      <c r="L714" s="99"/>
      <c r="M714" s="99"/>
      <c r="N714" s="43">
        <f t="shared" si="10"/>
        <v>0</v>
      </c>
    </row>
    <row r="715" spans="2:14" ht="1.5" customHeight="1">
      <c r="B715" s="57"/>
      <c r="C715" s="60"/>
      <c r="D715" s="60"/>
      <c r="E715" s="60"/>
      <c r="F715" s="60"/>
      <c r="G715" s="60"/>
      <c r="J715" s="99"/>
      <c r="K715" s="99"/>
      <c r="L715" s="99"/>
      <c r="M715" s="99"/>
      <c r="N715" s="43">
        <f t="shared" ref="N715:N778" si="11">IF($L$4=$C$10,C715,IF(D715="","",B715))</f>
        <v>0</v>
      </c>
    </row>
    <row r="716" spans="2:14" ht="1.5" customHeight="1">
      <c r="B716" s="57"/>
      <c r="C716" s="60"/>
      <c r="D716" s="60"/>
      <c r="E716" s="60"/>
      <c r="F716" s="60"/>
      <c r="G716" s="60"/>
      <c r="J716" s="99"/>
      <c r="K716" s="99"/>
      <c r="L716" s="99"/>
      <c r="M716" s="99"/>
      <c r="N716" s="43">
        <f t="shared" si="11"/>
        <v>0</v>
      </c>
    </row>
    <row r="717" spans="2:14" ht="1.5" customHeight="1">
      <c r="B717" s="57"/>
      <c r="C717" s="60"/>
      <c r="D717" s="60"/>
      <c r="E717" s="60"/>
      <c r="F717" s="60"/>
      <c r="G717" s="60"/>
      <c r="J717" s="99"/>
      <c r="K717" s="99"/>
      <c r="L717" s="99"/>
      <c r="M717" s="99"/>
      <c r="N717" s="43">
        <f t="shared" si="11"/>
        <v>0</v>
      </c>
    </row>
    <row r="718" spans="2:14" ht="1.5" customHeight="1">
      <c r="B718" s="57"/>
      <c r="C718" s="60"/>
      <c r="D718" s="60"/>
      <c r="E718" s="60"/>
      <c r="F718" s="60"/>
      <c r="G718" s="60"/>
      <c r="J718" s="99"/>
      <c r="K718" s="99"/>
      <c r="L718" s="99"/>
      <c r="M718" s="99"/>
      <c r="N718" s="43">
        <f t="shared" si="11"/>
        <v>0</v>
      </c>
    </row>
    <row r="719" spans="2:14" ht="1.5" customHeight="1">
      <c r="B719" s="57"/>
      <c r="C719" s="60"/>
      <c r="D719" s="60"/>
      <c r="E719" s="60"/>
      <c r="F719" s="60"/>
      <c r="G719" s="60"/>
      <c r="J719" s="99"/>
      <c r="K719" s="99"/>
      <c r="L719" s="99"/>
      <c r="M719" s="99"/>
      <c r="N719" s="43">
        <f t="shared" si="11"/>
        <v>0</v>
      </c>
    </row>
    <row r="720" spans="2:14" ht="1.5" customHeight="1">
      <c r="B720" s="57"/>
      <c r="C720" s="60"/>
      <c r="D720" s="60"/>
      <c r="E720" s="60"/>
      <c r="F720" s="60"/>
      <c r="G720" s="60"/>
      <c r="J720" s="99"/>
      <c r="K720" s="99"/>
      <c r="L720" s="99"/>
      <c r="M720" s="99"/>
      <c r="N720" s="43">
        <f t="shared" si="11"/>
        <v>0</v>
      </c>
    </row>
    <row r="721" spans="2:14" ht="1.5" customHeight="1">
      <c r="B721" s="57"/>
      <c r="C721" s="60"/>
      <c r="D721" s="60"/>
      <c r="E721" s="60"/>
      <c r="F721" s="60"/>
      <c r="G721" s="60"/>
      <c r="J721" s="99"/>
      <c r="K721" s="99"/>
      <c r="L721" s="99"/>
      <c r="M721" s="99"/>
      <c r="N721" s="43">
        <f t="shared" si="11"/>
        <v>0</v>
      </c>
    </row>
    <row r="722" spans="2:14" ht="1.5" customHeight="1">
      <c r="B722" s="57"/>
      <c r="C722" s="60"/>
      <c r="D722" s="60"/>
      <c r="E722" s="60"/>
      <c r="F722" s="60"/>
      <c r="G722" s="60"/>
      <c r="J722" s="99"/>
      <c r="K722" s="99"/>
      <c r="L722" s="99"/>
      <c r="M722" s="99"/>
      <c r="N722" s="43">
        <f t="shared" si="11"/>
        <v>0</v>
      </c>
    </row>
    <row r="723" spans="2:14" ht="1.5" customHeight="1">
      <c r="B723" s="57"/>
      <c r="C723" s="60"/>
      <c r="D723" s="60"/>
      <c r="E723" s="60"/>
      <c r="F723" s="60"/>
      <c r="G723" s="60"/>
      <c r="J723" s="99"/>
      <c r="K723" s="99"/>
      <c r="L723" s="99"/>
      <c r="M723" s="99"/>
      <c r="N723" s="43">
        <f t="shared" si="11"/>
        <v>0</v>
      </c>
    </row>
    <row r="724" spans="2:14" ht="1.5" customHeight="1">
      <c r="B724" s="57"/>
      <c r="C724" s="60"/>
      <c r="D724" s="60"/>
      <c r="E724" s="60"/>
      <c r="F724" s="60"/>
      <c r="G724" s="60"/>
      <c r="J724" s="99"/>
      <c r="K724" s="99"/>
      <c r="L724" s="99"/>
      <c r="M724" s="99"/>
      <c r="N724" s="43">
        <f t="shared" si="11"/>
        <v>0</v>
      </c>
    </row>
    <row r="725" spans="2:14" ht="1.5" customHeight="1">
      <c r="B725" s="57"/>
      <c r="C725" s="60"/>
      <c r="D725" s="60"/>
      <c r="E725" s="60"/>
      <c r="F725" s="60"/>
      <c r="G725" s="60"/>
      <c r="J725" s="99"/>
      <c r="K725" s="99"/>
      <c r="L725" s="99"/>
      <c r="M725" s="99"/>
      <c r="N725" s="43">
        <f t="shared" si="11"/>
        <v>0</v>
      </c>
    </row>
    <row r="726" spans="2:14" ht="1.5" customHeight="1">
      <c r="B726" s="57"/>
      <c r="C726" s="60"/>
      <c r="D726" s="60"/>
      <c r="E726" s="60"/>
      <c r="F726" s="60"/>
      <c r="G726" s="60"/>
      <c r="J726" s="99"/>
      <c r="K726" s="99"/>
      <c r="L726" s="99"/>
      <c r="M726" s="99"/>
      <c r="N726" s="43">
        <f t="shared" si="11"/>
        <v>0</v>
      </c>
    </row>
    <row r="727" spans="2:14" ht="1.5" customHeight="1">
      <c r="B727" s="57"/>
      <c r="C727" s="60"/>
      <c r="D727" s="60"/>
      <c r="E727" s="60"/>
      <c r="F727" s="60"/>
      <c r="G727" s="60"/>
      <c r="J727" s="99"/>
      <c r="K727" s="99"/>
      <c r="L727" s="99"/>
      <c r="M727" s="99"/>
      <c r="N727" s="43">
        <f t="shared" si="11"/>
        <v>0</v>
      </c>
    </row>
    <row r="728" spans="2:14" ht="1.5" customHeight="1">
      <c r="B728" s="57"/>
      <c r="C728" s="60"/>
      <c r="D728" s="60"/>
      <c r="E728" s="60"/>
      <c r="F728" s="60"/>
      <c r="G728" s="60"/>
      <c r="J728" s="99"/>
      <c r="K728" s="99"/>
      <c r="L728" s="99"/>
      <c r="M728" s="99"/>
      <c r="N728" s="43">
        <f t="shared" si="11"/>
        <v>0</v>
      </c>
    </row>
    <row r="729" spans="2:14" ht="1.5" customHeight="1">
      <c r="B729" s="57"/>
      <c r="C729" s="60"/>
      <c r="D729" s="60"/>
      <c r="E729" s="60"/>
      <c r="F729" s="60"/>
      <c r="G729" s="60"/>
      <c r="J729" s="99"/>
      <c r="K729" s="99"/>
      <c r="L729" s="99"/>
      <c r="M729" s="99"/>
      <c r="N729" s="43">
        <f t="shared" si="11"/>
        <v>0</v>
      </c>
    </row>
    <row r="730" spans="2:14" ht="1.5" customHeight="1">
      <c r="B730" s="57"/>
      <c r="C730" s="60"/>
      <c r="D730" s="60"/>
      <c r="E730" s="60"/>
      <c r="F730" s="60"/>
      <c r="G730" s="60"/>
      <c r="J730" s="99"/>
      <c r="K730" s="99"/>
      <c r="L730" s="99"/>
      <c r="M730" s="99"/>
      <c r="N730" s="43">
        <f t="shared" si="11"/>
        <v>0</v>
      </c>
    </row>
    <row r="731" spans="2:14" ht="1.5" customHeight="1">
      <c r="B731" s="57"/>
      <c r="C731" s="60"/>
      <c r="D731" s="60"/>
      <c r="E731" s="60"/>
      <c r="F731" s="60"/>
      <c r="G731" s="60"/>
      <c r="J731" s="99"/>
      <c r="K731" s="99"/>
      <c r="L731" s="99"/>
      <c r="M731" s="99"/>
      <c r="N731" s="43">
        <f t="shared" si="11"/>
        <v>0</v>
      </c>
    </row>
    <row r="732" spans="2:14" ht="1.5" customHeight="1">
      <c r="B732" s="57"/>
      <c r="C732" s="60"/>
      <c r="D732" s="60"/>
      <c r="E732" s="60"/>
      <c r="F732" s="60"/>
      <c r="G732" s="60"/>
      <c r="J732" s="99"/>
      <c r="K732" s="99"/>
      <c r="L732" s="99"/>
      <c r="M732" s="99"/>
      <c r="N732" s="43">
        <f t="shared" si="11"/>
        <v>0</v>
      </c>
    </row>
    <row r="733" spans="2:14" ht="1.5" customHeight="1">
      <c r="B733" s="57"/>
      <c r="C733" s="60"/>
      <c r="D733" s="60"/>
      <c r="E733" s="60"/>
      <c r="F733" s="60"/>
      <c r="G733" s="60"/>
      <c r="J733" s="99"/>
      <c r="K733" s="99"/>
      <c r="L733" s="99"/>
      <c r="M733" s="99"/>
      <c r="N733" s="43">
        <f t="shared" si="11"/>
        <v>0</v>
      </c>
    </row>
    <row r="734" spans="2:14" ht="1.5" customHeight="1">
      <c r="B734" s="57"/>
      <c r="C734" s="60"/>
      <c r="D734" s="60"/>
      <c r="E734" s="60"/>
      <c r="F734" s="60"/>
      <c r="G734" s="60"/>
      <c r="J734" s="99"/>
      <c r="K734" s="99"/>
      <c r="L734" s="99"/>
      <c r="M734" s="99"/>
      <c r="N734" s="43">
        <f t="shared" si="11"/>
        <v>0</v>
      </c>
    </row>
    <row r="735" spans="2:14" ht="1.5" customHeight="1">
      <c r="B735" s="57"/>
      <c r="C735" s="60"/>
      <c r="D735" s="60"/>
      <c r="E735" s="60"/>
      <c r="F735" s="60"/>
      <c r="G735" s="60"/>
      <c r="J735" s="99"/>
      <c r="K735" s="99"/>
      <c r="L735" s="99"/>
      <c r="M735" s="99"/>
      <c r="N735" s="43">
        <f t="shared" si="11"/>
        <v>0</v>
      </c>
    </row>
    <row r="736" spans="2:14" ht="1.5" customHeight="1">
      <c r="B736" s="57"/>
      <c r="C736" s="60"/>
      <c r="D736" s="60"/>
      <c r="E736" s="60"/>
      <c r="F736" s="60"/>
      <c r="G736" s="60"/>
      <c r="J736" s="99"/>
      <c r="K736" s="99"/>
      <c r="L736" s="99"/>
      <c r="M736" s="99"/>
      <c r="N736" s="43">
        <f t="shared" si="11"/>
        <v>0</v>
      </c>
    </row>
    <row r="737" spans="2:14" ht="1.5" customHeight="1">
      <c r="B737" s="57"/>
      <c r="C737" s="60"/>
      <c r="D737" s="60"/>
      <c r="E737" s="60"/>
      <c r="F737" s="60"/>
      <c r="G737" s="60"/>
      <c r="J737" s="99"/>
      <c r="K737" s="99"/>
      <c r="L737" s="99"/>
      <c r="M737" s="99"/>
      <c r="N737" s="43">
        <f t="shared" si="11"/>
        <v>0</v>
      </c>
    </row>
    <row r="738" spans="2:14" ht="1.5" customHeight="1">
      <c r="B738" s="57"/>
      <c r="C738" s="60"/>
      <c r="D738" s="60"/>
      <c r="E738" s="60"/>
      <c r="F738" s="60"/>
      <c r="G738" s="60"/>
      <c r="J738" s="99"/>
      <c r="K738" s="99"/>
      <c r="L738" s="99"/>
      <c r="M738" s="99"/>
      <c r="N738" s="43">
        <f t="shared" si="11"/>
        <v>0</v>
      </c>
    </row>
    <row r="739" spans="2:14" ht="1.5" customHeight="1">
      <c r="B739" s="57"/>
      <c r="C739" s="60"/>
      <c r="D739" s="60"/>
      <c r="E739" s="60"/>
      <c r="F739" s="60"/>
      <c r="G739" s="60"/>
      <c r="J739" s="99"/>
      <c r="K739" s="99"/>
      <c r="L739" s="99"/>
      <c r="M739" s="99"/>
      <c r="N739" s="43">
        <f t="shared" si="11"/>
        <v>0</v>
      </c>
    </row>
    <row r="740" spans="2:14" ht="1.5" customHeight="1">
      <c r="B740" s="57"/>
      <c r="C740" s="60"/>
      <c r="D740" s="60"/>
      <c r="E740" s="60"/>
      <c r="F740" s="60"/>
      <c r="G740" s="60"/>
      <c r="J740" s="99"/>
      <c r="K740" s="99"/>
      <c r="L740" s="99"/>
      <c r="M740" s="99"/>
      <c r="N740" s="43">
        <f t="shared" si="11"/>
        <v>0</v>
      </c>
    </row>
    <row r="741" spans="2:14" ht="1.5" customHeight="1">
      <c r="B741" s="57"/>
      <c r="C741" s="60"/>
      <c r="D741" s="60"/>
      <c r="E741" s="60"/>
      <c r="F741" s="60"/>
      <c r="G741" s="60"/>
      <c r="J741" s="99"/>
      <c r="K741" s="99"/>
      <c r="L741" s="99"/>
      <c r="M741" s="99"/>
      <c r="N741" s="43">
        <f t="shared" si="11"/>
        <v>0</v>
      </c>
    </row>
    <row r="742" spans="2:14" ht="1.5" customHeight="1">
      <c r="B742" s="57"/>
      <c r="C742" s="60"/>
      <c r="D742" s="60"/>
      <c r="E742" s="60"/>
      <c r="F742" s="60"/>
      <c r="G742" s="60"/>
      <c r="J742" s="99"/>
      <c r="K742" s="99"/>
      <c r="L742" s="99"/>
      <c r="M742" s="99"/>
      <c r="N742" s="43">
        <f t="shared" si="11"/>
        <v>0</v>
      </c>
    </row>
    <row r="743" spans="2:14" ht="1.5" customHeight="1">
      <c r="B743" s="57"/>
      <c r="C743" s="60"/>
      <c r="D743" s="60"/>
      <c r="E743" s="60"/>
      <c r="F743" s="60"/>
      <c r="G743" s="60"/>
      <c r="J743" s="99"/>
      <c r="K743" s="99"/>
      <c r="L743" s="99"/>
      <c r="M743" s="99"/>
      <c r="N743" s="43">
        <f t="shared" si="11"/>
        <v>0</v>
      </c>
    </row>
    <row r="744" spans="2:14" ht="1.5" customHeight="1">
      <c r="B744" s="57"/>
      <c r="C744" s="60"/>
      <c r="D744" s="60"/>
      <c r="E744" s="60"/>
      <c r="F744" s="60"/>
      <c r="G744" s="60"/>
      <c r="J744" s="99"/>
      <c r="K744" s="99"/>
      <c r="L744" s="99"/>
      <c r="M744" s="99"/>
      <c r="N744" s="43">
        <f t="shared" si="11"/>
        <v>0</v>
      </c>
    </row>
    <row r="745" spans="2:14" ht="1.5" customHeight="1">
      <c r="B745" s="57"/>
      <c r="C745" s="60"/>
      <c r="D745" s="60"/>
      <c r="E745" s="60"/>
      <c r="F745" s="60"/>
      <c r="G745" s="60"/>
      <c r="J745" s="99"/>
      <c r="K745" s="99"/>
      <c r="L745" s="99"/>
      <c r="M745" s="99"/>
      <c r="N745" s="43">
        <f t="shared" si="11"/>
        <v>0</v>
      </c>
    </row>
    <row r="746" spans="2:14" ht="1.5" customHeight="1">
      <c r="B746" s="57"/>
      <c r="C746" s="60"/>
      <c r="D746" s="60"/>
      <c r="E746" s="60"/>
      <c r="F746" s="60"/>
      <c r="G746" s="60"/>
      <c r="J746" s="99"/>
      <c r="K746" s="99"/>
      <c r="L746" s="99"/>
      <c r="M746" s="99"/>
      <c r="N746" s="43">
        <f t="shared" si="11"/>
        <v>0</v>
      </c>
    </row>
    <row r="747" spans="2:14" ht="1.5" customHeight="1">
      <c r="B747" s="57"/>
      <c r="C747" s="60"/>
      <c r="D747" s="60"/>
      <c r="E747" s="60"/>
      <c r="F747" s="60"/>
      <c r="G747" s="60"/>
      <c r="J747" s="99"/>
      <c r="K747" s="99"/>
      <c r="L747" s="99"/>
      <c r="M747" s="99"/>
      <c r="N747" s="43">
        <f t="shared" si="11"/>
        <v>0</v>
      </c>
    </row>
    <row r="748" spans="2:14" ht="1.5" customHeight="1">
      <c r="B748" s="57"/>
      <c r="C748" s="60"/>
      <c r="D748" s="60"/>
      <c r="E748" s="60"/>
      <c r="F748" s="60"/>
      <c r="G748" s="60"/>
      <c r="J748" s="99"/>
      <c r="K748" s="99"/>
      <c r="L748" s="99"/>
      <c r="M748" s="99"/>
      <c r="N748" s="43">
        <f t="shared" si="11"/>
        <v>0</v>
      </c>
    </row>
    <row r="749" spans="2:14" ht="1.5" customHeight="1">
      <c r="B749" s="57"/>
      <c r="C749" s="60"/>
      <c r="D749" s="60"/>
      <c r="E749" s="60"/>
      <c r="F749" s="60"/>
      <c r="G749" s="60"/>
      <c r="J749" s="99"/>
      <c r="K749" s="99"/>
      <c r="L749" s="99"/>
      <c r="M749" s="99"/>
      <c r="N749" s="43">
        <f t="shared" si="11"/>
        <v>0</v>
      </c>
    </row>
    <row r="750" spans="2:14" ht="1.5" customHeight="1">
      <c r="B750" s="57"/>
      <c r="C750" s="60"/>
      <c r="D750" s="60"/>
      <c r="E750" s="60"/>
      <c r="F750" s="60"/>
      <c r="G750" s="60"/>
      <c r="J750" s="99"/>
      <c r="K750" s="99"/>
      <c r="L750" s="99"/>
      <c r="M750" s="99"/>
      <c r="N750" s="43">
        <f t="shared" si="11"/>
        <v>0</v>
      </c>
    </row>
    <row r="751" spans="2:14" ht="1.5" customHeight="1">
      <c r="B751" s="57"/>
      <c r="C751" s="60"/>
      <c r="D751" s="60"/>
      <c r="E751" s="60"/>
      <c r="F751" s="60"/>
      <c r="G751" s="60"/>
      <c r="J751" s="99"/>
      <c r="K751" s="99"/>
      <c r="L751" s="99"/>
      <c r="M751" s="99"/>
      <c r="N751" s="43">
        <f t="shared" si="11"/>
        <v>0</v>
      </c>
    </row>
    <row r="752" spans="2:14" ht="1.5" customHeight="1">
      <c r="B752" s="57"/>
      <c r="C752" s="60"/>
      <c r="D752" s="60"/>
      <c r="E752" s="60"/>
      <c r="F752" s="60"/>
      <c r="G752" s="60"/>
      <c r="J752" s="99"/>
      <c r="K752" s="99"/>
      <c r="L752" s="99"/>
      <c r="M752" s="99"/>
      <c r="N752" s="43">
        <f t="shared" si="11"/>
        <v>0</v>
      </c>
    </row>
    <row r="753" spans="2:14" ht="1.5" customHeight="1">
      <c r="B753" s="57"/>
      <c r="C753" s="60"/>
      <c r="D753" s="60"/>
      <c r="E753" s="60"/>
      <c r="F753" s="60"/>
      <c r="G753" s="60"/>
      <c r="J753" s="99"/>
      <c r="K753" s="99"/>
      <c r="L753" s="99"/>
      <c r="M753" s="99"/>
      <c r="N753" s="43">
        <f t="shared" si="11"/>
        <v>0</v>
      </c>
    </row>
    <row r="754" spans="2:14" ht="1.5" customHeight="1">
      <c r="B754" s="57"/>
      <c r="C754" s="60"/>
      <c r="D754" s="60"/>
      <c r="E754" s="60"/>
      <c r="F754" s="60"/>
      <c r="G754" s="60"/>
      <c r="J754" s="99"/>
      <c r="K754" s="99"/>
      <c r="L754" s="99"/>
      <c r="M754" s="99"/>
      <c r="N754" s="43">
        <f t="shared" si="11"/>
        <v>0</v>
      </c>
    </row>
    <row r="755" spans="2:14" ht="1.5" customHeight="1">
      <c r="B755" s="57"/>
      <c r="C755" s="60"/>
      <c r="D755" s="60"/>
      <c r="E755" s="60"/>
      <c r="F755" s="60"/>
      <c r="G755" s="60"/>
      <c r="J755" s="99"/>
      <c r="K755" s="99"/>
      <c r="L755" s="99"/>
      <c r="M755" s="99"/>
      <c r="N755" s="43">
        <f t="shared" si="11"/>
        <v>0</v>
      </c>
    </row>
    <row r="756" spans="2:14" ht="1.5" customHeight="1">
      <c r="B756" s="57"/>
      <c r="C756" s="60"/>
      <c r="D756" s="60"/>
      <c r="E756" s="60"/>
      <c r="F756" s="60"/>
      <c r="G756" s="60"/>
      <c r="J756" s="99"/>
      <c r="K756" s="99"/>
      <c r="L756" s="99"/>
      <c r="M756" s="99"/>
      <c r="N756" s="43">
        <f t="shared" si="11"/>
        <v>0</v>
      </c>
    </row>
    <row r="757" spans="2:14" ht="1.5" customHeight="1">
      <c r="B757" s="57"/>
      <c r="C757" s="60"/>
      <c r="D757" s="60"/>
      <c r="E757" s="60"/>
      <c r="F757" s="60"/>
      <c r="G757" s="60"/>
      <c r="J757" s="99"/>
      <c r="K757" s="99"/>
      <c r="L757" s="99"/>
      <c r="M757" s="99"/>
      <c r="N757" s="43">
        <f t="shared" si="11"/>
        <v>0</v>
      </c>
    </row>
    <row r="758" spans="2:14" ht="1.5" customHeight="1">
      <c r="B758" s="57"/>
      <c r="C758" s="60"/>
      <c r="D758" s="60"/>
      <c r="E758" s="60"/>
      <c r="F758" s="60"/>
      <c r="G758" s="60"/>
      <c r="J758" s="99"/>
      <c r="K758" s="99"/>
      <c r="L758" s="99"/>
      <c r="M758" s="99"/>
      <c r="N758" s="43">
        <f t="shared" si="11"/>
        <v>0</v>
      </c>
    </row>
    <row r="759" spans="2:14" ht="1.5" customHeight="1">
      <c r="B759" s="57"/>
      <c r="C759" s="60"/>
      <c r="D759" s="60"/>
      <c r="E759" s="60"/>
      <c r="F759" s="60"/>
      <c r="G759" s="60"/>
      <c r="J759" s="99"/>
      <c r="K759" s="99"/>
      <c r="L759" s="99"/>
      <c r="M759" s="99"/>
      <c r="N759" s="43">
        <f t="shared" si="11"/>
        <v>0</v>
      </c>
    </row>
    <row r="760" spans="2:14" ht="1.5" customHeight="1">
      <c r="B760" s="57"/>
      <c r="C760" s="60"/>
      <c r="D760" s="60"/>
      <c r="E760" s="60"/>
      <c r="F760" s="60"/>
      <c r="G760" s="60"/>
      <c r="J760" s="99"/>
      <c r="K760" s="99"/>
      <c r="L760" s="99"/>
      <c r="M760" s="99"/>
      <c r="N760" s="43">
        <f t="shared" si="11"/>
        <v>0</v>
      </c>
    </row>
    <row r="761" spans="2:14" ht="1.5" customHeight="1">
      <c r="B761" s="57"/>
      <c r="C761" s="60"/>
      <c r="D761" s="60"/>
      <c r="E761" s="60"/>
      <c r="F761" s="60"/>
      <c r="G761" s="60"/>
      <c r="J761" s="99"/>
      <c r="K761" s="99"/>
      <c r="L761" s="99"/>
      <c r="M761" s="99"/>
      <c r="N761" s="43">
        <f t="shared" si="11"/>
        <v>0</v>
      </c>
    </row>
    <row r="762" spans="2:14" ht="1.5" customHeight="1">
      <c r="B762" s="57"/>
      <c r="C762" s="60"/>
      <c r="D762" s="60"/>
      <c r="E762" s="60"/>
      <c r="F762" s="60"/>
      <c r="G762" s="60"/>
      <c r="J762" s="99"/>
      <c r="K762" s="99"/>
      <c r="L762" s="99"/>
      <c r="M762" s="99"/>
      <c r="N762" s="43">
        <f t="shared" si="11"/>
        <v>0</v>
      </c>
    </row>
    <row r="763" spans="2:14" ht="1.5" customHeight="1">
      <c r="B763" s="57"/>
      <c r="C763" s="60"/>
      <c r="D763" s="60"/>
      <c r="E763" s="60"/>
      <c r="F763" s="60"/>
      <c r="G763" s="60"/>
      <c r="J763" s="99"/>
      <c r="K763" s="99"/>
      <c r="L763" s="99"/>
      <c r="M763" s="99"/>
      <c r="N763" s="43">
        <f t="shared" si="11"/>
        <v>0</v>
      </c>
    </row>
    <row r="764" spans="2:14" ht="1.5" customHeight="1">
      <c r="B764" s="57"/>
      <c r="C764" s="60"/>
      <c r="D764" s="60"/>
      <c r="E764" s="60"/>
      <c r="F764" s="60"/>
      <c r="G764" s="60"/>
      <c r="J764" s="99"/>
      <c r="K764" s="99"/>
      <c r="L764" s="99"/>
      <c r="M764" s="99"/>
      <c r="N764" s="43">
        <f t="shared" si="11"/>
        <v>0</v>
      </c>
    </row>
    <row r="765" spans="2:14" ht="1.5" customHeight="1">
      <c r="B765" s="57"/>
      <c r="C765" s="60"/>
      <c r="D765" s="60"/>
      <c r="E765" s="60"/>
      <c r="F765" s="60"/>
      <c r="G765" s="60"/>
      <c r="J765" s="99"/>
      <c r="K765" s="99"/>
      <c r="L765" s="99"/>
      <c r="M765" s="99"/>
      <c r="N765" s="43">
        <f t="shared" si="11"/>
        <v>0</v>
      </c>
    </row>
    <row r="766" spans="2:14" ht="1.5" customHeight="1">
      <c r="B766" s="57"/>
      <c r="C766" s="60"/>
      <c r="D766" s="60"/>
      <c r="E766" s="60"/>
      <c r="F766" s="60"/>
      <c r="G766" s="60"/>
      <c r="J766" s="99"/>
      <c r="K766" s="99"/>
      <c r="L766" s="99"/>
      <c r="M766" s="99"/>
      <c r="N766" s="43">
        <f t="shared" si="11"/>
        <v>0</v>
      </c>
    </row>
    <row r="767" spans="2:14" ht="1.5" customHeight="1">
      <c r="B767" s="57"/>
      <c r="C767" s="60"/>
      <c r="D767" s="60"/>
      <c r="E767" s="60"/>
      <c r="F767" s="60"/>
      <c r="G767" s="60"/>
      <c r="J767" s="99"/>
      <c r="K767" s="99"/>
      <c r="L767" s="99"/>
      <c r="M767" s="99"/>
      <c r="N767" s="43">
        <f t="shared" si="11"/>
        <v>0</v>
      </c>
    </row>
    <row r="768" spans="2:14" ht="1.5" customHeight="1">
      <c r="B768" s="57"/>
      <c r="C768" s="60"/>
      <c r="D768" s="60"/>
      <c r="E768" s="60"/>
      <c r="F768" s="60"/>
      <c r="G768" s="60"/>
      <c r="J768" s="99"/>
      <c r="K768" s="99"/>
      <c r="L768" s="99"/>
      <c r="M768" s="99"/>
      <c r="N768" s="43">
        <f t="shared" si="11"/>
        <v>0</v>
      </c>
    </row>
    <row r="769" spans="2:14" ht="1.5" customHeight="1">
      <c r="B769" s="57"/>
      <c r="C769" s="60"/>
      <c r="D769" s="60"/>
      <c r="E769" s="60"/>
      <c r="F769" s="60"/>
      <c r="G769" s="60"/>
      <c r="J769" s="99"/>
      <c r="K769" s="99"/>
      <c r="L769" s="99"/>
      <c r="M769" s="99"/>
      <c r="N769" s="43">
        <f t="shared" si="11"/>
        <v>0</v>
      </c>
    </row>
    <row r="770" spans="2:14" ht="1.5" customHeight="1">
      <c r="B770" s="57"/>
      <c r="C770" s="60"/>
      <c r="D770" s="60"/>
      <c r="E770" s="60"/>
      <c r="F770" s="60"/>
      <c r="G770" s="60"/>
      <c r="J770" s="99"/>
      <c r="K770" s="99"/>
      <c r="L770" s="99"/>
      <c r="M770" s="99"/>
      <c r="N770" s="43">
        <f t="shared" si="11"/>
        <v>0</v>
      </c>
    </row>
    <row r="771" spans="2:14" ht="1.5" customHeight="1">
      <c r="B771" s="57"/>
      <c r="C771" s="60"/>
      <c r="D771" s="60"/>
      <c r="E771" s="60"/>
      <c r="F771" s="60"/>
      <c r="G771" s="60"/>
      <c r="J771" s="99"/>
      <c r="K771" s="99"/>
      <c r="L771" s="99"/>
      <c r="M771" s="99"/>
      <c r="N771" s="43">
        <f t="shared" si="11"/>
        <v>0</v>
      </c>
    </row>
    <row r="772" spans="2:14" ht="1.5" customHeight="1">
      <c r="B772" s="57"/>
      <c r="C772" s="60"/>
      <c r="D772" s="60"/>
      <c r="E772" s="60"/>
      <c r="F772" s="60"/>
      <c r="G772" s="60"/>
      <c r="J772" s="99"/>
      <c r="K772" s="99"/>
      <c r="L772" s="99"/>
      <c r="M772" s="99"/>
      <c r="N772" s="43">
        <f t="shared" si="11"/>
        <v>0</v>
      </c>
    </row>
    <row r="773" spans="2:14" ht="1.5" customHeight="1">
      <c r="B773" s="57"/>
      <c r="C773" s="60"/>
      <c r="D773" s="60"/>
      <c r="E773" s="60"/>
      <c r="F773" s="60"/>
      <c r="G773" s="60"/>
      <c r="J773" s="99"/>
      <c r="K773" s="99"/>
      <c r="L773" s="99"/>
      <c r="M773" s="99"/>
      <c r="N773" s="43">
        <f t="shared" si="11"/>
        <v>0</v>
      </c>
    </row>
    <row r="774" spans="2:14" ht="1.5" customHeight="1">
      <c r="B774" s="57"/>
      <c r="C774" s="60"/>
      <c r="D774" s="60"/>
      <c r="E774" s="60"/>
      <c r="F774" s="60"/>
      <c r="G774" s="60"/>
      <c r="J774" s="99"/>
      <c r="K774" s="99"/>
      <c r="L774" s="99"/>
      <c r="M774" s="99"/>
      <c r="N774" s="43">
        <f t="shared" si="11"/>
        <v>0</v>
      </c>
    </row>
    <row r="775" spans="2:14" ht="1.5" customHeight="1">
      <c r="B775" s="57"/>
      <c r="C775" s="60"/>
      <c r="D775" s="60"/>
      <c r="E775" s="60"/>
      <c r="F775" s="60"/>
      <c r="G775" s="60"/>
      <c r="J775" s="99"/>
      <c r="K775" s="99"/>
      <c r="L775" s="99"/>
      <c r="M775" s="99"/>
      <c r="N775" s="43">
        <f t="shared" si="11"/>
        <v>0</v>
      </c>
    </row>
    <row r="776" spans="2:14" ht="1.5" customHeight="1">
      <c r="B776" s="57"/>
      <c r="C776" s="60"/>
      <c r="D776" s="60"/>
      <c r="E776" s="60"/>
      <c r="F776" s="60"/>
      <c r="G776" s="60"/>
      <c r="J776" s="99"/>
      <c r="K776" s="99"/>
      <c r="L776" s="99"/>
      <c r="M776" s="99"/>
      <c r="N776" s="43">
        <f t="shared" si="11"/>
        <v>0</v>
      </c>
    </row>
    <row r="777" spans="2:14" ht="1.5" customHeight="1">
      <c r="B777" s="57"/>
      <c r="C777" s="60"/>
      <c r="D777" s="60"/>
      <c r="E777" s="60"/>
      <c r="F777" s="60"/>
      <c r="G777" s="60"/>
      <c r="J777" s="99"/>
      <c r="K777" s="99"/>
      <c r="L777" s="99"/>
      <c r="M777" s="99"/>
      <c r="N777" s="43">
        <f t="shared" si="11"/>
        <v>0</v>
      </c>
    </row>
    <row r="778" spans="2:14" ht="1.5" customHeight="1">
      <c r="B778" s="57"/>
      <c r="C778" s="60"/>
      <c r="D778" s="60"/>
      <c r="E778" s="60"/>
      <c r="F778" s="60"/>
      <c r="G778" s="60"/>
      <c r="J778" s="99"/>
      <c r="K778" s="99"/>
      <c r="L778" s="99"/>
      <c r="M778" s="99"/>
      <c r="N778" s="43">
        <f t="shared" si="11"/>
        <v>0</v>
      </c>
    </row>
    <row r="779" spans="2:14" ht="1.5" customHeight="1">
      <c r="B779" s="57"/>
      <c r="C779" s="60"/>
      <c r="D779" s="60"/>
      <c r="E779" s="60"/>
      <c r="F779" s="60"/>
      <c r="G779" s="60"/>
      <c r="J779" s="99"/>
      <c r="K779" s="99"/>
      <c r="L779" s="99"/>
      <c r="M779" s="99"/>
      <c r="N779" s="43">
        <f t="shared" ref="N779:N811" si="12">IF($L$4=$C$10,C779,IF(D779="","",B779))</f>
        <v>0</v>
      </c>
    </row>
    <row r="780" spans="2:14" ht="1.5" customHeight="1">
      <c r="B780" s="57"/>
      <c r="C780" s="60"/>
      <c r="D780" s="60"/>
      <c r="E780" s="60"/>
      <c r="F780" s="60"/>
      <c r="G780" s="60"/>
      <c r="J780" s="99"/>
      <c r="K780" s="99"/>
      <c r="L780" s="99"/>
      <c r="M780" s="99"/>
      <c r="N780" s="43">
        <f t="shared" si="12"/>
        <v>0</v>
      </c>
    </row>
    <row r="781" spans="2:14" ht="1.5" customHeight="1">
      <c r="B781" s="57"/>
      <c r="C781" s="60"/>
      <c r="D781" s="60"/>
      <c r="E781" s="60"/>
      <c r="F781" s="60"/>
      <c r="G781" s="60"/>
      <c r="J781" s="99"/>
      <c r="K781" s="99"/>
      <c r="L781" s="99"/>
      <c r="M781" s="99"/>
      <c r="N781" s="43">
        <f t="shared" si="12"/>
        <v>0</v>
      </c>
    </row>
    <row r="782" spans="2:14" ht="1.5" customHeight="1">
      <c r="B782" s="57"/>
      <c r="C782" s="60"/>
      <c r="D782" s="60"/>
      <c r="E782" s="60"/>
      <c r="F782" s="60"/>
      <c r="G782" s="60"/>
      <c r="J782" s="99"/>
      <c r="K782" s="99"/>
      <c r="L782" s="99"/>
      <c r="M782" s="99"/>
      <c r="N782" s="43">
        <f t="shared" si="12"/>
        <v>0</v>
      </c>
    </row>
    <row r="783" spans="2:14" ht="1.5" customHeight="1">
      <c r="B783" s="57"/>
      <c r="C783" s="60"/>
      <c r="D783" s="60"/>
      <c r="E783" s="60"/>
      <c r="F783" s="60"/>
      <c r="G783" s="60"/>
      <c r="J783" s="99"/>
      <c r="K783" s="99"/>
      <c r="L783" s="99"/>
      <c r="M783" s="99"/>
      <c r="N783" s="43">
        <f t="shared" si="12"/>
        <v>0</v>
      </c>
    </row>
    <row r="784" spans="2:14" ht="1.5" customHeight="1">
      <c r="B784" s="57"/>
      <c r="C784" s="60"/>
      <c r="D784" s="60"/>
      <c r="E784" s="60"/>
      <c r="F784" s="60"/>
      <c r="G784" s="60"/>
      <c r="J784" s="99"/>
      <c r="K784" s="99"/>
      <c r="L784" s="99"/>
      <c r="M784" s="99"/>
      <c r="N784" s="43">
        <f t="shared" si="12"/>
        <v>0</v>
      </c>
    </row>
    <row r="785" spans="2:14" ht="1.5" customHeight="1">
      <c r="B785" s="57"/>
      <c r="C785" s="60"/>
      <c r="D785" s="60"/>
      <c r="E785" s="60"/>
      <c r="F785" s="60"/>
      <c r="G785" s="60"/>
      <c r="J785" s="99"/>
      <c r="K785" s="99"/>
      <c r="L785" s="99"/>
      <c r="M785" s="99"/>
      <c r="N785" s="43">
        <f t="shared" si="12"/>
        <v>0</v>
      </c>
    </row>
    <row r="786" spans="2:14" ht="1.5" customHeight="1">
      <c r="B786" s="57"/>
      <c r="C786" s="60"/>
      <c r="D786" s="60"/>
      <c r="E786" s="60"/>
      <c r="F786" s="60"/>
      <c r="G786" s="60"/>
      <c r="J786" s="99"/>
      <c r="K786" s="99"/>
      <c r="L786" s="99"/>
      <c r="M786" s="99"/>
      <c r="N786" s="43">
        <f t="shared" si="12"/>
        <v>0</v>
      </c>
    </row>
    <row r="787" spans="2:14" ht="1.5" customHeight="1">
      <c r="B787" s="57"/>
      <c r="C787" s="60"/>
      <c r="D787" s="60"/>
      <c r="E787" s="60"/>
      <c r="F787" s="60"/>
      <c r="G787" s="60"/>
      <c r="J787" s="99"/>
      <c r="K787" s="99"/>
      <c r="L787" s="99"/>
      <c r="M787" s="99"/>
      <c r="N787" s="43">
        <f t="shared" si="12"/>
        <v>0</v>
      </c>
    </row>
    <row r="788" spans="2:14" ht="1.5" customHeight="1">
      <c r="B788" s="57"/>
      <c r="C788" s="60"/>
      <c r="D788" s="60"/>
      <c r="E788" s="60"/>
      <c r="F788" s="60"/>
      <c r="G788" s="60"/>
      <c r="J788" s="99"/>
      <c r="K788" s="99"/>
      <c r="L788" s="99"/>
      <c r="M788" s="99"/>
      <c r="N788" s="43">
        <f t="shared" si="12"/>
        <v>0</v>
      </c>
    </row>
    <row r="789" spans="2:14" ht="1.5" customHeight="1">
      <c r="B789" s="57"/>
      <c r="C789" s="60"/>
      <c r="D789" s="60"/>
      <c r="E789" s="60"/>
      <c r="F789" s="60"/>
      <c r="G789" s="60"/>
      <c r="J789" s="99"/>
      <c r="K789" s="99"/>
      <c r="L789" s="99"/>
      <c r="M789" s="99"/>
      <c r="N789" s="43">
        <f t="shared" si="12"/>
        <v>0</v>
      </c>
    </row>
    <row r="790" spans="2:14" ht="1.5" customHeight="1">
      <c r="B790" s="57"/>
      <c r="C790" s="60"/>
      <c r="D790" s="60"/>
      <c r="E790" s="60"/>
      <c r="F790" s="60"/>
      <c r="G790" s="60"/>
      <c r="J790" s="99"/>
      <c r="K790" s="99"/>
      <c r="L790" s="99"/>
      <c r="M790" s="99"/>
      <c r="N790" s="43">
        <f t="shared" si="12"/>
        <v>0</v>
      </c>
    </row>
    <row r="791" spans="2:14" ht="1.5" customHeight="1">
      <c r="B791" s="57"/>
      <c r="C791" s="60"/>
      <c r="D791" s="60"/>
      <c r="E791" s="60"/>
      <c r="F791" s="60"/>
      <c r="G791" s="60"/>
      <c r="J791" s="99"/>
      <c r="K791" s="99"/>
      <c r="L791" s="99"/>
      <c r="M791" s="99"/>
      <c r="N791" s="43">
        <f t="shared" si="12"/>
        <v>0</v>
      </c>
    </row>
    <row r="792" spans="2:14" ht="1.5" customHeight="1">
      <c r="B792" s="57"/>
      <c r="C792" s="60"/>
      <c r="D792" s="60"/>
      <c r="E792" s="60"/>
      <c r="F792" s="60"/>
      <c r="G792" s="60"/>
      <c r="J792" s="99"/>
      <c r="K792" s="99"/>
      <c r="L792" s="99"/>
      <c r="M792" s="99"/>
      <c r="N792" s="43">
        <f t="shared" si="12"/>
        <v>0</v>
      </c>
    </row>
    <row r="793" spans="2:14" ht="1.5" customHeight="1">
      <c r="B793" s="57"/>
      <c r="C793" s="60"/>
      <c r="D793" s="60"/>
      <c r="E793" s="60"/>
      <c r="F793" s="60"/>
      <c r="G793" s="60"/>
      <c r="J793" s="99"/>
      <c r="K793" s="99"/>
      <c r="L793" s="99"/>
      <c r="M793" s="99"/>
      <c r="N793" s="43">
        <f t="shared" si="12"/>
        <v>0</v>
      </c>
    </row>
    <row r="794" spans="2:14" ht="1.5" customHeight="1">
      <c r="B794" s="57"/>
      <c r="C794" s="60"/>
      <c r="D794" s="60"/>
      <c r="E794" s="60"/>
      <c r="F794" s="60"/>
      <c r="G794" s="60"/>
      <c r="J794" s="99"/>
      <c r="K794" s="99"/>
      <c r="L794" s="99"/>
      <c r="M794" s="99"/>
      <c r="N794" s="43">
        <f t="shared" si="12"/>
        <v>0</v>
      </c>
    </row>
    <row r="795" spans="2:14" ht="1.5" customHeight="1">
      <c r="B795" s="57"/>
      <c r="C795" s="60"/>
      <c r="D795" s="60"/>
      <c r="E795" s="60"/>
      <c r="F795" s="60"/>
      <c r="G795" s="60"/>
      <c r="J795" s="99"/>
      <c r="K795" s="99"/>
      <c r="L795" s="99"/>
      <c r="M795" s="99"/>
      <c r="N795" s="43">
        <f t="shared" si="12"/>
        <v>0</v>
      </c>
    </row>
    <row r="796" spans="2:14" ht="1.5" customHeight="1">
      <c r="B796" s="57"/>
      <c r="C796" s="60"/>
      <c r="D796" s="60"/>
      <c r="E796" s="60"/>
      <c r="F796" s="60"/>
      <c r="G796" s="60"/>
      <c r="J796" s="99"/>
      <c r="K796" s="99"/>
      <c r="L796" s="99"/>
      <c r="M796" s="99"/>
      <c r="N796" s="43">
        <f t="shared" si="12"/>
        <v>0</v>
      </c>
    </row>
    <row r="797" spans="2:14" ht="1.5" customHeight="1">
      <c r="B797" s="57"/>
      <c r="C797" s="60"/>
      <c r="D797" s="60"/>
      <c r="E797" s="60"/>
      <c r="F797" s="60"/>
      <c r="G797" s="60"/>
      <c r="J797" s="99"/>
      <c r="K797" s="99"/>
      <c r="L797" s="99"/>
      <c r="M797" s="99"/>
      <c r="N797" s="43">
        <f t="shared" si="12"/>
        <v>0</v>
      </c>
    </row>
    <row r="798" spans="2:14" ht="1.5" customHeight="1">
      <c r="B798" s="57"/>
      <c r="C798" s="60"/>
      <c r="D798" s="60"/>
      <c r="E798" s="60"/>
      <c r="F798" s="60"/>
      <c r="G798" s="60"/>
      <c r="J798" s="99"/>
      <c r="K798" s="99"/>
      <c r="L798" s="99"/>
      <c r="M798" s="99"/>
      <c r="N798" s="43">
        <f t="shared" si="12"/>
        <v>0</v>
      </c>
    </row>
    <row r="799" spans="2:14" ht="1.5" customHeight="1">
      <c r="B799" s="57"/>
      <c r="C799" s="60"/>
      <c r="D799" s="60"/>
      <c r="E799" s="60"/>
      <c r="F799" s="60"/>
      <c r="G799" s="60"/>
      <c r="J799" s="99"/>
      <c r="K799" s="99"/>
      <c r="L799" s="99"/>
      <c r="M799" s="99"/>
      <c r="N799" s="43">
        <f t="shared" si="12"/>
        <v>0</v>
      </c>
    </row>
    <row r="800" spans="2:14" ht="1.5" customHeight="1">
      <c r="B800" s="57"/>
      <c r="C800" s="60"/>
      <c r="D800" s="60"/>
      <c r="E800" s="60"/>
      <c r="F800" s="60"/>
      <c r="G800" s="60"/>
      <c r="J800" s="99"/>
      <c r="K800" s="99"/>
      <c r="L800" s="99"/>
      <c r="M800" s="99"/>
      <c r="N800" s="43">
        <f t="shared" si="12"/>
        <v>0</v>
      </c>
    </row>
    <row r="801" spans="2:14" ht="1.5" customHeight="1">
      <c r="B801" s="57"/>
      <c r="C801" s="60"/>
      <c r="D801" s="60"/>
      <c r="E801" s="60"/>
      <c r="F801" s="60"/>
      <c r="G801" s="60"/>
      <c r="J801" s="99"/>
      <c r="K801" s="99"/>
      <c r="L801" s="99"/>
      <c r="M801" s="99"/>
      <c r="N801" s="43">
        <f t="shared" si="12"/>
        <v>0</v>
      </c>
    </row>
    <row r="802" spans="2:14" ht="1.5" customHeight="1">
      <c r="B802" s="57"/>
      <c r="C802" s="60"/>
      <c r="D802" s="60"/>
      <c r="E802" s="60"/>
      <c r="F802" s="60"/>
      <c r="G802" s="60"/>
      <c r="J802" s="99"/>
      <c r="K802" s="99"/>
      <c r="L802" s="99"/>
      <c r="M802" s="99"/>
      <c r="N802" s="43">
        <f t="shared" si="12"/>
        <v>0</v>
      </c>
    </row>
    <row r="803" spans="2:14" ht="1.5" customHeight="1">
      <c r="B803" s="57"/>
      <c r="C803" s="60"/>
      <c r="D803" s="60"/>
      <c r="E803" s="60"/>
      <c r="F803" s="60"/>
      <c r="G803" s="60"/>
      <c r="J803" s="99"/>
      <c r="K803" s="99"/>
      <c r="L803" s="99"/>
      <c r="M803" s="99"/>
      <c r="N803" s="43">
        <f t="shared" si="12"/>
        <v>0</v>
      </c>
    </row>
    <row r="804" spans="2:14" ht="1.5" customHeight="1">
      <c r="B804" s="57"/>
      <c r="C804" s="60"/>
      <c r="D804" s="60"/>
      <c r="E804" s="60"/>
      <c r="F804" s="60"/>
      <c r="G804" s="60"/>
      <c r="J804" s="99"/>
      <c r="K804" s="99"/>
      <c r="L804" s="99"/>
      <c r="M804" s="99"/>
      <c r="N804" s="43">
        <f t="shared" si="12"/>
        <v>0</v>
      </c>
    </row>
    <row r="805" spans="2:14" ht="1.5" customHeight="1">
      <c r="B805" s="57"/>
      <c r="C805" s="60"/>
      <c r="D805" s="60"/>
      <c r="E805" s="60"/>
      <c r="F805" s="60"/>
      <c r="G805" s="60"/>
      <c r="J805" s="99"/>
      <c r="K805" s="99"/>
      <c r="L805" s="99"/>
      <c r="M805" s="99"/>
      <c r="N805" s="43">
        <f t="shared" si="12"/>
        <v>0</v>
      </c>
    </row>
    <row r="806" spans="2:14" ht="1.5" customHeight="1">
      <c r="B806" s="57"/>
      <c r="C806" s="60"/>
      <c r="D806" s="60"/>
      <c r="E806" s="60"/>
      <c r="F806" s="60"/>
      <c r="G806" s="60"/>
      <c r="J806" s="99"/>
      <c r="K806" s="99"/>
      <c r="L806" s="99"/>
      <c r="M806" s="99"/>
      <c r="N806" s="43">
        <f t="shared" si="12"/>
        <v>0</v>
      </c>
    </row>
    <row r="807" spans="2:14" ht="1.5" customHeight="1">
      <c r="B807" s="57"/>
      <c r="C807" s="60"/>
      <c r="D807" s="60"/>
      <c r="E807" s="60"/>
      <c r="F807" s="60"/>
      <c r="G807" s="60"/>
      <c r="J807" s="99"/>
      <c r="K807" s="99"/>
      <c r="L807" s="99"/>
      <c r="M807" s="99"/>
      <c r="N807" s="43">
        <f t="shared" si="12"/>
        <v>0</v>
      </c>
    </row>
    <row r="808" spans="2:14" ht="1.5" customHeight="1">
      <c r="B808" s="57"/>
      <c r="C808" s="60"/>
      <c r="D808" s="60"/>
      <c r="E808" s="60"/>
      <c r="F808" s="60"/>
      <c r="G808" s="60"/>
      <c r="J808" s="99"/>
      <c r="K808" s="99"/>
      <c r="L808" s="99"/>
      <c r="M808" s="99"/>
      <c r="N808" s="43">
        <f t="shared" si="12"/>
        <v>0</v>
      </c>
    </row>
    <row r="809" spans="2:14" ht="1.5" customHeight="1">
      <c r="B809" s="57"/>
      <c r="C809" s="60"/>
      <c r="D809" s="60"/>
      <c r="E809" s="60"/>
      <c r="F809" s="60"/>
      <c r="G809" s="60"/>
      <c r="J809" s="99"/>
      <c r="K809" s="99"/>
      <c r="L809" s="99"/>
      <c r="M809" s="99"/>
      <c r="N809" s="43">
        <f t="shared" si="12"/>
        <v>0</v>
      </c>
    </row>
    <row r="810" spans="2:14" ht="1.5" customHeight="1">
      <c r="B810" s="57"/>
      <c r="C810" s="60"/>
      <c r="D810" s="60"/>
      <c r="E810" s="60"/>
      <c r="F810" s="60"/>
      <c r="G810" s="60"/>
      <c r="J810" s="99"/>
      <c r="K810" s="99"/>
      <c r="L810" s="99"/>
      <c r="M810" s="99"/>
      <c r="N810" s="43">
        <f t="shared" si="12"/>
        <v>0</v>
      </c>
    </row>
    <row r="811" spans="2:14" ht="1.5" customHeight="1">
      <c r="B811" s="57"/>
      <c r="C811" s="60"/>
      <c r="D811" s="60"/>
      <c r="E811" s="60"/>
      <c r="F811" s="60"/>
      <c r="G811" s="60"/>
      <c r="J811" s="99"/>
      <c r="K811" s="99"/>
      <c r="L811" s="99"/>
      <c r="M811" s="99"/>
      <c r="N811" s="43">
        <f t="shared" si="12"/>
        <v>0</v>
      </c>
    </row>
    <row r="812" spans="2:14" ht="12.6" customHeight="1">
      <c r="B812" s="57"/>
      <c r="C812" s="60"/>
      <c r="D812" s="60"/>
      <c r="E812" s="60"/>
      <c r="F812" s="60"/>
      <c r="G812" s="60"/>
      <c r="J812" s="99"/>
      <c r="K812" s="99"/>
      <c r="L812" s="99"/>
      <c r="M812" s="99"/>
      <c r="N812" s="43"/>
    </row>
    <row r="813" spans="2:14" ht="12.6" customHeight="1"/>
  </sheetData>
  <mergeCells count="1641">
    <mergeCell ref="J811:K811"/>
    <mergeCell ref="L811:M811"/>
    <mergeCell ref="J812:K812"/>
    <mergeCell ref="L812:M812"/>
    <mergeCell ref="J808:K808"/>
    <mergeCell ref="L808:M808"/>
    <mergeCell ref="J809:K809"/>
    <mergeCell ref="L809:M809"/>
    <mergeCell ref="J810:K810"/>
    <mergeCell ref="L810:M810"/>
    <mergeCell ref="J805:K805"/>
    <mergeCell ref="L805:M805"/>
    <mergeCell ref="J806:K806"/>
    <mergeCell ref="L806:M806"/>
    <mergeCell ref="J807:K807"/>
    <mergeCell ref="L807:M807"/>
    <mergeCell ref="J802:K802"/>
    <mergeCell ref="L802:M802"/>
    <mergeCell ref="J803:K803"/>
    <mergeCell ref="L803:M803"/>
    <mergeCell ref="J804:K804"/>
    <mergeCell ref="L804:M804"/>
    <mergeCell ref="J799:K799"/>
    <mergeCell ref="L799:M799"/>
    <mergeCell ref="J800:K800"/>
    <mergeCell ref="L800:M800"/>
    <mergeCell ref="J801:K801"/>
    <mergeCell ref="L801:M801"/>
    <mergeCell ref="J796:K796"/>
    <mergeCell ref="L796:M796"/>
    <mergeCell ref="J797:K797"/>
    <mergeCell ref="L797:M797"/>
    <mergeCell ref="J798:K798"/>
    <mergeCell ref="L798:M798"/>
    <mergeCell ref="J793:K793"/>
    <mergeCell ref="L793:M793"/>
    <mergeCell ref="J794:K794"/>
    <mergeCell ref="L794:M794"/>
    <mergeCell ref="J795:K795"/>
    <mergeCell ref="L795:M795"/>
    <mergeCell ref="J790:K790"/>
    <mergeCell ref="L790:M790"/>
    <mergeCell ref="J791:K791"/>
    <mergeCell ref="L791:M791"/>
    <mergeCell ref="J792:K792"/>
    <mergeCell ref="L792:M792"/>
    <mergeCell ref="J787:K787"/>
    <mergeCell ref="L787:M787"/>
    <mergeCell ref="J788:K788"/>
    <mergeCell ref="L788:M788"/>
    <mergeCell ref="J789:K789"/>
    <mergeCell ref="L789:M789"/>
    <mergeCell ref="J784:K784"/>
    <mergeCell ref="L784:M784"/>
    <mergeCell ref="J785:K785"/>
    <mergeCell ref="L785:M785"/>
    <mergeCell ref="J786:K786"/>
    <mergeCell ref="L786:M786"/>
    <mergeCell ref="J781:K781"/>
    <mergeCell ref="L781:M781"/>
    <mergeCell ref="J782:K782"/>
    <mergeCell ref="L782:M782"/>
    <mergeCell ref="J783:K783"/>
    <mergeCell ref="L783:M783"/>
    <mergeCell ref="J778:K778"/>
    <mergeCell ref="L778:M778"/>
    <mergeCell ref="J779:K779"/>
    <mergeCell ref="L779:M779"/>
    <mergeCell ref="J780:K780"/>
    <mergeCell ref="L780:M780"/>
    <mergeCell ref="J775:K775"/>
    <mergeCell ref="L775:M775"/>
    <mergeCell ref="J776:K776"/>
    <mergeCell ref="L776:M776"/>
    <mergeCell ref="J777:K777"/>
    <mergeCell ref="L777:M777"/>
    <mergeCell ref="J772:K772"/>
    <mergeCell ref="L772:M772"/>
    <mergeCell ref="J773:K773"/>
    <mergeCell ref="L773:M773"/>
    <mergeCell ref="J774:K774"/>
    <mergeCell ref="L774:M774"/>
    <mergeCell ref="J769:K769"/>
    <mergeCell ref="L769:M769"/>
    <mergeCell ref="J770:K770"/>
    <mergeCell ref="L770:M770"/>
    <mergeCell ref="J771:K771"/>
    <mergeCell ref="L771:M771"/>
    <mergeCell ref="J766:K766"/>
    <mergeCell ref="L766:M766"/>
    <mergeCell ref="J767:K767"/>
    <mergeCell ref="L767:M767"/>
    <mergeCell ref="J768:K768"/>
    <mergeCell ref="L768:M768"/>
    <mergeCell ref="J763:K763"/>
    <mergeCell ref="L763:M763"/>
    <mergeCell ref="J764:K764"/>
    <mergeCell ref="L764:M764"/>
    <mergeCell ref="J765:K765"/>
    <mergeCell ref="L765:M765"/>
    <mergeCell ref="J760:K760"/>
    <mergeCell ref="L760:M760"/>
    <mergeCell ref="J761:K761"/>
    <mergeCell ref="L761:M761"/>
    <mergeCell ref="J762:K762"/>
    <mergeCell ref="L762:M762"/>
    <mergeCell ref="J757:K757"/>
    <mergeCell ref="L757:M757"/>
    <mergeCell ref="J758:K758"/>
    <mergeCell ref="L758:M758"/>
    <mergeCell ref="J759:K759"/>
    <mergeCell ref="L759:M759"/>
    <mergeCell ref="J754:K754"/>
    <mergeCell ref="L754:M754"/>
    <mergeCell ref="J755:K755"/>
    <mergeCell ref="L755:M755"/>
    <mergeCell ref="J756:K756"/>
    <mergeCell ref="L756:M756"/>
    <mergeCell ref="J751:K751"/>
    <mergeCell ref="L751:M751"/>
    <mergeCell ref="J752:K752"/>
    <mergeCell ref="L752:M752"/>
    <mergeCell ref="J753:K753"/>
    <mergeCell ref="L753:M753"/>
    <mergeCell ref="J748:K748"/>
    <mergeCell ref="L748:M748"/>
    <mergeCell ref="J749:K749"/>
    <mergeCell ref="L749:M749"/>
    <mergeCell ref="J750:K750"/>
    <mergeCell ref="L750:M750"/>
    <mergeCell ref="J745:K745"/>
    <mergeCell ref="L745:M745"/>
    <mergeCell ref="J746:K746"/>
    <mergeCell ref="L746:M746"/>
    <mergeCell ref="J747:K747"/>
    <mergeCell ref="L747:M747"/>
    <mergeCell ref="J742:K742"/>
    <mergeCell ref="L742:M742"/>
    <mergeCell ref="J743:K743"/>
    <mergeCell ref="L743:M743"/>
    <mergeCell ref="J744:K744"/>
    <mergeCell ref="L744:M744"/>
    <mergeCell ref="J739:K739"/>
    <mergeCell ref="L739:M739"/>
    <mergeCell ref="J740:K740"/>
    <mergeCell ref="L740:M740"/>
    <mergeCell ref="J741:K741"/>
    <mergeCell ref="L741:M741"/>
    <mergeCell ref="J736:K736"/>
    <mergeCell ref="L736:M736"/>
    <mergeCell ref="J737:K737"/>
    <mergeCell ref="L737:M737"/>
    <mergeCell ref="J738:K738"/>
    <mergeCell ref="L738:M738"/>
    <mergeCell ref="J733:K733"/>
    <mergeCell ref="L733:M733"/>
    <mergeCell ref="J734:K734"/>
    <mergeCell ref="L734:M734"/>
    <mergeCell ref="J735:K735"/>
    <mergeCell ref="L735:M735"/>
    <mergeCell ref="J730:K730"/>
    <mergeCell ref="L730:M730"/>
    <mergeCell ref="J731:K731"/>
    <mergeCell ref="L731:M731"/>
    <mergeCell ref="J732:K732"/>
    <mergeCell ref="L732:M732"/>
    <mergeCell ref="J727:K727"/>
    <mergeCell ref="L727:M727"/>
    <mergeCell ref="J728:K728"/>
    <mergeCell ref="L728:M728"/>
    <mergeCell ref="J729:K729"/>
    <mergeCell ref="L729:M729"/>
    <mergeCell ref="J724:K724"/>
    <mergeCell ref="L724:M724"/>
    <mergeCell ref="J725:K725"/>
    <mergeCell ref="L725:M725"/>
    <mergeCell ref="J726:K726"/>
    <mergeCell ref="L726:M726"/>
    <mergeCell ref="J721:K721"/>
    <mergeCell ref="L721:M721"/>
    <mergeCell ref="J722:K722"/>
    <mergeCell ref="L722:M722"/>
    <mergeCell ref="J723:K723"/>
    <mergeCell ref="L723:M723"/>
    <mergeCell ref="J718:K718"/>
    <mergeCell ref="L718:M718"/>
    <mergeCell ref="J719:K719"/>
    <mergeCell ref="L719:M719"/>
    <mergeCell ref="J720:K720"/>
    <mergeCell ref="L720:M720"/>
    <mergeCell ref="J715:K715"/>
    <mergeCell ref="L715:M715"/>
    <mergeCell ref="J716:K716"/>
    <mergeCell ref="L716:M716"/>
    <mergeCell ref="J717:K717"/>
    <mergeCell ref="L717:M717"/>
    <mergeCell ref="J712:K712"/>
    <mergeCell ref="L712:M712"/>
    <mergeCell ref="J713:K713"/>
    <mergeCell ref="L713:M713"/>
    <mergeCell ref="J714:K714"/>
    <mergeCell ref="L714:M714"/>
    <mergeCell ref="J709:K709"/>
    <mergeCell ref="L709:M709"/>
    <mergeCell ref="J710:K710"/>
    <mergeCell ref="L710:M710"/>
    <mergeCell ref="J711:K711"/>
    <mergeCell ref="L711:M711"/>
    <mergeCell ref="J706:K706"/>
    <mergeCell ref="L706:M706"/>
    <mergeCell ref="J707:K707"/>
    <mergeCell ref="L707:M707"/>
    <mergeCell ref="J708:K708"/>
    <mergeCell ref="L708:M708"/>
    <mergeCell ref="J703:K703"/>
    <mergeCell ref="L703:M703"/>
    <mergeCell ref="J704:K704"/>
    <mergeCell ref="L704:M704"/>
    <mergeCell ref="J705:K705"/>
    <mergeCell ref="L705:M705"/>
    <mergeCell ref="J700:K700"/>
    <mergeCell ref="L700:M700"/>
    <mergeCell ref="J701:K701"/>
    <mergeCell ref="L701:M701"/>
    <mergeCell ref="J702:K702"/>
    <mergeCell ref="L702:M702"/>
    <mergeCell ref="J697:K697"/>
    <mergeCell ref="L697:M697"/>
    <mergeCell ref="J698:K698"/>
    <mergeCell ref="L698:M698"/>
    <mergeCell ref="J699:K699"/>
    <mergeCell ref="L699:M699"/>
    <mergeCell ref="J694:K694"/>
    <mergeCell ref="L694:M694"/>
    <mergeCell ref="J695:K695"/>
    <mergeCell ref="L695:M695"/>
    <mergeCell ref="J696:K696"/>
    <mergeCell ref="L696:M696"/>
    <mergeCell ref="J691:K691"/>
    <mergeCell ref="L691:M691"/>
    <mergeCell ref="J692:K692"/>
    <mergeCell ref="L692:M692"/>
    <mergeCell ref="J693:K693"/>
    <mergeCell ref="L693:M693"/>
    <mergeCell ref="J688:K688"/>
    <mergeCell ref="L688:M688"/>
    <mergeCell ref="J689:K689"/>
    <mergeCell ref="L689:M689"/>
    <mergeCell ref="J690:K690"/>
    <mergeCell ref="L690:M690"/>
    <mergeCell ref="J685:K685"/>
    <mergeCell ref="L685:M685"/>
    <mergeCell ref="J686:K686"/>
    <mergeCell ref="L686:M686"/>
    <mergeCell ref="J687:K687"/>
    <mergeCell ref="L687:M687"/>
    <mergeCell ref="J682:K682"/>
    <mergeCell ref="L682:M682"/>
    <mergeCell ref="J683:K683"/>
    <mergeCell ref="L683:M683"/>
    <mergeCell ref="J684:K684"/>
    <mergeCell ref="L684:M684"/>
    <mergeCell ref="J679:K679"/>
    <mergeCell ref="L679:M679"/>
    <mergeCell ref="J680:K680"/>
    <mergeCell ref="L680:M680"/>
    <mergeCell ref="J681:K681"/>
    <mergeCell ref="L681:M681"/>
    <mergeCell ref="J676:K676"/>
    <mergeCell ref="L676:M676"/>
    <mergeCell ref="J677:K677"/>
    <mergeCell ref="L677:M677"/>
    <mergeCell ref="J678:K678"/>
    <mergeCell ref="L678:M678"/>
    <mergeCell ref="J673:K673"/>
    <mergeCell ref="L673:M673"/>
    <mergeCell ref="J674:K674"/>
    <mergeCell ref="L674:M674"/>
    <mergeCell ref="J675:K675"/>
    <mergeCell ref="L675:M675"/>
    <mergeCell ref="J670:K670"/>
    <mergeCell ref="L670:M670"/>
    <mergeCell ref="J671:K671"/>
    <mergeCell ref="L671:M671"/>
    <mergeCell ref="J672:K672"/>
    <mergeCell ref="L672:M672"/>
    <mergeCell ref="J667:K667"/>
    <mergeCell ref="L667:M667"/>
    <mergeCell ref="J668:K668"/>
    <mergeCell ref="L668:M668"/>
    <mergeCell ref="J669:K669"/>
    <mergeCell ref="L669:M669"/>
    <mergeCell ref="J664:K664"/>
    <mergeCell ref="L664:M664"/>
    <mergeCell ref="J665:K665"/>
    <mergeCell ref="L665:M665"/>
    <mergeCell ref="J666:K666"/>
    <mergeCell ref="L666:M666"/>
    <mergeCell ref="J661:K661"/>
    <mergeCell ref="L661:M661"/>
    <mergeCell ref="J662:K662"/>
    <mergeCell ref="L662:M662"/>
    <mergeCell ref="J663:K663"/>
    <mergeCell ref="L663:M663"/>
    <mergeCell ref="J658:K658"/>
    <mergeCell ref="L658:M658"/>
    <mergeCell ref="J659:K659"/>
    <mergeCell ref="L659:M659"/>
    <mergeCell ref="J660:K660"/>
    <mergeCell ref="L660:M660"/>
    <mergeCell ref="J655:K655"/>
    <mergeCell ref="L655:M655"/>
    <mergeCell ref="J656:K656"/>
    <mergeCell ref="L656:M656"/>
    <mergeCell ref="J657:K657"/>
    <mergeCell ref="L657:M657"/>
    <mergeCell ref="J652:K652"/>
    <mergeCell ref="L652:M652"/>
    <mergeCell ref="J653:K653"/>
    <mergeCell ref="L653:M653"/>
    <mergeCell ref="J654:K654"/>
    <mergeCell ref="L654:M654"/>
    <mergeCell ref="J649:K649"/>
    <mergeCell ref="L649:M649"/>
    <mergeCell ref="J650:K650"/>
    <mergeCell ref="L650:M650"/>
    <mergeCell ref="J651:K651"/>
    <mergeCell ref="L651:M651"/>
    <mergeCell ref="J646:K646"/>
    <mergeCell ref="L646:M646"/>
    <mergeCell ref="J647:K647"/>
    <mergeCell ref="L647:M647"/>
    <mergeCell ref="J648:K648"/>
    <mergeCell ref="L648:M648"/>
    <mergeCell ref="J643:K643"/>
    <mergeCell ref="L643:M643"/>
    <mergeCell ref="J644:K644"/>
    <mergeCell ref="L644:M644"/>
    <mergeCell ref="J645:K645"/>
    <mergeCell ref="L645:M645"/>
    <mergeCell ref="J640:K640"/>
    <mergeCell ref="L640:M640"/>
    <mergeCell ref="J641:K641"/>
    <mergeCell ref="L641:M641"/>
    <mergeCell ref="J642:K642"/>
    <mergeCell ref="L642:M642"/>
    <mergeCell ref="J637:K637"/>
    <mergeCell ref="L637:M637"/>
    <mergeCell ref="J638:K638"/>
    <mergeCell ref="L638:M638"/>
    <mergeCell ref="J639:K639"/>
    <mergeCell ref="L639:M639"/>
    <mergeCell ref="J634:K634"/>
    <mergeCell ref="L634:M634"/>
    <mergeCell ref="J635:K635"/>
    <mergeCell ref="L635:M635"/>
    <mergeCell ref="J636:K636"/>
    <mergeCell ref="L636:M636"/>
    <mergeCell ref="J631:K631"/>
    <mergeCell ref="L631:M631"/>
    <mergeCell ref="J632:K632"/>
    <mergeCell ref="L632:M632"/>
    <mergeCell ref="J633:K633"/>
    <mergeCell ref="L633:M633"/>
    <mergeCell ref="J628:K628"/>
    <mergeCell ref="L628:M628"/>
    <mergeCell ref="J629:K629"/>
    <mergeCell ref="L629:M629"/>
    <mergeCell ref="J630:K630"/>
    <mergeCell ref="L630:M630"/>
    <mergeCell ref="J625:K625"/>
    <mergeCell ref="L625:M625"/>
    <mergeCell ref="J626:K626"/>
    <mergeCell ref="L626:M626"/>
    <mergeCell ref="J627:K627"/>
    <mergeCell ref="L627:M627"/>
    <mergeCell ref="J622:K622"/>
    <mergeCell ref="L622:M622"/>
    <mergeCell ref="J623:K623"/>
    <mergeCell ref="L623:M623"/>
    <mergeCell ref="J624:K624"/>
    <mergeCell ref="L624:M624"/>
    <mergeCell ref="J619:K619"/>
    <mergeCell ref="L619:M619"/>
    <mergeCell ref="J620:K620"/>
    <mergeCell ref="L620:M620"/>
    <mergeCell ref="J621:K621"/>
    <mergeCell ref="L621:M621"/>
    <mergeCell ref="J616:K616"/>
    <mergeCell ref="L616:M616"/>
    <mergeCell ref="J617:K617"/>
    <mergeCell ref="L617:M617"/>
    <mergeCell ref="J618:K618"/>
    <mergeCell ref="L618:M618"/>
    <mergeCell ref="J613:K613"/>
    <mergeCell ref="L613:M613"/>
    <mergeCell ref="J614:K614"/>
    <mergeCell ref="L614:M614"/>
    <mergeCell ref="J615:K615"/>
    <mergeCell ref="L615:M615"/>
    <mergeCell ref="J610:K610"/>
    <mergeCell ref="L610:M610"/>
    <mergeCell ref="J611:K611"/>
    <mergeCell ref="L611:M611"/>
    <mergeCell ref="J612:K612"/>
    <mergeCell ref="L612:M612"/>
    <mergeCell ref="J607:K607"/>
    <mergeCell ref="L607:M607"/>
    <mergeCell ref="J608:K608"/>
    <mergeCell ref="L608:M608"/>
    <mergeCell ref="J609:K609"/>
    <mergeCell ref="L609:M609"/>
    <mergeCell ref="J604:K604"/>
    <mergeCell ref="L604:M604"/>
    <mergeCell ref="J605:K605"/>
    <mergeCell ref="L605:M605"/>
    <mergeCell ref="J606:K606"/>
    <mergeCell ref="L606:M606"/>
    <mergeCell ref="J601:K601"/>
    <mergeCell ref="L601:M601"/>
    <mergeCell ref="J602:K602"/>
    <mergeCell ref="L602:M602"/>
    <mergeCell ref="J603:K603"/>
    <mergeCell ref="L603:M603"/>
    <mergeCell ref="J598:K598"/>
    <mergeCell ref="L598:M598"/>
    <mergeCell ref="J599:K599"/>
    <mergeCell ref="L599:M599"/>
    <mergeCell ref="J600:K600"/>
    <mergeCell ref="L600:M600"/>
    <mergeCell ref="J595:K595"/>
    <mergeCell ref="L595:M595"/>
    <mergeCell ref="J596:K596"/>
    <mergeCell ref="L596:M596"/>
    <mergeCell ref="J597:K597"/>
    <mergeCell ref="L597:M597"/>
    <mergeCell ref="J592:K592"/>
    <mergeCell ref="L592:M592"/>
    <mergeCell ref="J593:K593"/>
    <mergeCell ref="L593:M593"/>
    <mergeCell ref="J594:K594"/>
    <mergeCell ref="L594:M594"/>
    <mergeCell ref="J589:K589"/>
    <mergeCell ref="L589:M589"/>
    <mergeCell ref="J590:K590"/>
    <mergeCell ref="L590:M590"/>
    <mergeCell ref="J591:K591"/>
    <mergeCell ref="L591:M591"/>
    <mergeCell ref="J586:K586"/>
    <mergeCell ref="L586:M586"/>
    <mergeCell ref="J587:K587"/>
    <mergeCell ref="L587:M587"/>
    <mergeCell ref="J588:K588"/>
    <mergeCell ref="L588:M588"/>
    <mergeCell ref="J583:K583"/>
    <mergeCell ref="L583:M583"/>
    <mergeCell ref="J584:K584"/>
    <mergeCell ref="L584:M584"/>
    <mergeCell ref="J585:K585"/>
    <mergeCell ref="L585:M585"/>
    <mergeCell ref="J580:K580"/>
    <mergeCell ref="L580:M580"/>
    <mergeCell ref="J581:K581"/>
    <mergeCell ref="L581:M581"/>
    <mergeCell ref="J582:K582"/>
    <mergeCell ref="L582:M582"/>
    <mergeCell ref="J577:K577"/>
    <mergeCell ref="L577:M577"/>
    <mergeCell ref="J578:K578"/>
    <mergeCell ref="L578:M578"/>
    <mergeCell ref="J579:K579"/>
    <mergeCell ref="L579:M579"/>
    <mergeCell ref="J574:K574"/>
    <mergeCell ref="L574:M574"/>
    <mergeCell ref="J575:K575"/>
    <mergeCell ref="L575:M575"/>
    <mergeCell ref="J576:K576"/>
    <mergeCell ref="L576:M576"/>
    <mergeCell ref="J571:K571"/>
    <mergeCell ref="L571:M571"/>
    <mergeCell ref="J572:K572"/>
    <mergeCell ref="L572:M572"/>
    <mergeCell ref="J573:K573"/>
    <mergeCell ref="L573:M573"/>
    <mergeCell ref="J568:K568"/>
    <mergeCell ref="L568:M568"/>
    <mergeCell ref="J569:K569"/>
    <mergeCell ref="L569:M569"/>
    <mergeCell ref="J570:K570"/>
    <mergeCell ref="L570:M570"/>
    <mergeCell ref="J565:K565"/>
    <mergeCell ref="L565:M565"/>
    <mergeCell ref="J566:K566"/>
    <mergeCell ref="L566:M566"/>
    <mergeCell ref="J567:K567"/>
    <mergeCell ref="L567:M567"/>
    <mergeCell ref="J562:K562"/>
    <mergeCell ref="L562:M562"/>
    <mergeCell ref="J563:K563"/>
    <mergeCell ref="L563:M563"/>
    <mergeCell ref="J564:K564"/>
    <mergeCell ref="L564:M564"/>
    <mergeCell ref="J559:K559"/>
    <mergeCell ref="L559:M559"/>
    <mergeCell ref="J560:K560"/>
    <mergeCell ref="L560:M560"/>
    <mergeCell ref="J561:K561"/>
    <mergeCell ref="L561:M561"/>
    <mergeCell ref="J556:K556"/>
    <mergeCell ref="L556:M556"/>
    <mergeCell ref="J557:K557"/>
    <mergeCell ref="L557:M557"/>
    <mergeCell ref="J558:K558"/>
    <mergeCell ref="L558:M558"/>
    <mergeCell ref="J553:K553"/>
    <mergeCell ref="L553:M553"/>
    <mergeCell ref="J554:K554"/>
    <mergeCell ref="L554:M554"/>
    <mergeCell ref="J555:K555"/>
    <mergeCell ref="L555:M555"/>
    <mergeCell ref="J550:K550"/>
    <mergeCell ref="L550:M550"/>
    <mergeCell ref="J551:K551"/>
    <mergeCell ref="L551:M551"/>
    <mergeCell ref="J552:K552"/>
    <mergeCell ref="L552:M552"/>
    <mergeCell ref="J547:K547"/>
    <mergeCell ref="L547:M547"/>
    <mergeCell ref="J548:K548"/>
    <mergeCell ref="L548:M548"/>
    <mergeCell ref="J549:K549"/>
    <mergeCell ref="L549:M549"/>
    <mergeCell ref="J544:K544"/>
    <mergeCell ref="L544:M544"/>
    <mergeCell ref="J545:K545"/>
    <mergeCell ref="L545:M545"/>
    <mergeCell ref="J546:K546"/>
    <mergeCell ref="L546:M546"/>
    <mergeCell ref="J541:K541"/>
    <mergeCell ref="L541:M541"/>
    <mergeCell ref="J542:K542"/>
    <mergeCell ref="L542:M542"/>
    <mergeCell ref="J543:K543"/>
    <mergeCell ref="L543:M543"/>
    <mergeCell ref="J538:K538"/>
    <mergeCell ref="L538:M538"/>
    <mergeCell ref="J539:K539"/>
    <mergeCell ref="L539:M539"/>
    <mergeCell ref="J540:K540"/>
    <mergeCell ref="L540:M540"/>
    <mergeCell ref="J535:K535"/>
    <mergeCell ref="L535:M535"/>
    <mergeCell ref="J536:K536"/>
    <mergeCell ref="L536:M536"/>
    <mergeCell ref="J537:K537"/>
    <mergeCell ref="L537:M537"/>
    <mergeCell ref="J532:K532"/>
    <mergeCell ref="L532:M532"/>
    <mergeCell ref="J533:K533"/>
    <mergeCell ref="L533:M533"/>
    <mergeCell ref="J534:K534"/>
    <mergeCell ref="L534:M534"/>
    <mergeCell ref="J529:K529"/>
    <mergeCell ref="L529:M529"/>
    <mergeCell ref="J530:K530"/>
    <mergeCell ref="L530:M530"/>
    <mergeCell ref="J531:K531"/>
    <mergeCell ref="L531:M531"/>
    <mergeCell ref="J526:K526"/>
    <mergeCell ref="L526:M526"/>
    <mergeCell ref="J527:K527"/>
    <mergeCell ref="L527:M527"/>
    <mergeCell ref="J528:K528"/>
    <mergeCell ref="L528:M528"/>
    <mergeCell ref="J523:K523"/>
    <mergeCell ref="L523:M523"/>
    <mergeCell ref="J524:K524"/>
    <mergeCell ref="L524:M524"/>
    <mergeCell ref="J525:K525"/>
    <mergeCell ref="L525:M525"/>
    <mergeCell ref="J520:K520"/>
    <mergeCell ref="L520:M520"/>
    <mergeCell ref="J521:K521"/>
    <mergeCell ref="L521:M521"/>
    <mergeCell ref="J522:K522"/>
    <mergeCell ref="L522:M522"/>
    <mergeCell ref="J517:K517"/>
    <mergeCell ref="L517:M517"/>
    <mergeCell ref="J518:K518"/>
    <mergeCell ref="L518:M518"/>
    <mergeCell ref="J519:K519"/>
    <mergeCell ref="L519:M519"/>
    <mergeCell ref="J514:K514"/>
    <mergeCell ref="L514:M514"/>
    <mergeCell ref="J515:K515"/>
    <mergeCell ref="L515:M515"/>
    <mergeCell ref="J516:K516"/>
    <mergeCell ref="L516:M516"/>
    <mergeCell ref="J511:K511"/>
    <mergeCell ref="L511:M511"/>
    <mergeCell ref="J512:K512"/>
    <mergeCell ref="L512:M512"/>
    <mergeCell ref="J513:K513"/>
    <mergeCell ref="L513:M513"/>
    <mergeCell ref="J508:K508"/>
    <mergeCell ref="L508:M508"/>
    <mergeCell ref="J509:K509"/>
    <mergeCell ref="L509:M509"/>
    <mergeCell ref="J510:K510"/>
    <mergeCell ref="L510:M510"/>
    <mergeCell ref="J505:K505"/>
    <mergeCell ref="L505:M505"/>
    <mergeCell ref="J506:K506"/>
    <mergeCell ref="L506:M506"/>
    <mergeCell ref="J507:K507"/>
    <mergeCell ref="L507:M507"/>
    <mergeCell ref="J502:K502"/>
    <mergeCell ref="L502:M502"/>
    <mergeCell ref="J503:K503"/>
    <mergeCell ref="L503:M503"/>
    <mergeCell ref="J504:K504"/>
    <mergeCell ref="L504:M504"/>
    <mergeCell ref="J499:K499"/>
    <mergeCell ref="L499:M499"/>
    <mergeCell ref="J500:K500"/>
    <mergeCell ref="L500:M500"/>
    <mergeCell ref="J501:K501"/>
    <mergeCell ref="L501:M501"/>
    <mergeCell ref="J496:K496"/>
    <mergeCell ref="L496:M496"/>
    <mergeCell ref="J497:K497"/>
    <mergeCell ref="L497:M497"/>
    <mergeCell ref="J498:K498"/>
    <mergeCell ref="L498:M498"/>
    <mergeCell ref="J493:K493"/>
    <mergeCell ref="L493:M493"/>
    <mergeCell ref="J494:K494"/>
    <mergeCell ref="L494:M494"/>
    <mergeCell ref="J495:K495"/>
    <mergeCell ref="L495:M495"/>
    <mergeCell ref="J490:K490"/>
    <mergeCell ref="L490:M490"/>
    <mergeCell ref="J491:K491"/>
    <mergeCell ref="L491:M491"/>
    <mergeCell ref="J492:K492"/>
    <mergeCell ref="L492:M492"/>
    <mergeCell ref="J487:K487"/>
    <mergeCell ref="L487:M487"/>
    <mergeCell ref="J488:K488"/>
    <mergeCell ref="L488:M488"/>
    <mergeCell ref="J489:K489"/>
    <mergeCell ref="L489:M489"/>
    <mergeCell ref="J484:K484"/>
    <mergeCell ref="L484:M484"/>
    <mergeCell ref="J485:K485"/>
    <mergeCell ref="L485:M485"/>
    <mergeCell ref="J486:K486"/>
    <mergeCell ref="L486:M486"/>
    <mergeCell ref="J481:K481"/>
    <mergeCell ref="L481:M481"/>
    <mergeCell ref="J482:K482"/>
    <mergeCell ref="L482:M482"/>
    <mergeCell ref="J483:K483"/>
    <mergeCell ref="L483:M483"/>
    <mergeCell ref="J478:K478"/>
    <mergeCell ref="L478:M478"/>
    <mergeCell ref="J479:K479"/>
    <mergeCell ref="L479:M479"/>
    <mergeCell ref="J480:K480"/>
    <mergeCell ref="L480:M480"/>
    <mergeCell ref="J475:K475"/>
    <mergeCell ref="L475:M475"/>
    <mergeCell ref="J476:K476"/>
    <mergeCell ref="L476:M476"/>
    <mergeCell ref="J477:K477"/>
    <mergeCell ref="L477:M477"/>
    <mergeCell ref="J472:K472"/>
    <mergeCell ref="L472:M472"/>
    <mergeCell ref="J473:K473"/>
    <mergeCell ref="L473:M473"/>
    <mergeCell ref="J474:K474"/>
    <mergeCell ref="L474:M474"/>
    <mergeCell ref="J469:K469"/>
    <mergeCell ref="L469:M469"/>
    <mergeCell ref="J470:K470"/>
    <mergeCell ref="L470:M470"/>
    <mergeCell ref="J471:K471"/>
    <mergeCell ref="L471:M471"/>
    <mergeCell ref="J466:K466"/>
    <mergeCell ref="L466:M466"/>
    <mergeCell ref="J467:K467"/>
    <mergeCell ref="L467:M467"/>
    <mergeCell ref="J468:K468"/>
    <mergeCell ref="L468:M468"/>
    <mergeCell ref="J463:K463"/>
    <mergeCell ref="L463:M463"/>
    <mergeCell ref="J464:K464"/>
    <mergeCell ref="L464:M464"/>
    <mergeCell ref="J465:K465"/>
    <mergeCell ref="L465:M465"/>
    <mergeCell ref="J460:K460"/>
    <mergeCell ref="L460:M460"/>
    <mergeCell ref="J461:K461"/>
    <mergeCell ref="L461:M461"/>
    <mergeCell ref="J462:K462"/>
    <mergeCell ref="L462:M462"/>
    <mergeCell ref="J457:K457"/>
    <mergeCell ref="L457:M457"/>
    <mergeCell ref="J458:K458"/>
    <mergeCell ref="L458:M458"/>
    <mergeCell ref="J459:K459"/>
    <mergeCell ref="L459:M459"/>
    <mergeCell ref="J454:K454"/>
    <mergeCell ref="L454:M454"/>
    <mergeCell ref="J455:K455"/>
    <mergeCell ref="L455:M455"/>
    <mergeCell ref="J456:K456"/>
    <mergeCell ref="L456:M456"/>
    <mergeCell ref="J451:K451"/>
    <mergeCell ref="L451:M451"/>
    <mergeCell ref="J452:K452"/>
    <mergeCell ref="L452:M452"/>
    <mergeCell ref="J453:K453"/>
    <mergeCell ref="L453:M453"/>
    <mergeCell ref="J448:K448"/>
    <mergeCell ref="L448:M448"/>
    <mergeCell ref="J449:K449"/>
    <mergeCell ref="L449:M449"/>
    <mergeCell ref="J450:K450"/>
    <mergeCell ref="L450:M450"/>
    <mergeCell ref="J445:K445"/>
    <mergeCell ref="L445:M445"/>
    <mergeCell ref="J446:K446"/>
    <mergeCell ref="L446:M446"/>
    <mergeCell ref="J447:K447"/>
    <mergeCell ref="L447:M447"/>
    <mergeCell ref="J442:K442"/>
    <mergeCell ref="L442:M442"/>
    <mergeCell ref="J443:K443"/>
    <mergeCell ref="L443:M443"/>
    <mergeCell ref="J444:K444"/>
    <mergeCell ref="L444:M444"/>
    <mergeCell ref="J439:K439"/>
    <mergeCell ref="L439:M439"/>
    <mergeCell ref="J440:K440"/>
    <mergeCell ref="L440:M440"/>
    <mergeCell ref="J441:K441"/>
    <mergeCell ref="L441:M441"/>
    <mergeCell ref="J436:K436"/>
    <mergeCell ref="L436:M436"/>
    <mergeCell ref="J437:K437"/>
    <mergeCell ref="L437:M437"/>
    <mergeCell ref="J438:K438"/>
    <mergeCell ref="L438:M438"/>
    <mergeCell ref="J433:K433"/>
    <mergeCell ref="L433:M433"/>
    <mergeCell ref="J434:K434"/>
    <mergeCell ref="L434:M434"/>
    <mergeCell ref="J435:K435"/>
    <mergeCell ref="L435:M435"/>
    <mergeCell ref="J430:K430"/>
    <mergeCell ref="L430:M430"/>
    <mergeCell ref="J431:K431"/>
    <mergeCell ref="L431:M431"/>
    <mergeCell ref="J432:K432"/>
    <mergeCell ref="L432:M432"/>
    <mergeCell ref="J427:K427"/>
    <mergeCell ref="L427:M427"/>
    <mergeCell ref="J428:K428"/>
    <mergeCell ref="L428:M428"/>
    <mergeCell ref="J429:K429"/>
    <mergeCell ref="L429:M429"/>
    <mergeCell ref="J424:K424"/>
    <mergeCell ref="L424:M424"/>
    <mergeCell ref="J425:K425"/>
    <mergeCell ref="L425:M425"/>
    <mergeCell ref="J426:K426"/>
    <mergeCell ref="L426:M426"/>
    <mergeCell ref="J421:K421"/>
    <mergeCell ref="L421:M421"/>
    <mergeCell ref="J422:K422"/>
    <mergeCell ref="L422:M422"/>
    <mergeCell ref="J423:K423"/>
    <mergeCell ref="L423:M423"/>
    <mergeCell ref="J418:K418"/>
    <mergeCell ref="L418:M418"/>
    <mergeCell ref="J419:K419"/>
    <mergeCell ref="L419:M419"/>
    <mergeCell ref="J420:K420"/>
    <mergeCell ref="L420:M420"/>
    <mergeCell ref="J415:K415"/>
    <mergeCell ref="L415:M415"/>
    <mergeCell ref="J416:K416"/>
    <mergeCell ref="L416:M416"/>
    <mergeCell ref="J417:K417"/>
    <mergeCell ref="L417:M417"/>
    <mergeCell ref="J412:K412"/>
    <mergeCell ref="L412:M412"/>
    <mergeCell ref="J413:K413"/>
    <mergeCell ref="L413:M413"/>
    <mergeCell ref="J414:K414"/>
    <mergeCell ref="L414:M414"/>
    <mergeCell ref="J409:K409"/>
    <mergeCell ref="L409:M409"/>
    <mergeCell ref="J410:K410"/>
    <mergeCell ref="L410:M410"/>
    <mergeCell ref="J411:K411"/>
    <mergeCell ref="L411:M411"/>
    <mergeCell ref="J406:K406"/>
    <mergeCell ref="L406:M406"/>
    <mergeCell ref="J407:K407"/>
    <mergeCell ref="L407:M407"/>
    <mergeCell ref="J408:K408"/>
    <mergeCell ref="L408:M408"/>
    <mergeCell ref="J403:K403"/>
    <mergeCell ref="L403:M403"/>
    <mergeCell ref="J404:K404"/>
    <mergeCell ref="L404:M404"/>
    <mergeCell ref="J405:K405"/>
    <mergeCell ref="L405:M405"/>
    <mergeCell ref="J400:K400"/>
    <mergeCell ref="L400:M400"/>
    <mergeCell ref="J401:K401"/>
    <mergeCell ref="L401:M401"/>
    <mergeCell ref="J402:K402"/>
    <mergeCell ref="L402:M402"/>
    <mergeCell ref="J397:K397"/>
    <mergeCell ref="L397:M397"/>
    <mergeCell ref="J398:K398"/>
    <mergeCell ref="L398:M398"/>
    <mergeCell ref="J399:K399"/>
    <mergeCell ref="L399:M399"/>
    <mergeCell ref="J394:K394"/>
    <mergeCell ref="L394:M394"/>
    <mergeCell ref="J395:K395"/>
    <mergeCell ref="L395:M395"/>
    <mergeCell ref="J396:K396"/>
    <mergeCell ref="L396:M396"/>
    <mergeCell ref="J391:K391"/>
    <mergeCell ref="L391:M391"/>
    <mergeCell ref="J392:K392"/>
    <mergeCell ref="L392:M392"/>
    <mergeCell ref="J393:K393"/>
    <mergeCell ref="L393:M393"/>
    <mergeCell ref="J388:K388"/>
    <mergeCell ref="L388:M388"/>
    <mergeCell ref="J389:K389"/>
    <mergeCell ref="L389:M389"/>
    <mergeCell ref="J390:K390"/>
    <mergeCell ref="L390:M390"/>
    <mergeCell ref="J385:K385"/>
    <mergeCell ref="L385:M385"/>
    <mergeCell ref="J386:K386"/>
    <mergeCell ref="L386:M386"/>
    <mergeCell ref="J387:K387"/>
    <mergeCell ref="L387:M387"/>
    <mergeCell ref="J382:K382"/>
    <mergeCell ref="L382:M382"/>
    <mergeCell ref="J383:K383"/>
    <mergeCell ref="L383:M383"/>
    <mergeCell ref="J384:K384"/>
    <mergeCell ref="L384:M384"/>
    <mergeCell ref="J379:K379"/>
    <mergeCell ref="L379:M379"/>
    <mergeCell ref="J380:K380"/>
    <mergeCell ref="L380:M380"/>
    <mergeCell ref="J381:K381"/>
    <mergeCell ref="L381:M381"/>
    <mergeCell ref="J376:K376"/>
    <mergeCell ref="L376:M376"/>
    <mergeCell ref="J377:K377"/>
    <mergeCell ref="L377:M377"/>
    <mergeCell ref="J378:K378"/>
    <mergeCell ref="L378:M378"/>
    <mergeCell ref="J373:K373"/>
    <mergeCell ref="L373:M373"/>
    <mergeCell ref="J374:K374"/>
    <mergeCell ref="L374:M374"/>
    <mergeCell ref="J375:K375"/>
    <mergeCell ref="L375:M375"/>
    <mergeCell ref="J370:K370"/>
    <mergeCell ref="L370:M370"/>
    <mergeCell ref="J371:K371"/>
    <mergeCell ref="L371:M371"/>
    <mergeCell ref="J372:K372"/>
    <mergeCell ref="L372:M372"/>
    <mergeCell ref="J367:K367"/>
    <mergeCell ref="L367:M367"/>
    <mergeCell ref="J368:K368"/>
    <mergeCell ref="L368:M368"/>
    <mergeCell ref="J369:K369"/>
    <mergeCell ref="L369:M369"/>
    <mergeCell ref="J364:K364"/>
    <mergeCell ref="L364:M364"/>
    <mergeCell ref="J365:K365"/>
    <mergeCell ref="L365:M365"/>
    <mergeCell ref="J366:K366"/>
    <mergeCell ref="L366:M366"/>
    <mergeCell ref="J361:K361"/>
    <mergeCell ref="L361:M361"/>
    <mergeCell ref="J362:K362"/>
    <mergeCell ref="L362:M362"/>
    <mergeCell ref="J363:K363"/>
    <mergeCell ref="L363:M363"/>
    <mergeCell ref="J358:K358"/>
    <mergeCell ref="L358:M358"/>
    <mergeCell ref="J359:K359"/>
    <mergeCell ref="L359:M359"/>
    <mergeCell ref="J360:K360"/>
    <mergeCell ref="L360:M360"/>
    <mergeCell ref="J355:K355"/>
    <mergeCell ref="L355:M355"/>
    <mergeCell ref="J356:K356"/>
    <mergeCell ref="L356:M356"/>
    <mergeCell ref="J357:K357"/>
    <mergeCell ref="L357:M357"/>
    <mergeCell ref="J352:K352"/>
    <mergeCell ref="L352:M352"/>
    <mergeCell ref="J353:K353"/>
    <mergeCell ref="L353:M353"/>
    <mergeCell ref="J354:K354"/>
    <mergeCell ref="L354:M354"/>
    <mergeCell ref="J349:K349"/>
    <mergeCell ref="L349:M349"/>
    <mergeCell ref="J350:K350"/>
    <mergeCell ref="L350:M350"/>
    <mergeCell ref="J351:K351"/>
    <mergeCell ref="L351:M351"/>
    <mergeCell ref="J346:K346"/>
    <mergeCell ref="L346:M346"/>
    <mergeCell ref="J347:K347"/>
    <mergeCell ref="L347:M347"/>
    <mergeCell ref="J348:K348"/>
    <mergeCell ref="L348:M348"/>
    <mergeCell ref="J343:K343"/>
    <mergeCell ref="L343:M343"/>
    <mergeCell ref="J344:K344"/>
    <mergeCell ref="L344:M344"/>
    <mergeCell ref="J345:K345"/>
    <mergeCell ref="L345:M345"/>
    <mergeCell ref="J340:K340"/>
    <mergeCell ref="L340:M340"/>
    <mergeCell ref="J341:K341"/>
    <mergeCell ref="L341:M341"/>
    <mergeCell ref="J342:K342"/>
    <mergeCell ref="L342:M342"/>
    <mergeCell ref="J337:K337"/>
    <mergeCell ref="L337:M337"/>
    <mergeCell ref="J338:K338"/>
    <mergeCell ref="L338:M338"/>
    <mergeCell ref="J339:K339"/>
    <mergeCell ref="L339:M339"/>
    <mergeCell ref="J334:K334"/>
    <mergeCell ref="L334:M334"/>
    <mergeCell ref="J335:K335"/>
    <mergeCell ref="L335:M335"/>
    <mergeCell ref="J336:K336"/>
    <mergeCell ref="L336:M336"/>
    <mergeCell ref="J331:K331"/>
    <mergeCell ref="L331:M331"/>
    <mergeCell ref="J332:K332"/>
    <mergeCell ref="L332:M332"/>
    <mergeCell ref="J333:K333"/>
    <mergeCell ref="L333:M333"/>
    <mergeCell ref="J328:K328"/>
    <mergeCell ref="L328:M328"/>
    <mergeCell ref="J329:K329"/>
    <mergeCell ref="L329:M329"/>
    <mergeCell ref="J330:K330"/>
    <mergeCell ref="L330:M330"/>
    <mergeCell ref="J325:K325"/>
    <mergeCell ref="L325:M325"/>
    <mergeCell ref="J326:K326"/>
    <mergeCell ref="L326:M326"/>
    <mergeCell ref="J327:K327"/>
    <mergeCell ref="L327:M327"/>
    <mergeCell ref="J322:K322"/>
    <mergeCell ref="L322:M322"/>
    <mergeCell ref="J323:K323"/>
    <mergeCell ref="L323:M323"/>
    <mergeCell ref="J324:K324"/>
    <mergeCell ref="L324:M324"/>
    <mergeCell ref="J319:K319"/>
    <mergeCell ref="L319:M319"/>
    <mergeCell ref="J320:K320"/>
    <mergeCell ref="L320:M320"/>
    <mergeCell ref="J321:K321"/>
    <mergeCell ref="L321:M321"/>
    <mergeCell ref="J316:K316"/>
    <mergeCell ref="L316:M316"/>
    <mergeCell ref="J317:K317"/>
    <mergeCell ref="L317:M317"/>
    <mergeCell ref="J318:K318"/>
    <mergeCell ref="L318:M318"/>
    <mergeCell ref="J313:K313"/>
    <mergeCell ref="L313:M313"/>
    <mergeCell ref="J314:K314"/>
    <mergeCell ref="L314:M314"/>
    <mergeCell ref="J315:K315"/>
    <mergeCell ref="L315:M315"/>
    <mergeCell ref="J310:K310"/>
    <mergeCell ref="L310:M310"/>
    <mergeCell ref="J311:K311"/>
    <mergeCell ref="L311:M311"/>
    <mergeCell ref="J312:K312"/>
    <mergeCell ref="L312:M312"/>
    <mergeCell ref="J307:K307"/>
    <mergeCell ref="L307:M307"/>
    <mergeCell ref="J308:K308"/>
    <mergeCell ref="L308:M308"/>
    <mergeCell ref="J309:K309"/>
    <mergeCell ref="L309:M309"/>
    <mergeCell ref="J304:K304"/>
    <mergeCell ref="L304:M304"/>
    <mergeCell ref="J305:K305"/>
    <mergeCell ref="L305:M305"/>
    <mergeCell ref="J306:K306"/>
    <mergeCell ref="L306:M306"/>
    <mergeCell ref="J301:K301"/>
    <mergeCell ref="L301:M301"/>
    <mergeCell ref="J302:K302"/>
    <mergeCell ref="L302:M302"/>
    <mergeCell ref="J303:K303"/>
    <mergeCell ref="L303:M303"/>
    <mergeCell ref="J298:K298"/>
    <mergeCell ref="L298:M298"/>
    <mergeCell ref="J299:K299"/>
    <mergeCell ref="L299:M299"/>
    <mergeCell ref="J300:K300"/>
    <mergeCell ref="L300:M300"/>
    <mergeCell ref="J295:K295"/>
    <mergeCell ref="L295:M295"/>
    <mergeCell ref="J296:K296"/>
    <mergeCell ref="L296:M296"/>
    <mergeCell ref="J297:K297"/>
    <mergeCell ref="L297:M297"/>
    <mergeCell ref="J292:K292"/>
    <mergeCell ref="L292:M292"/>
    <mergeCell ref="J293:K293"/>
    <mergeCell ref="L293:M293"/>
    <mergeCell ref="J294:K294"/>
    <mergeCell ref="L294:M294"/>
    <mergeCell ref="J289:K289"/>
    <mergeCell ref="L289:M289"/>
    <mergeCell ref="J290:K290"/>
    <mergeCell ref="L290:M290"/>
    <mergeCell ref="J291:K291"/>
    <mergeCell ref="L291:M291"/>
    <mergeCell ref="J286:K286"/>
    <mergeCell ref="L286:M286"/>
    <mergeCell ref="J287:K287"/>
    <mergeCell ref="L287:M287"/>
    <mergeCell ref="J288:K288"/>
    <mergeCell ref="L288:M288"/>
    <mergeCell ref="J283:K283"/>
    <mergeCell ref="L283:M283"/>
    <mergeCell ref="J284:K284"/>
    <mergeCell ref="L284:M284"/>
    <mergeCell ref="J285:K285"/>
    <mergeCell ref="L285:M285"/>
    <mergeCell ref="J280:K280"/>
    <mergeCell ref="L280:M280"/>
    <mergeCell ref="J281:K281"/>
    <mergeCell ref="L281:M281"/>
    <mergeCell ref="J282:K282"/>
    <mergeCell ref="L282:M282"/>
    <mergeCell ref="J277:K277"/>
    <mergeCell ref="L277:M277"/>
    <mergeCell ref="J278:K278"/>
    <mergeCell ref="L278:M278"/>
    <mergeCell ref="J279:K279"/>
    <mergeCell ref="L279:M279"/>
    <mergeCell ref="J274:K274"/>
    <mergeCell ref="L274:M274"/>
    <mergeCell ref="J275:K275"/>
    <mergeCell ref="L275:M275"/>
    <mergeCell ref="J276:K276"/>
    <mergeCell ref="L276:M276"/>
    <mergeCell ref="J271:K271"/>
    <mergeCell ref="L271:M271"/>
    <mergeCell ref="J272:K272"/>
    <mergeCell ref="L272:M272"/>
    <mergeCell ref="J273:K273"/>
    <mergeCell ref="L273:M273"/>
    <mergeCell ref="J268:K268"/>
    <mergeCell ref="L268:M268"/>
    <mergeCell ref="J269:K269"/>
    <mergeCell ref="L269:M269"/>
    <mergeCell ref="J270:K270"/>
    <mergeCell ref="L270:M270"/>
    <mergeCell ref="J265:K265"/>
    <mergeCell ref="L265:M265"/>
    <mergeCell ref="J266:K266"/>
    <mergeCell ref="L266:M266"/>
    <mergeCell ref="J267:K267"/>
    <mergeCell ref="L267:M267"/>
    <mergeCell ref="J262:K262"/>
    <mergeCell ref="L262:M262"/>
    <mergeCell ref="J263:K263"/>
    <mergeCell ref="L263:M263"/>
    <mergeCell ref="J264:K264"/>
    <mergeCell ref="L264:M264"/>
    <mergeCell ref="J259:K259"/>
    <mergeCell ref="L259:M259"/>
    <mergeCell ref="J260:K260"/>
    <mergeCell ref="L260:M260"/>
    <mergeCell ref="J261:K261"/>
    <mergeCell ref="L261:M261"/>
    <mergeCell ref="J256:K256"/>
    <mergeCell ref="L256:M256"/>
    <mergeCell ref="J257:K257"/>
    <mergeCell ref="L257:M257"/>
    <mergeCell ref="J258:K258"/>
    <mergeCell ref="L258:M258"/>
    <mergeCell ref="J253:K253"/>
    <mergeCell ref="L253:M253"/>
    <mergeCell ref="J254:K254"/>
    <mergeCell ref="L254:M254"/>
    <mergeCell ref="J255:K255"/>
    <mergeCell ref="L255:M255"/>
    <mergeCell ref="J250:K250"/>
    <mergeCell ref="L250:M250"/>
    <mergeCell ref="J251:K251"/>
    <mergeCell ref="L251:M251"/>
    <mergeCell ref="J252:K252"/>
    <mergeCell ref="L252:M252"/>
    <mergeCell ref="J247:K247"/>
    <mergeCell ref="L247:M247"/>
    <mergeCell ref="J248:K248"/>
    <mergeCell ref="L248:M248"/>
    <mergeCell ref="J249:K249"/>
    <mergeCell ref="L249:M249"/>
    <mergeCell ref="J244:K244"/>
    <mergeCell ref="L244:M244"/>
    <mergeCell ref="J245:K245"/>
    <mergeCell ref="L245:M245"/>
    <mergeCell ref="J246:K246"/>
    <mergeCell ref="L246:M246"/>
    <mergeCell ref="J241:K241"/>
    <mergeCell ref="L241:M241"/>
    <mergeCell ref="J242:K242"/>
    <mergeCell ref="L242:M242"/>
    <mergeCell ref="J243:K243"/>
    <mergeCell ref="L243:M243"/>
    <mergeCell ref="J238:K238"/>
    <mergeCell ref="L238:M238"/>
    <mergeCell ref="J239:K239"/>
    <mergeCell ref="L239:M239"/>
    <mergeCell ref="J240:K240"/>
    <mergeCell ref="L240:M240"/>
    <mergeCell ref="J235:K235"/>
    <mergeCell ref="L235:M235"/>
    <mergeCell ref="J236:K236"/>
    <mergeCell ref="L236:M236"/>
    <mergeCell ref="J237:K237"/>
    <mergeCell ref="L237:M237"/>
    <mergeCell ref="J232:K232"/>
    <mergeCell ref="L232:M232"/>
    <mergeCell ref="J233:K233"/>
    <mergeCell ref="L233:M233"/>
    <mergeCell ref="J234:K234"/>
    <mergeCell ref="L234:M234"/>
    <mergeCell ref="J229:K229"/>
    <mergeCell ref="L229:M229"/>
    <mergeCell ref="J230:K230"/>
    <mergeCell ref="L230:M230"/>
    <mergeCell ref="J231:K231"/>
    <mergeCell ref="L231:M231"/>
    <mergeCell ref="J226:K226"/>
    <mergeCell ref="L226:M226"/>
    <mergeCell ref="J227:K227"/>
    <mergeCell ref="L227:M227"/>
    <mergeCell ref="J228:K228"/>
    <mergeCell ref="L228:M228"/>
    <mergeCell ref="J223:K223"/>
    <mergeCell ref="L223:M223"/>
    <mergeCell ref="J224:K224"/>
    <mergeCell ref="L224:M224"/>
    <mergeCell ref="J225:K225"/>
    <mergeCell ref="L225:M225"/>
    <mergeCell ref="J220:K220"/>
    <mergeCell ref="L220:M220"/>
    <mergeCell ref="J221:K221"/>
    <mergeCell ref="L221:M221"/>
    <mergeCell ref="J222:K222"/>
    <mergeCell ref="L222:M222"/>
    <mergeCell ref="J217:K217"/>
    <mergeCell ref="L217:M217"/>
    <mergeCell ref="J218:K218"/>
    <mergeCell ref="L218:M218"/>
    <mergeCell ref="J219:K219"/>
    <mergeCell ref="L219:M219"/>
    <mergeCell ref="J214:K214"/>
    <mergeCell ref="L214:M214"/>
    <mergeCell ref="J215:K215"/>
    <mergeCell ref="L215:M215"/>
    <mergeCell ref="J216:K216"/>
    <mergeCell ref="L216:M216"/>
    <mergeCell ref="J211:K211"/>
    <mergeCell ref="L211:M211"/>
    <mergeCell ref="J212:K212"/>
    <mergeCell ref="L212:M212"/>
    <mergeCell ref="J213:K213"/>
    <mergeCell ref="L213:M213"/>
    <mergeCell ref="J208:K208"/>
    <mergeCell ref="L208:M208"/>
    <mergeCell ref="J209:K209"/>
    <mergeCell ref="L209:M209"/>
    <mergeCell ref="J210:K210"/>
    <mergeCell ref="L210:M210"/>
    <mergeCell ref="J205:K205"/>
    <mergeCell ref="L205:M205"/>
    <mergeCell ref="J206:K206"/>
    <mergeCell ref="L206:M206"/>
    <mergeCell ref="J207:K207"/>
    <mergeCell ref="L207:M207"/>
    <mergeCell ref="J202:K202"/>
    <mergeCell ref="L202:M202"/>
    <mergeCell ref="J203:K203"/>
    <mergeCell ref="L203:M203"/>
    <mergeCell ref="J204:K204"/>
    <mergeCell ref="L204:M204"/>
    <mergeCell ref="J199:K199"/>
    <mergeCell ref="L199:M199"/>
    <mergeCell ref="J200:K200"/>
    <mergeCell ref="L200:M200"/>
    <mergeCell ref="J201:K201"/>
    <mergeCell ref="L201:M201"/>
    <mergeCell ref="J196:K196"/>
    <mergeCell ref="L196:M196"/>
    <mergeCell ref="J197:K197"/>
    <mergeCell ref="L197:M197"/>
    <mergeCell ref="J198:K198"/>
    <mergeCell ref="L198:M198"/>
    <mergeCell ref="J193:K193"/>
    <mergeCell ref="L193:M193"/>
    <mergeCell ref="J194:K194"/>
    <mergeCell ref="L194:M194"/>
    <mergeCell ref="J195:K195"/>
    <mergeCell ref="L195:M195"/>
    <mergeCell ref="J190:K190"/>
    <mergeCell ref="L190:M190"/>
    <mergeCell ref="J191:K191"/>
    <mergeCell ref="L191:M191"/>
    <mergeCell ref="J192:K192"/>
    <mergeCell ref="L192:M192"/>
    <mergeCell ref="J187:K187"/>
    <mergeCell ref="L187:M187"/>
    <mergeCell ref="J188:K188"/>
    <mergeCell ref="L188:M188"/>
    <mergeCell ref="J189:K189"/>
    <mergeCell ref="L189:M189"/>
    <mergeCell ref="J184:K184"/>
    <mergeCell ref="L184:M184"/>
    <mergeCell ref="J185:K185"/>
    <mergeCell ref="L185:M185"/>
    <mergeCell ref="J186:K186"/>
    <mergeCell ref="L186:M186"/>
    <mergeCell ref="J181:K181"/>
    <mergeCell ref="L181:M181"/>
    <mergeCell ref="J182:K182"/>
    <mergeCell ref="L182:M182"/>
    <mergeCell ref="J183:K183"/>
    <mergeCell ref="L183:M183"/>
    <mergeCell ref="J178:K178"/>
    <mergeCell ref="L178:M178"/>
    <mergeCell ref="J179:K179"/>
    <mergeCell ref="L179:M179"/>
    <mergeCell ref="J180:K180"/>
    <mergeCell ref="L180:M180"/>
    <mergeCell ref="J175:K175"/>
    <mergeCell ref="L175:M175"/>
    <mergeCell ref="J176:K176"/>
    <mergeCell ref="L176:M176"/>
    <mergeCell ref="J177:K177"/>
    <mergeCell ref="L177:M177"/>
    <mergeCell ref="J172:K172"/>
    <mergeCell ref="L172:M172"/>
    <mergeCell ref="J173:K173"/>
    <mergeCell ref="L173:M173"/>
    <mergeCell ref="J174:K174"/>
    <mergeCell ref="L174:M174"/>
    <mergeCell ref="J169:K169"/>
    <mergeCell ref="L169:M169"/>
    <mergeCell ref="J170:K170"/>
    <mergeCell ref="L170:M170"/>
    <mergeCell ref="J171:K171"/>
    <mergeCell ref="L171:M171"/>
    <mergeCell ref="J166:K166"/>
    <mergeCell ref="L166:M166"/>
    <mergeCell ref="J167:K167"/>
    <mergeCell ref="L167:M167"/>
    <mergeCell ref="J168:K168"/>
    <mergeCell ref="L168:M168"/>
    <mergeCell ref="J163:K163"/>
    <mergeCell ref="L163:M163"/>
    <mergeCell ref="J164:K164"/>
    <mergeCell ref="L164:M164"/>
    <mergeCell ref="J165:K165"/>
    <mergeCell ref="L165:M165"/>
    <mergeCell ref="J160:K160"/>
    <mergeCell ref="L160:M160"/>
    <mergeCell ref="J161:K161"/>
    <mergeCell ref="L161:M161"/>
    <mergeCell ref="J162:K162"/>
    <mergeCell ref="L162:M162"/>
    <mergeCell ref="J157:K157"/>
    <mergeCell ref="L157:M157"/>
    <mergeCell ref="J158:K158"/>
    <mergeCell ref="L158:M158"/>
    <mergeCell ref="J159:K159"/>
    <mergeCell ref="L159:M159"/>
    <mergeCell ref="J154:K154"/>
    <mergeCell ref="L154:M154"/>
    <mergeCell ref="J155:K155"/>
    <mergeCell ref="L155:M155"/>
    <mergeCell ref="J156:K156"/>
    <mergeCell ref="L156:M156"/>
    <mergeCell ref="J151:K151"/>
    <mergeCell ref="L151:M151"/>
    <mergeCell ref="J152:K152"/>
    <mergeCell ref="L152:M152"/>
    <mergeCell ref="J153:K153"/>
    <mergeCell ref="L153:M153"/>
    <mergeCell ref="J148:K148"/>
    <mergeCell ref="L148:M148"/>
    <mergeCell ref="J149:K149"/>
    <mergeCell ref="L149:M149"/>
    <mergeCell ref="J150:K150"/>
    <mergeCell ref="L150:M150"/>
    <mergeCell ref="J145:K145"/>
    <mergeCell ref="L145:M145"/>
    <mergeCell ref="J146:K146"/>
    <mergeCell ref="L146:M146"/>
    <mergeCell ref="J147:K147"/>
    <mergeCell ref="L147:M147"/>
    <mergeCell ref="J142:K142"/>
    <mergeCell ref="L142:M142"/>
    <mergeCell ref="J143:K143"/>
    <mergeCell ref="L143:M143"/>
    <mergeCell ref="J144:K144"/>
    <mergeCell ref="L144:M144"/>
    <mergeCell ref="J139:K139"/>
    <mergeCell ref="L139:M139"/>
    <mergeCell ref="J140:K140"/>
    <mergeCell ref="L140:M140"/>
    <mergeCell ref="J141:K141"/>
    <mergeCell ref="L141:M141"/>
    <mergeCell ref="J136:K136"/>
    <mergeCell ref="L136:M136"/>
    <mergeCell ref="J137:K137"/>
    <mergeCell ref="L137:M137"/>
    <mergeCell ref="J138:K138"/>
    <mergeCell ref="L138:M138"/>
    <mergeCell ref="J133:K133"/>
    <mergeCell ref="L133:M133"/>
    <mergeCell ref="J134:K134"/>
    <mergeCell ref="L134:M134"/>
    <mergeCell ref="J135:K135"/>
    <mergeCell ref="L135:M135"/>
    <mergeCell ref="J130:K130"/>
    <mergeCell ref="L130:M130"/>
    <mergeCell ref="J131:K131"/>
    <mergeCell ref="L131:M131"/>
    <mergeCell ref="J132:K132"/>
    <mergeCell ref="L132:M132"/>
    <mergeCell ref="J127:K127"/>
    <mergeCell ref="L127:M127"/>
    <mergeCell ref="J128:K128"/>
    <mergeCell ref="L128:M128"/>
    <mergeCell ref="J129:K129"/>
    <mergeCell ref="L129:M129"/>
    <mergeCell ref="J124:K124"/>
    <mergeCell ref="L124:M124"/>
    <mergeCell ref="J125:K125"/>
    <mergeCell ref="L125:M125"/>
    <mergeCell ref="J126:K126"/>
    <mergeCell ref="L126:M126"/>
    <mergeCell ref="J121:K121"/>
    <mergeCell ref="L121:M121"/>
    <mergeCell ref="J122:K122"/>
    <mergeCell ref="L122:M122"/>
    <mergeCell ref="J123:K123"/>
    <mergeCell ref="L123:M123"/>
    <mergeCell ref="J118:K118"/>
    <mergeCell ref="L118:M118"/>
    <mergeCell ref="J119:K119"/>
    <mergeCell ref="L119:M119"/>
    <mergeCell ref="J120:K120"/>
    <mergeCell ref="L120:M120"/>
    <mergeCell ref="J115:K115"/>
    <mergeCell ref="L115:M115"/>
    <mergeCell ref="J116:K116"/>
    <mergeCell ref="L116:M116"/>
    <mergeCell ref="J117:K117"/>
    <mergeCell ref="L117:M117"/>
    <mergeCell ref="J112:K112"/>
    <mergeCell ref="L112:M112"/>
    <mergeCell ref="J113:K113"/>
    <mergeCell ref="L113:M113"/>
    <mergeCell ref="J114:K114"/>
    <mergeCell ref="L114:M114"/>
    <mergeCell ref="J109:K109"/>
    <mergeCell ref="L109:M109"/>
    <mergeCell ref="J110:K110"/>
    <mergeCell ref="L110:M110"/>
    <mergeCell ref="J111:K111"/>
    <mergeCell ref="L111:M111"/>
    <mergeCell ref="J106:K106"/>
    <mergeCell ref="L106:M106"/>
    <mergeCell ref="J107:K107"/>
    <mergeCell ref="L107:M107"/>
    <mergeCell ref="J108:K108"/>
    <mergeCell ref="L108:M108"/>
    <mergeCell ref="J103:K103"/>
    <mergeCell ref="L103:M103"/>
    <mergeCell ref="J104:K104"/>
    <mergeCell ref="L104:M104"/>
    <mergeCell ref="J105:K105"/>
    <mergeCell ref="L105:M105"/>
    <mergeCell ref="J100:K100"/>
    <mergeCell ref="L100:M100"/>
    <mergeCell ref="J101:K101"/>
    <mergeCell ref="L101:M101"/>
    <mergeCell ref="J102:K102"/>
    <mergeCell ref="L102:M102"/>
    <mergeCell ref="J97:K97"/>
    <mergeCell ref="L97:M97"/>
    <mergeCell ref="J98:K98"/>
    <mergeCell ref="L98:M98"/>
    <mergeCell ref="J99:K99"/>
    <mergeCell ref="L99:M99"/>
    <mergeCell ref="J94:K94"/>
    <mergeCell ref="L94:M94"/>
    <mergeCell ref="J95:K95"/>
    <mergeCell ref="L95:M95"/>
    <mergeCell ref="J96:K96"/>
    <mergeCell ref="L96:M96"/>
    <mergeCell ref="J91:K91"/>
    <mergeCell ref="L91:M91"/>
    <mergeCell ref="J92:K92"/>
    <mergeCell ref="L92:M92"/>
    <mergeCell ref="J93:K93"/>
    <mergeCell ref="L93:M93"/>
    <mergeCell ref="J88:K88"/>
    <mergeCell ref="L88:M88"/>
    <mergeCell ref="J89:K89"/>
    <mergeCell ref="L89:M89"/>
    <mergeCell ref="J90:K90"/>
    <mergeCell ref="L90:M90"/>
    <mergeCell ref="J85:K85"/>
    <mergeCell ref="L85:M85"/>
    <mergeCell ref="J86:K86"/>
    <mergeCell ref="L86:M86"/>
    <mergeCell ref="J87:K87"/>
    <mergeCell ref="L87:M87"/>
    <mergeCell ref="J82:K82"/>
    <mergeCell ref="L82:M82"/>
    <mergeCell ref="J83:K83"/>
    <mergeCell ref="L83:M83"/>
    <mergeCell ref="J84:K84"/>
    <mergeCell ref="L84:M84"/>
    <mergeCell ref="J79:K79"/>
    <mergeCell ref="L79:M79"/>
    <mergeCell ref="J80:K80"/>
    <mergeCell ref="L80:M80"/>
    <mergeCell ref="J81:K81"/>
    <mergeCell ref="L81:M81"/>
    <mergeCell ref="J76:K76"/>
    <mergeCell ref="L76:M76"/>
    <mergeCell ref="J77:K77"/>
    <mergeCell ref="L77:M77"/>
    <mergeCell ref="J78:K78"/>
    <mergeCell ref="L78:M78"/>
    <mergeCell ref="J73:K73"/>
    <mergeCell ref="L73:M73"/>
    <mergeCell ref="J74:K74"/>
    <mergeCell ref="L74:M74"/>
    <mergeCell ref="J75:K75"/>
    <mergeCell ref="L75:M75"/>
    <mergeCell ref="J70:K70"/>
    <mergeCell ref="L70:M70"/>
    <mergeCell ref="J71:K71"/>
    <mergeCell ref="L71:M71"/>
    <mergeCell ref="J72:K72"/>
    <mergeCell ref="L72:M72"/>
    <mergeCell ref="J67:K67"/>
    <mergeCell ref="L67:M67"/>
    <mergeCell ref="J68:K68"/>
    <mergeCell ref="L68:M68"/>
    <mergeCell ref="J69:K69"/>
    <mergeCell ref="L69:M69"/>
    <mergeCell ref="J64:K64"/>
    <mergeCell ref="L64:M64"/>
    <mergeCell ref="J65:K65"/>
    <mergeCell ref="L65:M65"/>
    <mergeCell ref="J66:K66"/>
    <mergeCell ref="L66:M66"/>
    <mergeCell ref="J61:K61"/>
    <mergeCell ref="L61:M61"/>
    <mergeCell ref="J62:K62"/>
    <mergeCell ref="L62:M62"/>
    <mergeCell ref="J63:K63"/>
    <mergeCell ref="L63:M63"/>
    <mergeCell ref="J58:K58"/>
    <mergeCell ref="L58:M58"/>
    <mergeCell ref="J59:K59"/>
    <mergeCell ref="L59:M59"/>
    <mergeCell ref="J60:K60"/>
    <mergeCell ref="L60:M60"/>
    <mergeCell ref="J55:K55"/>
    <mergeCell ref="L55:M55"/>
    <mergeCell ref="J56:K56"/>
    <mergeCell ref="L56:M56"/>
    <mergeCell ref="J57:K57"/>
    <mergeCell ref="L57:M57"/>
    <mergeCell ref="J52:K52"/>
    <mergeCell ref="L52:M52"/>
    <mergeCell ref="J53:K53"/>
    <mergeCell ref="L53:M53"/>
    <mergeCell ref="J54:K54"/>
    <mergeCell ref="L54:M54"/>
    <mergeCell ref="J49:K49"/>
    <mergeCell ref="L49:M49"/>
    <mergeCell ref="J50:K50"/>
    <mergeCell ref="L50:M50"/>
    <mergeCell ref="J51:K51"/>
    <mergeCell ref="L51:M51"/>
    <mergeCell ref="J46:K46"/>
    <mergeCell ref="L46:M46"/>
    <mergeCell ref="J47:K47"/>
    <mergeCell ref="L47:M47"/>
    <mergeCell ref="J48:K48"/>
    <mergeCell ref="L48:M48"/>
    <mergeCell ref="J43:K43"/>
    <mergeCell ref="L43:M43"/>
    <mergeCell ref="J44:K44"/>
    <mergeCell ref="L44:M44"/>
    <mergeCell ref="J45:K45"/>
    <mergeCell ref="L45:M45"/>
    <mergeCell ref="J40:K40"/>
    <mergeCell ref="L40:M40"/>
    <mergeCell ref="J41:K41"/>
    <mergeCell ref="L41:M41"/>
    <mergeCell ref="J42:K42"/>
    <mergeCell ref="L42:M42"/>
    <mergeCell ref="J37:K37"/>
    <mergeCell ref="L37:M37"/>
    <mergeCell ref="J38:K38"/>
    <mergeCell ref="L38:M38"/>
    <mergeCell ref="J39:K39"/>
    <mergeCell ref="L39:M39"/>
    <mergeCell ref="J34:K34"/>
    <mergeCell ref="L34:M34"/>
    <mergeCell ref="J35:K35"/>
    <mergeCell ref="L35:M35"/>
    <mergeCell ref="J36:K36"/>
    <mergeCell ref="L36:M36"/>
    <mergeCell ref="J31:K31"/>
    <mergeCell ref="L31:M31"/>
    <mergeCell ref="J32:K32"/>
    <mergeCell ref="L32:M32"/>
    <mergeCell ref="J33:K33"/>
    <mergeCell ref="L33:M33"/>
    <mergeCell ref="J28:K28"/>
    <mergeCell ref="L28:M28"/>
    <mergeCell ref="J29:K29"/>
    <mergeCell ref="L29:M29"/>
    <mergeCell ref="J30:K30"/>
    <mergeCell ref="L30:M30"/>
    <mergeCell ref="J25:K25"/>
    <mergeCell ref="L25:M25"/>
    <mergeCell ref="J26:K26"/>
    <mergeCell ref="L26:M26"/>
    <mergeCell ref="J27:K27"/>
    <mergeCell ref="L27:M27"/>
    <mergeCell ref="J22:K22"/>
    <mergeCell ref="L22:M22"/>
    <mergeCell ref="J23:K23"/>
    <mergeCell ref="L23:M23"/>
    <mergeCell ref="J24:K24"/>
    <mergeCell ref="L24:M24"/>
    <mergeCell ref="J19:K19"/>
    <mergeCell ref="L19:M19"/>
    <mergeCell ref="J20:K20"/>
    <mergeCell ref="L20:M20"/>
    <mergeCell ref="J21:K21"/>
    <mergeCell ref="L21:M21"/>
    <mergeCell ref="J17:K17"/>
    <mergeCell ref="L17:M17"/>
    <mergeCell ref="J18:K18"/>
    <mergeCell ref="L18:M18"/>
    <mergeCell ref="J13:K13"/>
    <mergeCell ref="L13:M13"/>
    <mergeCell ref="J14:K14"/>
    <mergeCell ref="L14:M14"/>
    <mergeCell ref="J15:K15"/>
    <mergeCell ref="L15:M15"/>
    <mergeCell ref="T9:Y9"/>
    <mergeCell ref="J10:K10"/>
    <mergeCell ref="L10:M10"/>
    <mergeCell ref="J11:K11"/>
    <mergeCell ref="L11:M11"/>
    <mergeCell ref="J12:K12"/>
    <mergeCell ref="L12:M12"/>
    <mergeCell ref="B8:C8"/>
    <mergeCell ref="D8:E8"/>
    <mergeCell ref="F8:G8"/>
    <mergeCell ref="H8:I8"/>
    <mergeCell ref="T8:Y8"/>
    <mergeCell ref="B5:C5"/>
    <mergeCell ref="D5:E5"/>
    <mergeCell ref="F5:G5"/>
    <mergeCell ref="H5:I5"/>
    <mergeCell ref="T5:Y5"/>
    <mergeCell ref="B6:C6"/>
    <mergeCell ref="D6:E6"/>
    <mergeCell ref="F6:G6"/>
    <mergeCell ref="H6:I6"/>
    <mergeCell ref="T6:Y6"/>
    <mergeCell ref="J16:K16"/>
    <mergeCell ref="L16:M16"/>
    <mergeCell ref="K3:L3"/>
    <mergeCell ref="N3:O3"/>
    <mergeCell ref="T3:Y3"/>
    <mergeCell ref="B4:C4"/>
    <mergeCell ref="D4:E4"/>
    <mergeCell ref="F4:G4"/>
    <mergeCell ref="H4:I4"/>
    <mergeCell ref="T4:Y4"/>
    <mergeCell ref="B1:C1"/>
    <mergeCell ref="B2:C2"/>
    <mergeCell ref="B3:C3"/>
    <mergeCell ref="D3:E3"/>
    <mergeCell ref="F3:G3"/>
    <mergeCell ref="H3:I3"/>
    <mergeCell ref="B7:C7"/>
    <mergeCell ref="D7:E7"/>
    <mergeCell ref="F7:G7"/>
    <mergeCell ref="H7:I7"/>
    <mergeCell ref="T7:Y7"/>
  </mergeCells>
  <dataValidations count="1">
    <dataValidation type="list" allowBlank="1" showInputMessage="1" showErrorMessage="1" sqref="L4" xr:uid="{2A385C2C-A70F-4A5A-A56B-5CB86BC794F8}">
      <formula1>$O$11:$O$12</formula1>
    </dataValidation>
  </dataValidations>
  <pageMargins left="0.25" right="0.25" top="0.75" bottom="0.75" header="0.3" footer="0.3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485EB-7B02-46C9-8A43-D3EA2630485B}">
  <sheetPr codeName="Sheet7"/>
  <dimension ref="A1:Y813"/>
  <sheetViews>
    <sheetView showGridLines="0" zoomScaleNormal="100" workbookViewId="0">
      <selection activeCell="S4" sqref="S4"/>
    </sheetView>
  </sheetViews>
  <sheetFormatPr defaultColWidth="9" defaultRowHeight="13.8"/>
  <cols>
    <col min="1" max="1" width="1.88671875" style="24" customWidth="1"/>
    <col min="2" max="9" width="9.6640625" style="24" customWidth="1"/>
    <col min="10" max="10" width="3.6640625" style="24" customWidth="1"/>
    <col min="11" max="11" width="6.6640625" style="24" customWidth="1"/>
    <col min="12" max="12" width="7.6640625" style="24" customWidth="1"/>
    <col min="13" max="13" width="3.6640625" style="24" customWidth="1"/>
    <col min="14" max="14" width="6.6640625" style="24" bestFit="1" customWidth="1"/>
    <col min="15" max="15" width="7.21875" style="24" bestFit="1" customWidth="1"/>
    <col min="16" max="16" width="4.33203125" style="24" customWidth="1"/>
    <col min="17" max="17" width="1.88671875" style="24" customWidth="1"/>
    <col min="18" max="16384" width="9" style="24"/>
  </cols>
  <sheetData>
    <row r="1" spans="1:25">
      <c r="A1" s="23"/>
      <c r="B1" s="88">
        <v>44767.518784722219</v>
      </c>
      <c r="C1" s="88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65" t="s">
        <v>70</v>
      </c>
    </row>
    <row r="2" spans="1:25">
      <c r="A2" s="23"/>
      <c r="B2" s="95" t="s">
        <v>50</v>
      </c>
      <c r="C2" s="9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4" t="s">
        <v>71</v>
      </c>
      <c r="S2" s="24" t="s">
        <v>69</v>
      </c>
      <c r="T2" s="24" t="s">
        <v>68</v>
      </c>
    </row>
    <row r="3" spans="1:25" ht="14.25" customHeight="1">
      <c r="A3" s="23"/>
      <c r="B3" s="89" t="s">
        <v>15</v>
      </c>
      <c r="C3" s="96"/>
      <c r="D3" s="93" t="s">
        <v>64</v>
      </c>
      <c r="E3" s="90"/>
      <c r="F3" s="89" t="s">
        <v>16</v>
      </c>
      <c r="G3" s="90"/>
      <c r="H3" s="89" t="s">
        <v>61</v>
      </c>
      <c r="I3" s="90"/>
      <c r="J3" s="25"/>
      <c r="K3" s="102" t="s">
        <v>17</v>
      </c>
      <c r="L3" s="103"/>
      <c r="M3" s="23"/>
      <c r="N3" s="98"/>
      <c r="O3" s="98"/>
      <c r="P3" s="23"/>
      <c r="Q3" s="23"/>
      <c r="R3" s="66" t="s">
        <v>63</v>
      </c>
      <c r="S3" s="66" t="s">
        <v>78</v>
      </c>
      <c r="T3" s="106"/>
      <c r="U3" s="107"/>
      <c r="V3" s="107"/>
      <c r="W3" s="107"/>
      <c r="X3" s="107"/>
      <c r="Y3" s="108"/>
    </row>
    <row r="4" spans="1:25" ht="13.5" customHeight="1">
      <c r="A4" s="23"/>
      <c r="B4" s="91" t="s">
        <v>18</v>
      </c>
      <c r="C4" s="97"/>
      <c r="D4" s="94" t="s">
        <v>55</v>
      </c>
      <c r="E4" s="92"/>
      <c r="F4" s="91" t="s">
        <v>19</v>
      </c>
      <c r="G4" s="92"/>
      <c r="H4" s="91" t="s">
        <v>59</v>
      </c>
      <c r="I4" s="92"/>
      <c r="J4" s="25"/>
      <c r="K4" s="26" t="s">
        <v>20</v>
      </c>
      <c r="L4" s="27" t="str">
        <f>C10</f>
        <v>Frequency</v>
      </c>
      <c r="M4" s="23"/>
      <c r="N4" s="28"/>
      <c r="O4" s="28"/>
      <c r="P4" s="23"/>
      <c r="Q4" s="23"/>
      <c r="R4" s="66" t="s">
        <v>62</v>
      </c>
      <c r="S4" s="66" t="s">
        <v>79</v>
      </c>
      <c r="T4" s="106" t="s">
        <v>74</v>
      </c>
      <c r="U4" s="107"/>
      <c r="V4" s="107"/>
      <c r="W4" s="107"/>
      <c r="X4" s="107"/>
      <c r="Y4" s="108"/>
    </row>
    <row r="5" spans="1:25" ht="13.5" customHeight="1">
      <c r="A5" s="23"/>
      <c r="B5" s="91" t="s">
        <v>21</v>
      </c>
      <c r="C5" s="97"/>
      <c r="D5" s="94" t="s">
        <v>56</v>
      </c>
      <c r="E5" s="92"/>
      <c r="F5" s="91" t="s">
        <v>22</v>
      </c>
      <c r="G5" s="92"/>
      <c r="H5" s="91">
        <v>5</v>
      </c>
      <c r="I5" s="92"/>
      <c r="J5" s="25"/>
      <c r="K5" s="29" t="s">
        <v>23</v>
      </c>
      <c r="L5" s="30" t="s">
        <v>65</v>
      </c>
      <c r="M5" s="23"/>
      <c r="N5" s="28"/>
      <c r="O5" s="28"/>
      <c r="P5" s="23"/>
      <c r="Q5" s="23"/>
      <c r="R5" s="66"/>
      <c r="S5" s="66"/>
      <c r="T5" s="106"/>
      <c r="U5" s="107"/>
      <c r="V5" s="107"/>
      <c r="W5" s="107"/>
      <c r="X5" s="107"/>
      <c r="Y5" s="108"/>
    </row>
    <row r="6" spans="1:25" ht="13.5" customHeight="1">
      <c r="A6" s="23"/>
      <c r="B6" s="91" t="s">
        <v>24</v>
      </c>
      <c r="C6" s="97"/>
      <c r="D6" s="94">
        <v>201</v>
      </c>
      <c r="E6" s="92"/>
      <c r="F6" s="91" t="s">
        <v>25</v>
      </c>
      <c r="G6" s="92"/>
      <c r="H6" s="91" t="s">
        <v>59</v>
      </c>
      <c r="I6" s="92"/>
      <c r="J6" s="25"/>
      <c r="K6" s="31" t="s">
        <v>14</v>
      </c>
      <c r="L6" s="32" t="s">
        <v>66</v>
      </c>
      <c r="M6" s="23"/>
      <c r="N6" s="28"/>
      <c r="O6" s="28"/>
      <c r="P6" s="23"/>
      <c r="Q6" s="23"/>
      <c r="R6" s="66"/>
      <c r="S6" s="66"/>
      <c r="T6" s="106"/>
      <c r="U6" s="107"/>
      <c r="V6" s="107"/>
      <c r="W6" s="107"/>
      <c r="X6" s="107"/>
      <c r="Y6" s="108"/>
    </row>
    <row r="7" spans="1:25" ht="13.5" customHeight="1">
      <c r="A7" s="23"/>
      <c r="B7" s="91" t="s">
        <v>26</v>
      </c>
      <c r="C7" s="97"/>
      <c r="D7" s="94" t="s">
        <v>57</v>
      </c>
      <c r="E7" s="92"/>
      <c r="F7" s="91" t="s">
        <v>27</v>
      </c>
      <c r="G7" s="92"/>
      <c r="H7" s="91" t="s">
        <v>59</v>
      </c>
      <c r="I7" s="92"/>
      <c r="J7" s="25"/>
      <c r="K7" s="33"/>
      <c r="L7" s="33"/>
      <c r="M7" s="23"/>
      <c r="N7" s="28"/>
      <c r="O7" s="28"/>
      <c r="P7" s="23"/>
      <c r="Q7" s="23"/>
      <c r="R7" s="66"/>
      <c r="S7" s="66"/>
      <c r="T7" s="106"/>
      <c r="U7" s="107"/>
      <c r="V7" s="107"/>
      <c r="W7" s="107"/>
      <c r="X7" s="107"/>
      <c r="Y7" s="108"/>
    </row>
    <row r="8" spans="1:25">
      <c r="A8" s="23"/>
      <c r="B8" s="100" t="s">
        <v>28</v>
      </c>
      <c r="C8" s="101"/>
      <c r="D8" s="104" t="s">
        <v>58</v>
      </c>
      <c r="E8" s="105"/>
      <c r="F8" s="100" t="s">
        <v>67</v>
      </c>
      <c r="G8" s="105"/>
      <c r="H8" s="91" t="s">
        <v>13</v>
      </c>
      <c r="I8" s="92"/>
      <c r="J8" s="34"/>
      <c r="K8" s="33"/>
      <c r="L8" s="33"/>
      <c r="M8" s="23"/>
      <c r="N8" s="28"/>
      <c r="O8" s="28"/>
      <c r="P8" s="23"/>
      <c r="Q8" s="23"/>
      <c r="R8" s="66"/>
      <c r="S8" s="66"/>
      <c r="T8" s="106"/>
      <c r="U8" s="107"/>
      <c r="V8" s="107"/>
      <c r="W8" s="107"/>
      <c r="X8" s="107"/>
      <c r="Y8" s="108"/>
    </row>
    <row r="9" spans="1:25">
      <c r="A9" s="23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23"/>
      <c r="N9" s="23"/>
      <c r="O9" s="23"/>
      <c r="P9" s="23"/>
      <c r="Q9" s="23"/>
      <c r="R9" s="66"/>
      <c r="S9" s="66"/>
      <c r="T9" s="106"/>
      <c r="U9" s="107"/>
      <c r="V9" s="107"/>
      <c r="W9" s="107"/>
      <c r="X9" s="107"/>
      <c r="Y9" s="108"/>
    </row>
    <row r="10" spans="1:25" ht="27.75" customHeight="1" thickBot="1">
      <c r="A10" s="23"/>
      <c r="B10" s="36" t="s">
        <v>30</v>
      </c>
      <c r="C10" s="36" t="s">
        <v>60</v>
      </c>
      <c r="D10" s="51" t="s">
        <v>51</v>
      </c>
      <c r="E10" s="51" t="s">
        <v>52</v>
      </c>
      <c r="F10" s="51" t="s">
        <v>53</v>
      </c>
      <c r="G10" s="51" t="s">
        <v>54</v>
      </c>
      <c r="H10" s="37"/>
      <c r="I10" s="37"/>
      <c r="J10" s="99"/>
      <c r="K10" s="99"/>
      <c r="L10" s="99"/>
      <c r="M10" s="99"/>
      <c r="N10" s="38" t="s">
        <v>32</v>
      </c>
      <c r="O10" s="39" t="s">
        <v>33</v>
      </c>
      <c r="P10" s="23"/>
      <c r="Q10" s="23"/>
    </row>
    <row r="11" spans="1:25" ht="14.4" thickTop="1">
      <c r="A11" s="23"/>
      <c r="B11" s="53">
        <v>1</v>
      </c>
      <c r="C11" s="58">
        <v>40</v>
      </c>
      <c r="D11" s="59">
        <v>988916.1875</v>
      </c>
      <c r="E11" s="59">
        <v>0</v>
      </c>
      <c r="F11" s="59">
        <v>-2.4163449183106422E-2</v>
      </c>
      <c r="G11" s="42">
        <v>0</v>
      </c>
      <c r="H11" s="23"/>
      <c r="I11" s="23"/>
      <c r="J11" s="99"/>
      <c r="K11" s="99"/>
      <c r="L11" s="99"/>
      <c r="M11" s="99"/>
      <c r="N11" s="43">
        <f t="shared" ref="N11:N74" si="0">IF($L$4=$C$10,C11,IF(D11="","",B11))</f>
        <v>40</v>
      </c>
      <c r="O11" s="39" t="str">
        <f>B10</f>
        <v>Point#</v>
      </c>
      <c r="P11" s="23"/>
      <c r="Q11" s="23"/>
    </row>
    <row r="12" spans="1:25">
      <c r="A12" s="23"/>
      <c r="B12" s="53">
        <v>2</v>
      </c>
      <c r="C12" s="58">
        <v>42.759998321533203</v>
      </c>
      <c r="D12" s="59">
        <v>989067.375</v>
      </c>
      <c r="E12" s="59">
        <v>0</v>
      </c>
      <c r="F12" s="59">
        <v>-4.241522029042244E-2</v>
      </c>
      <c r="G12" s="42">
        <v>0</v>
      </c>
      <c r="H12" s="23"/>
      <c r="I12" s="23"/>
      <c r="J12" s="99"/>
      <c r="K12" s="99"/>
      <c r="L12" s="99"/>
      <c r="M12" s="99"/>
      <c r="N12" s="43">
        <f t="shared" si="0"/>
        <v>42.759998321533203</v>
      </c>
      <c r="O12" s="39" t="str">
        <f>C10</f>
        <v>Frequency</v>
      </c>
      <c r="P12" s="23"/>
      <c r="Q12" s="23"/>
    </row>
    <row r="13" spans="1:25">
      <c r="A13" s="23"/>
      <c r="B13" s="53">
        <v>3</v>
      </c>
      <c r="C13" s="58">
        <v>45.71099853515625</v>
      </c>
      <c r="D13" s="59">
        <v>989159.125</v>
      </c>
      <c r="E13" s="59">
        <v>0</v>
      </c>
      <c r="F13" s="59">
        <v>-5.4078981280326843E-2</v>
      </c>
      <c r="G13" s="42">
        <v>0</v>
      </c>
      <c r="H13" s="23"/>
      <c r="I13" s="23"/>
      <c r="J13" s="99"/>
      <c r="K13" s="99"/>
      <c r="L13" s="99"/>
      <c r="M13" s="99"/>
      <c r="N13" s="43">
        <f t="shared" si="0"/>
        <v>45.71099853515625</v>
      </c>
      <c r="O13" s="43"/>
      <c r="P13" s="23"/>
      <c r="Q13" s="23"/>
    </row>
    <row r="14" spans="1:25">
      <c r="A14" s="23"/>
      <c r="B14" s="53">
        <v>4</v>
      </c>
      <c r="C14" s="58">
        <v>48.865001678466797</v>
      </c>
      <c r="D14" s="59">
        <v>988968.625</v>
      </c>
      <c r="E14" s="59">
        <v>0</v>
      </c>
      <c r="F14" s="59">
        <v>-6.9316618144512177E-2</v>
      </c>
      <c r="G14" s="42">
        <v>0</v>
      </c>
      <c r="H14" s="23"/>
      <c r="I14" s="23"/>
      <c r="J14" s="99"/>
      <c r="K14" s="99"/>
      <c r="L14" s="99"/>
      <c r="M14" s="99"/>
      <c r="N14" s="43">
        <f t="shared" si="0"/>
        <v>48.865001678466797</v>
      </c>
      <c r="O14" s="43"/>
      <c r="P14" s="23"/>
      <c r="Q14" s="23"/>
    </row>
    <row r="15" spans="1:25">
      <c r="A15" s="23"/>
      <c r="B15" s="53">
        <v>5</v>
      </c>
      <c r="C15" s="58">
        <v>52.23699951171875</v>
      </c>
      <c r="D15" s="59">
        <v>988775.6875</v>
      </c>
      <c r="E15" s="59">
        <v>0</v>
      </c>
      <c r="F15" s="59">
        <v>-6.9052703678607941E-2</v>
      </c>
      <c r="G15" s="42">
        <v>0</v>
      </c>
      <c r="H15" s="23"/>
      <c r="I15" s="23"/>
      <c r="J15" s="99"/>
      <c r="K15" s="99"/>
      <c r="L15" s="99"/>
      <c r="M15" s="99"/>
      <c r="N15" s="43">
        <f t="shared" si="0"/>
        <v>52.23699951171875</v>
      </c>
      <c r="O15" s="43"/>
      <c r="P15" s="23"/>
      <c r="Q15" s="23"/>
    </row>
    <row r="16" spans="1:25">
      <c r="A16" s="23"/>
      <c r="B16" s="53">
        <v>6</v>
      </c>
      <c r="C16" s="58">
        <v>55.840999603271484</v>
      </c>
      <c r="D16" s="59">
        <v>988941.375</v>
      </c>
      <c r="E16" s="59">
        <v>0</v>
      </c>
      <c r="F16" s="59">
        <v>-7.8225038945674896E-2</v>
      </c>
      <c r="G16" s="42">
        <v>0</v>
      </c>
      <c r="H16" s="23"/>
      <c r="I16" s="23"/>
      <c r="J16" s="99"/>
      <c r="K16" s="99"/>
      <c r="L16" s="99"/>
      <c r="M16" s="99"/>
      <c r="N16" s="43">
        <f t="shared" si="0"/>
        <v>55.840999603271484</v>
      </c>
      <c r="O16" s="43"/>
      <c r="P16" s="23"/>
      <c r="Q16" s="23"/>
    </row>
    <row r="17" spans="1:17">
      <c r="A17" s="23"/>
      <c r="B17" s="53">
        <v>7</v>
      </c>
      <c r="C17" s="58">
        <v>59.694999694824219</v>
      </c>
      <c r="D17" s="59">
        <v>988886.1875</v>
      </c>
      <c r="E17" s="59">
        <v>0</v>
      </c>
      <c r="F17" s="59">
        <v>-9.1100417077541351E-2</v>
      </c>
      <c r="G17" s="42">
        <v>0</v>
      </c>
      <c r="H17" s="23"/>
      <c r="I17" s="23"/>
      <c r="J17" s="99"/>
      <c r="K17" s="99"/>
      <c r="L17" s="99"/>
      <c r="M17" s="99"/>
      <c r="N17" s="43">
        <f t="shared" si="0"/>
        <v>59.694999694824219</v>
      </c>
      <c r="O17" s="43"/>
      <c r="P17" s="23"/>
      <c r="Q17" s="23"/>
    </row>
    <row r="18" spans="1:17">
      <c r="A18" s="23"/>
      <c r="B18" s="53">
        <v>8</v>
      </c>
      <c r="C18" s="58">
        <v>63.813999176025391</v>
      </c>
      <c r="D18" s="59">
        <v>988999.6875</v>
      </c>
      <c r="E18" s="59">
        <v>0</v>
      </c>
      <c r="F18" s="59">
        <v>-0.1000140979886055</v>
      </c>
      <c r="G18" s="42">
        <v>0</v>
      </c>
      <c r="H18" s="23"/>
      <c r="I18" s="23"/>
      <c r="J18" s="99"/>
      <c r="K18" s="99"/>
      <c r="L18" s="99"/>
      <c r="M18" s="99"/>
      <c r="N18" s="43">
        <f t="shared" si="0"/>
        <v>63.813999176025391</v>
      </c>
      <c r="O18" s="43"/>
      <c r="P18" s="23"/>
      <c r="Q18" s="23"/>
    </row>
    <row r="19" spans="1:17">
      <c r="A19" s="23"/>
      <c r="B19" s="53">
        <v>9</v>
      </c>
      <c r="C19" s="58">
        <v>68.217002868652344</v>
      </c>
      <c r="D19" s="59">
        <v>989145.3125</v>
      </c>
      <c r="E19" s="59">
        <v>0</v>
      </c>
      <c r="F19" s="59">
        <v>-9.2805996537208557E-2</v>
      </c>
      <c r="G19" s="42">
        <v>0</v>
      </c>
      <c r="H19" s="23"/>
      <c r="I19" s="23"/>
      <c r="J19" s="99"/>
      <c r="K19" s="99"/>
      <c r="L19" s="99"/>
      <c r="M19" s="99"/>
      <c r="N19" s="43">
        <f t="shared" si="0"/>
        <v>68.217002868652344</v>
      </c>
      <c r="O19" s="43"/>
      <c r="P19" s="23"/>
      <c r="Q19" s="23"/>
    </row>
    <row r="20" spans="1:17">
      <c r="A20" s="23"/>
      <c r="B20" s="53">
        <v>10</v>
      </c>
      <c r="C20" s="58">
        <v>72.925003051757813</v>
      </c>
      <c r="D20" s="59">
        <v>988885.625</v>
      </c>
      <c r="E20" s="59">
        <v>0</v>
      </c>
      <c r="F20" s="59">
        <v>-0.11665070056915283</v>
      </c>
      <c r="G20" s="42">
        <v>0</v>
      </c>
      <c r="H20" s="23"/>
      <c r="I20" s="23"/>
      <c r="J20" s="99"/>
      <c r="K20" s="99"/>
      <c r="L20" s="99"/>
      <c r="M20" s="99"/>
      <c r="N20" s="43">
        <f t="shared" si="0"/>
        <v>72.925003051757813</v>
      </c>
      <c r="O20" s="43"/>
      <c r="P20" s="23"/>
      <c r="Q20" s="23"/>
    </row>
    <row r="21" spans="1:17">
      <c r="A21" s="23"/>
      <c r="B21" s="53">
        <v>11</v>
      </c>
      <c r="C21" s="58">
        <v>77.957000732421875</v>
      </c>
      <c r="D21" s="59">
        <v>989124.625</v>
      </c>
      <c r="E21" s="59">
        <v>0</v>
      </c>
      <c r="F21" s="59">
        <v>-0.12303990125656128</v>
      </c>
      <c r="G21" s="42">
        <v>0</v>
      </c>
      <c r="H21" s="23"/>
      <c r="I21" s="23"/>
      <c r="J21" s="99"/>
      <c r="K21" s="99"/>
      <c r="L21" s="99"/>
      <c r="M21" s="99"/>
      <c r="N21" s="43">
        <f t="shared" si="0"/>
        <v>77.957000732421875</v>
      </c>
      <c r="O21" s="43"/>
      <c r="P21" s="23"/>
      <c r="Q21" s="23"/>
    </row>
    <row r="22" spans="1:17">
      <c r="A22" s="23"/>
      <c r="B22" s="53">
        <v>12</v>
      </c>
      <c r="C22" s="58">
        <v>83.33599853515625</v>
      </c>
      <c r="D22" s="59">
        <v>989051.1875</v>
      </c>
      <c r="E22" s="59">
        <v>0</v>
      </c>
      <c r="F22" s="59">
        <v>-0.13013400137424469</v>
      </c>
      <c r="G22" s="42">
        <v>0</v>
      </c>
      <c r="H22" s="23"/>
      <c r="I22" s="23"/>
      <c r="J22" s="99"/>
      <c r="K22" s="99"/>
      <c r="L22" s="99"/>
      <c r="M22" s="99"/>
      <c r="N22" s="43">
        <f t="shared" si="0"/>
        <v>83.33599853515625</v>
      </c>
      <c r="O22" s="43"/>
      <c r="P22" s="23"/>
      <c r="Q22" s="23"/>
    </row>
    <row r="23" spans="1:17">
      <c r="A23" s="23"/>
      <c r="B23" s="53">
        <v>13</v>
      </c>
      <c r="C23" s="58">
        <v>89.086997985839844</v>
      </c>
      <c r="D23" s="59">
        <v>989091.1875</v>
      </c>
      <c r="E23" s="59">
        <v>0</v>
      </c>
      <c r="F23" s="59">
        <v>-0.14352120459079742</v>
      </c>
      <c r="G23" s="42">
        <v>0</v>
      </c>
      <c r="H23" s="23"/>
      <c r="I23" s="23"/>
      <c r="J23" s="99"/>
      <c r="K23" s="99"/>
      <c r="L23" s="99"/>
      <c r="M23" s="99"/>
      <c r="N23" s="43">
        <f t="shared" si="0"/>
        <v>89.086997985839844</v>
      </c>
      <c r="O23" s="43"/>
      <c r="P23" s="23"/>
      <c r="Q23" s="23"/>
    </row>
    <row r="24" spans="1:17">
      <c r="A24" s="23"/>
      <c r="B24" s="53">
        <v>14</v>
      </c>
      <c r="C24" s="58">
        <v>95.234001159667969</v>
      </c>
      <c r="D24" s="59">
        <v>989155.1875</v>
      </c>
      <c r="E24" s="59">
        <v>0</v>
      </c>
      <c r="F24" s="59">
        <v>-0.16250930726528168</v>
      </c>
      <c r="G24" s="42">
        <v>0</v>
      </c>
      <c r="H24" s="23"/>
      <c r="I24" s="23"/>
      <c r="J24" s="99"/>
      <c r="K24" s="99"/>
      <c r="L24" s="99"/>
      <c r="M24" s="99"/>
      <c r="N24" s="43">
        <f t="shared" si="0"/>
        <v>95.234001159667969</v>
      </c>
      <c r="O24" s="43"/>
      <c r="P24" s="23"/>
      <c r="Q24" s="23"/>
    </row>
    <row r="25" spans="1:17">
      <c r="A25" s="23"/>
      <c r="B25" s="53">
        <v>15</v>
      </c>
      <c r="C25" s="58">
        <v>101.80599975585938</v>
      </c>
      <c r="D25" s="59">
        <v>989339.375</v>
      </c>
      <c r="E25" s="59">
        <v>0</v>
      </c>
      <c r="F25" s="59">
        <v>-0.17631229758262634</v>
      </c>
      <c r="G25" s="42">
        <v>0</v>
      </c>
      <c r="H25" s="23"/>
      <c r="I25" s="23"/>
      <c r="J25" s="99"/>
      <c r="K25" s="99"/>
      <c r="L25" s="99"/>
      <c r="M25" s="99"/>
      <c r="N25" s="43">
        <f t="shared" si="0"/>
        <v>101.80599975585938</v>
      </c>
      <c r="O25" s="43"/>
      <c r="P25" s="23"/>
      <c r="Q25" s="23"/>
    </row>
    <row r="26" spans="1:17">
      <c r="A26" s="23"/>
      <c r="B26" s="53">
        <v>16</v>
      </c>
      <c r="C26" s="58">
        <v>108.83100128173828</v>
      </c>
      <c r="D26" s="59">
        <v>989190.375</v>
      </c>
      <c r="E26" s="59">
        <v>0</v>
      </c>
      <c r="F26" s="59">
        <v>-0.1945611983537674</v>
      </c>
      <c r="G26" s="42">
        <v>0</v>
      </c>
      <c r="H26" s="23"/>
      <c r="I26" s="23"/>
      <c r="J26" s="99"/>
      <c r="K26" s="99"/>
      <c r="L26" s="99"/>
      <c r="M26" s="99"/>
      <c r="N26" s="43">
        <f t="shared" si="0"/>
        <v>108.83100128173828</v>
      </c>
      <c r="O26" s="43"/>
      <c r="P26" s="23"/>
      <c r="Q26" s="23"/>
    </row>
    <row r="27" spans="1:17">
      <c r="A27" s="23"/>
      <c r="B27" s="53">
        <v>17</v>
      </c>
      <c r="C27" s="58">
        <v>116.33999633789063</v>
      </c>
      <c r="D27" s="59">
        <v>988779.6875</v>
      </c>
      <c r="E27" s="59">
        <v>0</v>
      </c>
      <c r="F27" s="59">
        <v>-0.20514559745788574</v>
      </c>
      <c r="G27" s="42">
        <v>0</v>
      </c>
      <c r="H27" s="23"/>
      <c r="I27" s="23"/>
      <c r="J27" s="99"/>
      <c r="K27" s="99"/>
      <c r="L27" s="99"/>
      <c r="M27" s="99"/>
      <c r="N27" s="43">
        <f t="shared" si="0"/>
        <v>116.33999633789063</v>
      </c>
      <c r="O27" s="43"/>
      <c r="P27" s="23"/>
      <c r="Q27" s="23"/>
    </row>
    <row r="28" spans="1:17">
      <c r="A28" s="23"/>
      <c r="B28" s="53">
        <v>18</v>
      </c>
      <c r="C28" s="58">
        <v>124.36799621582031</v>
      </c>
      <c r="D28" s="59">
        <v>989093.625</v>
      </c>
      <c r="E28" s="59">
        <v>0</v>
      </c>
      <c r="F28" s="59">
        <v>-0.22479419410228729</v>
      </c>
      <c r="G28" s="42">
        <v>0</v>
      </c>
      <c r="H28" s="23"/>
      <c r="I28" s="23"/>
      <c r="J28" s="99"/>
      <c r="K28" s="99"/>
      <c r="L28" s="99"/>
      <c r="M28" s="99"/>
      <c r="N28" s="43">
        <f t="shared" si="0"/>
        <v>124.36799621582031</v>
      </c>
      <c r="O28" s="43"/>
      <c r="P28" s="23"/>
      <c r="Q28" s="23"/>
    </row>
    <row r="29" spans="1:17">
      <c r="A29" s="23"/>
      <c r="B29" s="53">
        <v>19</v>
      </c>
      <c r="C29" s="58">
        <v>132.94999694824219</v>
      </c>
      <c r="D29" s="59">
        <v>989079</v>
      </c>
      <c r="E29" s="59">
        <v>0</v>
      </c>
      <c r="F29" s="59">
        <v>-0.24082930386066437</v>
      </c>
      <c r="G29" s="42">
        <v>0</v>
      </c>
      <c r="H29" s="23"/>
      <c r="I29" s="23"/>
      <c r="J29" s="99"/>
      <c r="K29" s="99"/>
      <c r="L29" s="99"/>
      <c r="M29" s="99"/>
      <c r="N29" s="43">
        <f t="shared" si="0"/>
        <v>132.94999694824219</v>
      </c>
      <c r="O29" s="43"/>
      <c r="P29" s="23"/>
      <c r="Q29" s="23"/>
    </row>
    <row r="30" spans="1:17">
      <c r="A30" s="23"/>
      <c r="B30" s="53">
        <v>20</v>
      </c>
      <c r="C30" s="58">
        <v>142.12399291992188</v>
      </c>
      <c r="D30" s="59">
        <v>989096.625</v>
      </c>
      <c r="E30" s="59">
        <v>0</v>
      </c>
      <c r="F30" s="59">
        <v>-0.24657970666885376</v>
      </c>
      <c r="G30" s="42">
        <v>0</v>
      </c>
      <c r="H30" s="23"/>
      <c r="I30" s="23"/>
      <c r="J30" s="99"/>
      <c r="K30" s="99"/>
      <c r="L30" s="99"/>
      <c r="M30" s="99"/>
      <c r="N30" s="43">
        <f t="shared" si="0"/>
        <v>142.12399291992188</v>
      </c>
      <c r="O30" s="43"/>
      <c r="P30" s="23"/>
      <c r="Q30" s="23"/>
    </row>
    <row r="31" spans="1:17">
      <c r="A31" s="23"/>
      <c r="B31" s="53">
        <v>21</v>
      </c>
      <c r="C31" s="58">
        <v>151.9320068359375</v>
      </c>
      <c r="D31" s="59">
        <v>989015.1875</v>
      </c>
      <c r="E31" s="59">
        <v>0</v>
      </c>
      <c r="F31" s="59">
        <v>-0.27616879343986511</v>
      </c>
      <c r="G31" s="42">
        <v>0</v>
      </c>
      <c r="H31" s="23"/>
      <c r="I31" s="23"/>
      <c r="J31" s="99"/>
      <c r="K31" s="99"/>
      <c r="L31" s="99"/>
      <c r="M31" s="99"/>
      <c r="N31" s="43">
        <f t="shared" si="0"/>
        <v>151.9320068359375</v>
      </c>
      <c r="O31" s="43"/>
      <c r="P31" s="23"/>
      <c r="Q31" s="23"/>
    </row>
    <row r="32" spans="1:17">
      <c r="A32" s="23"/>
      <c r="B32" s="53">
        <v>22</v>
      </c>
      <c r="C32" s="58">
        <v>162.41499328613281</v>
      </c>
      <c r="D32" s="59">
        <v>988841.625</v>
      </c>
      <c r="E32" s="59">
        <v>0</v>
      </c>
      <c r="F32" s="59">
        <v>-0.29679569602012634</v>
      </c>
      <c r="G32" s="42">
        <v>0</v>
      </c>
      <c r="H32" s="23"/>
      <c r="I32" s="23"/>
      <c r="J32" s="99"/>
      <c r="K32" s="99"/>
      <c r="L32" s="99"/>
      <c r="M32" s="99"/>
      <c r="N32" s="43">
        <f t="shared" si="0"/>
        <v>162.41499328613281</v>
      </c>
      <c r="O32" s="43"/>
      <c r="P32" s="23"/>
      <c r="Q32" s="23"/>
    </row>
    <row r="33" spans="1:17">
      <c r="A33" s="23"/>
      <c r="B33" s="53">
        <v>23</v>
      </c>
      <c r="C33" s="58">
        <v>173.62300109863281</v>
      </c>
      <c r="D33" s="59">
        <v>989132.375</v>
      </c>
      <c r="E33" s="59">
        <v>0</v>
      </c>
      <c r="F33" s="59">
        <v>-0.31587269902229309</v>
      </c>
      <c r="G33" s="42">
        <v>0</v>
      </c>
      <c r="H33" s="23"/>
      <c r="I33" s="23"/>
      <c r="J33" s="99"/>
      <c r="K33" s="99"/>
      <c r="L33" s="99"/>
      <c r="M33" s="99"/>
      <c r="N33" s="43">
        <f t="shared" si="0"/>
        <v>173.62300109863281</v>
      </c>
      <c r="O33" s="43"/>
      <c r="P33" s="23"/>
      <c r="Q33" s="23"/>
    </row>
    <row r="34" spans="1:17">
      <c r="A34" s="23"/>
      <c r="B34" s="53">
        <v>24</v>
      </c>
      <c r="C34" s="58">
        <v>185.60400390625</v>
      </c>
      <c r="D34" s="59">
        <v>988895.6875</v>
      </c>
      <c r="E34" s="59">
        <v>0</v>
      </c>
      <c r="F34" s="59">
        <v>-0.34439799189567566</v>
      </c>
      <c r="G34" s="42">
        <v>0</v>
      </c>
      <c r="H34" s="23"/>
      <c r="I34" s="23"/>
      <c r="J34" s="99"/>
      <c r="K34" s="99"/>
      <c r="L34" s="99"/>
      <c r="M34" s="99"/>
      <c r="N34" s="43">
        <f t="shared" si="0"/>
        <v>185.60400390625</v>
      </c>
      <c r="O34" s="43"/>
      <c r="P34" s="23"/>
      <c r="Q34" s="23"/>
    </row>
    <row r="35" spans="1:17">
      <c r="A35" s="23"/>
      <c r="B35" s="53">
        <v>25</v>
      </c>
      <c r="C35" s="58">
        <v>198.41099548339844</v>
      </c>
      <c r="D35" s="59">
        <v>988966.5</v>
      </c>
      <c r="E35" s="59">
        <v>0</v>
      </c>
      <c r="F35" s="59">
        <v>-0.36296439170837402</v>
      </c>
      <c r="G35" s="42">
        <v>0</v>
      </c>
      <c r="H35" s="23"/>
      <c r="I35" s="23"/>
      <c r="J35" s="99"/>
      <c r="K35" s="99"/>
      <c r="L35" s="99"/>
      <c r="M35" s="99"/>
      <c r="N35" s="43">
        <f t="shared" si="0"/>
        <v>198.41099548339844</v>
      </c>
      <c r="O35" s="43"/>
      <c r="P35" s="23"/>
      <c r="Q35" s="23"/>
    </row>
    <row r="36" spans="1:17">
      <c r="A36" s="23"/>
      <c r="B36" s="53">
        <v>26</v>
      </c>
      <c r="C36" s="58">
        <v>212.10200500488281</v>
      </c>
      <c r="D36" s="59">
        <v>989019.1875</v>
      </c>
      <c r="E36" s="59">
        <v>0</v>
      </c>
      <c r="F36" s="59">
        <v>-0.40029799938201904</v>
      </c>
      <c r="G36" s="42">
        <v>0</v>
      </c>
      <c r="H36" s="23"/>
      <c r="I36" s="23"/>
      <c r="J36" s="99"/>
      <c r="K36" s="99"/>
      <c r="L36" s="99"/>
      <c r="M36" s="99"/>
      <c r="N36" s="43">
        <f t="shared" si="0"/>
        <v>212.10200500488281</v>
      </c>
      <c r="O36" s="43"/>
      <c r="P36" s="23"/>
      <c r="Q36" s="23"/>
    </row>
    <row r="37" spans="1:17">
      <c r="A37" s="23"/>
      <c r="B37" s="53">
        <v>27</v>
      </c>
      <c r="C37" s="58">
        <v>226.73800659179688</v>
      </c>
      <c r="D37" s="59">
        <v>988984.625</v>
      </c>
      <c r="E37" s="59">
        <v>0</v>
      </c>
      <c r="F37" s="59">
        <v>-0.41452288627624512</v>
      </c>
      <c r="G37" s="42">
        <v>0</v>
      </c>
      <c r="H37" s="23"/>
      <c r="I37" s="23"/>
      <c r="J37" s="99"/>
      <c r="K37" s="99"/>
      <c r="L37" s="99"/>
      <c r="M37" s="99"/>
      <c r="N37" s="43">
        <f t="shared" si="0"/>
        <v>226.73800659179688</v>
      </c>
      <c r="O37" s="43"/>
      <c r="P37" s="23"/>
      <c r="Q37" s="23"/>
    </row>
    <row r="38" spans="1:17">
      <c r="A38" s="23"/>
      <c r="B38" s="53">
        <v>28</v>
      </c>
      <c r="C38" s="58">
        <v>242.38400268554688</v>
      </c>
      <c r="D38" s="59">
        <v>988900.5</v>
      </c>
      <c r="E38" s="59">
        <v>0</v>
      </c>
      <c r="F38" s="59">
        <v>-0.46699890494346619</v>
      </c>
      <c r="G38" s="42">
        <v>0</v>
      </c>
      <c r="H38" s="23"/>
      <c r="I38" s="23"/>
      <c r="J38" s="99"/>
      <c r="K38" s="99"/>
      <c r="L38" s="99"/>
      <c r="M38" s="99"/>
      <c r="N38" s="43">
        <f t="shared" si="0"/>
        <v>242.38400268554688</v>
      </c>
      <c r="O38" s="43"/>
      <c r="P38" s="23"/>
      <c r="Q38" s="23"/>
    </row>
    <row r="39" spans="1:17">
      <c r="A39" s="23"/>
      <c r="B39" s="53">
        <v>29</v>
      </c>
      <c r="C39" s="58">
        <v>259.1090087890625</v>
      </c>
      <c r="D39" s="59">
        <v>989053.5</v>
      </c>
      <c r="E39" s="59">
        <v>0</v>
      </c>
      <c r="F39" s="59">
        <v>-0.48803448677062988</v>
      </c>
      <c r="G39" s="42">
        <v>0</v>
      </c>
      <c r="H39" s="23"/>
      <c r="I39" s="23"/>
      <c r="J39" s="99"/>
      <c r="K39" s="99"/>
      <c r="L39" s="99"/>
      <c r="M39" s="99"/>
      <c r="N39" s="43">
        <f t="shared" si="0"/>
        <v>259.1090087890625</v>
      </c>
      <c r="O39" s="43"/>
      <c r="P39" s="23"/>
      <c r="Q39" s="23"/>
    </row>
    <row r="40" spans="1:17">
      <c r="A40" s="23"/>
      <c r="B40" s="53">
        <v>30</v>
      </c>
      <c r="C40" s="58">
        <v>276.989013671875</v>
      </c>
      <c r="D40" s="59">
        <v>989031.1875</v>
      </c>
      <c r="E40" s="59">
        <v>0</v>
      </c>
      <c r="F40" s="59">
        <v>-0.51602572202682495</v>
      </c>
      <c r="G40" s="42">
        <v>0</v>
      </c>
      <c r="H40" s="23"/>
      <c r="I40" s="23"/>
      <c r="J40" s="99"/>
      <c r="K40" s="99"/>
      <c r="L40" s="99"/>
      <c r="M40" s="99"/>
      <c r="N40" s="43">
        <f t="shared" si="0"/>
        <v>276.989013671875</v>
      </c>
      <c r="O40" s="43"/>
      <c r="P40" s="23"/>
      <c r="Q40" s="23"/>
    </row>
    <row r="41" spans="1:17">
      <c r="A41" s="23"/>
      <c r="B41" s="53">
        <v>31</v>
      </c>
      <c r="C41" s="58">
        <v>296.10198974609375</v>
      </c>
      <c r="D41" s="59">
        <v>988979.125</v>
      </c>
      <c r="E41" s="59">
        <v>0</v>
      </c>
      <c r="F41" s="59">
        <v>-0.54619288444519043</v>
      </c>
      <c r="G41" s="42">
        <v>0</v>
      </c>
      <c r="H41" s="23"/>
      <c r="I41" s="23"/>
      <c r="J41" s="99"/>
      <c r="K41" s="99"/>
      <c r="L41" s="99"/>
      <c r="M41" s="99"/>
      <c r="N41" s="43">
        <f t="shared" si="0"/>
        <v>296.10198974609375</v>
      </c>
      <c r="O41" s="43"/>
      <c r="P41" s="23"/>
      <c r="Q41" s="23"/>
    </row>
    <row r="42" spans="1:17">
      <c r="A42" s="23"/>
      <c r="B42" s="53">
        <v>32</v>
      </c>
      <c r="C42" s="58">
        <v>316.53500366210938</v>
      </c>
      <c r="D42" s="59">
        <v>988928.8125</v>
      </c>
      <c r="E42" s="59">
        <v>0</v>
      </c>
      <c r="F42" s="59">
        <v>-0.59636718034744263</v>
      </c>
      <c r="G42" s="42">
        <v>0</v>
      </c>
      <c r="H42" s="23"/>
      <c r="I42" s="23"/>
      <c r="J42" s="99"/>
      <c r="K42" s="99"/>
      <c r="L42" s="99"/>
      <c r="M42" s="99"/>
      <c r="N42" s="43">
        <f t="shared" si="0"/>
        <v>316.53500366210938</v>
      </c>
      <c r="O42" s="43"/>
      <c r="P42" s="23"/>
      <c r="Q42" s="23"/>
    </row>
    <row r="43" spans="1:17">
      <c r="A43" s="23"/>
      <c r="B43" s="53">
        <v>33</v>
      </c>
      <c r="C43" s="58">
        <v>338.37701416015625</v>
      </c>
      <c r="D43" s="59">
        <v>988939.875</v>
      </c>
      <c r="E43" s="59">
        <v>0</v>
      </c>
      <c r="F43" s="59">
        <v>-0.62398982048034668</v>
      </c>
      <c r="G43" s="42">
        <v>0</v>
      </c>
      <c r="H43" s="23"/>
      <c r="I43" s="23"/>
      <c r="J43" s="99"/>
      <c r="K43" s="99"/>
      <c r="L43" s="99"/>
      <c r="M43" s="99"/>
      <c r="N43" s="43">
        <f t="shared" si="0"/>
        <v>338.37701416015625</v>
      </c>
      <c r="O43" s="43"/>
      <c r="P43" s="23"/>
      <c r="Q43" s="23"/>
    </row>
    <row r="44" spans="1:17">
      <c r="A44" s="23"/>
      <c r="B44" s="53">
        <v>34</v>
      </c>
      <c r="C44" s="58">
        <v>361.72601318359375</v>
      </c>
      <c r="D44" s="59">
        <v>988916.5</v>
      </c>
      <c r="E44" s="59">
        <v>0</v>
      </c>
      <c r="F44" s="59">
        <v>-0.66384702920913696</v>
      </c>
      <c r="G44" s="42">
        <v>0</v>
      </c>
      <c r="H44" s="23"/>
      <c r="I44" s="23"/>
      <c r="J44" s="99"/>
      <c r="K44" s="99"/>
      <c r="L44" s="99"/>
      <c r="M44" s="99"/>
      <c r="N44" s="43">
        <f t="shared" si="0"/>
        <v>361.72601318359375</v>
      </c>
      <c r="O44" s="43"/>
      <c r="P44" s="23"/>
      <c r="Q44" s="23"/>
    </row>
    <row r="45" spans="1:17">
      <c r="A45" s="23"/>
      <c r="B45" s="53">
        <v>35</v>
      </c>
      <c r="C45" s="58">
        <v>386.68701171875</v>
      </c>
      <c r="D45" s="59">
        <v>988891.875</v>
      </c>
      <c r="E45" s="59">
        <v>0</v>
      </c>
      <c r="F45" s="59">
        <v>-0.72080010175704956</v>
      </c>
      <c r="G45" s="42">
        <v>0</v>
      </c>
      <c r="H45" s="23"/>
      <c r="I45" s="23"/>
      <c r="J45" s="99"/>
      <c r="K45" s="99"/>
      <c r="L45" s="99"/>
      <c r="M45" s="99"/>
      <c r="N45" s="43">
        <f t="shared" si="0"/>
        <v>386.68701171875</v>
      </c>
      <c r="O45" s="43"/>
      <c r="P45" s="23"/>
      <c r="Q45" s="23"/>
    </row>
    <row r="46" spans="1:17">
      <c r="A46" s="23"/>
      <c r="B46" s="53">
        <v>36</v>
      </c>
      <c r="C46" s="58">
        <v>413.3699951171875</v>
      </c>
      <c r="D46" s="59">
        <v>988781.875</v>
      </c>
      <c r="E46" s="59">
        <v>0</v>
      </c>
      <c r="F46" s="59">
        <v>-0.77229809761047363</v>
      </c>
      <c r="G46" s="42">
        <v>0</v>
      </c>
      <c r="H46" s="23"/>
      <c r="I46" s="23"/>
      <c r="J46" s="99"/>
      <c r="K46" s="99"/>
      <c r="L46" s="99"/>
      <c r="M46" s="99"/>
      <c r="N46" s="43">
        <f t="shared" si="0"/>
        <v>413.3699951171875</v>
      </c>
      <c r="O46" s="43"/>
      <c r="P46" s="23"/>
      <c r="Q46" s="23"/>
    </row>
    <row r="47" spans="1:17">
      <c r="A47" s="23"/>
      <c r="B47" s="53">
        <v>37</v>
      </c>
      <c r="C47" s="58">
        <v>441.89401245117188</v>
      </c>
      <c r="D47" s="59">
        <v>988787.6875</v>
      </c>
      <c r="E47" s="59">
        <v>0</v>
      </c>
      <c r="F47" s="59">
        <v>-0.834908127784729</v>
      </c>
      <c r="G47" s="42">
        <v>0</v>
      </c>
      <c r="H47" s="23"/>
      <c r="I47" s="23"/>
      <c r="J47" s="99"/>
      <c r="K47" s="99"/>
      <c r="L47" s="99"/>
      <c r="M47" s="99"/>
      <c r="N47" s="43">
        <f t="shared" si="0"/>
        <v>441.89401245117188</v>
      </c>
      <c r="O47" s="43"/>
      <c r="P47" s="23"/>
      <c r="Q47" s="23"/>
    </row>
    <row r="48" spans="1:17">
      <c r="A48" s="23"/>
      <c r="B48" s="53">
        <v>38</v>
      </c>
      <c r="C48" s="58">
        <v>472.38699340820313</v>
      </c>
      <c r="D48" s="59">
        <v>988879.3125</v>
      </c>
      <c r="E48" s="59">
        <v>0</v>
      </c>
      <c r="F48" s="59">
        <v>-0.88900452852249146</v>
      </c>
      <c r="G48" s="42">
        <v>0</v>
      </c>
      <c r="H48" s="23"/>
      <c r="I48" s="23"/>
      <c r="J48" s="99"/>
      <c r="K48" s="99"/>
      <c r="L48" s="99"/>
      <c r="M48" s="99"/>
      <c r="N48" s="43">
        <f t="shared" si="0"/>
        <v>472.38699340820313</v>
      </c>
      <c r="O48" s="43"/>
      <c r="P48" s="23"/>
      <c r="Q48" s="23"/>
    </row>
    <row r="49" spans="1:17">
      <c r="A49" s="23"/>
      <c r="B49" s="53">
        <v>39</v>
      </c>
      <c r="C49" s="58">
        <v>504.9840087890625</v>
      </c>
      <c r="D49" s="59">
        <v>988707.125</v>
      </c>
      <c r="E49" s="59">
        <v>0</v>
      </c>
      <c r="F49" s="59">
        <v>-0.95164138078689575</v>
      </c>
      <c r="G49" s="42">
        <v>0</v>
      </c>
      <c r="H49" s="23"/>
      <c r="I49" s="23"/>
      <c r="J49" s="99"/>
      <c r="K49" s="99"/>
      <c r="L49" s="99"/>
      <c r="M49" s="99"/>
      <c r="N49" s="43">
        <f t="shared" si="0"/>
        <v>504.9840087890625</v>
      </c>
      <c r="O49" s="43"/>
      <c r="P49" s="23"/>
      <c r="Q49" s="23"/>
    </row>
    <row r="50" spans="1:17">
      <c r="A50" s="23"/>
      <c r="B50" s="53">
        <v>40</v>
      </c>
      <c r="C50" s="58">
        <v>539.8289794921875</v>
      </c>
      <c r="D50" s="59">
        <v>988619.375</v>
      </c>
      <c r="E50" s="59">
        <v>0</v>
      </c>
      <c r="F50" s="59">
        <v>-1.02093505859375</v>
      </c>
      <c r="G50" s="42">
        <v>0</v>
      </c>
      <c r="H50" s="23"/>
      <c r="I50" s="23"/>
      <c r="J50" s="99"/>
      <c r="K50" s="99"/>
      <c r="L50" s="99"/>
      <c r="M50" s="99"/>
      <c r="N50" s="43">
        <f t="shared" si="0"/>
        <v>539.8289794921875</v>
      </c>
      <c r="O50" s="43"/>
      <c r="P50" s="23"/>
      <c r="Q50" s="23"/>
    </row>
    <row r="51" spans="1:17">
      <c r="A51" s="23"/>
      <c r="B51" s="53">
        <v>41</v>
      </c>
      <c r="C51" s="58">
        <v>577.08001708984375</v>
      </c>
      <c r="D51" s="59">
        <v>988751.3125</v>
      </c>
      <c r="E51" s="59">
        <v>0</v>
      </c>
      <c r="F51" s="59">
        <v>-1.0793030261993408</v>
      </c>
      <c r="G51" s="42">
        <v>0</v>
      </c>
      <c r="H51" s="23"/>
      <c r="I51" s="23"/>
      <c r="J51" s="99"/>
      <c r="K51" s="99"/>
      <c r="L51" s="99"/>
      <c r="M51" s="99"/>
      <c r="N51" s="43">
        <f t="shared" si="0"/>
        <v>577.08001708984375</v>
      </c>
      <c r="O51" s="43"/>
      <c r="P51" s="23"/>
      <c r="Q51" s="23"/>
    </row>
    <row r="52" spans="1:17">
      <c r="A52" s="23"/>
      <c r="B52" s="53">
        <v>42</v>
      </c>
      <c r="C52" s="58">
        <v>616.9010009765625</v>
      </c>
      <c r="D52" s="59">
        <v>988632.875</v>
      </c>
      <c r="E52" s="59">
        <v>0</v>
      </c>
      <c r="F52" s="59">
        <v>-1.1676850318908691</v>
      </c>
      <c r="G52" s="42">
        <v>0</v>
      </c>
      <c r="H52" s="23"/>
      <c r="I52" s="23"/>
      <c r="J52" s="99"/>
      <c r="K52" s="99"/>
      <c r="L52" s="99"/>
      <c r="M52" s="99"/>
      <c r="N52" s="43">
        <f t="shared" si="0"/>
        <v>616.9010009765625</v>
      </c>
      <c r="O52" s="43"/>
      <c r="P52" s="23"/>
      <c r="Q52" s="23"/>
    </row>
    <row r="53" spans="1:17">
      <c r="A53" s="23"/>
      <c r="B53" s="53">
        <v>43</v>
      </c>
      <c r="C53" s="58">
        <v>659.469970703125</v>
      </c>
      <c r="D53" s="59">
        <v>988454.625</v>
      </c>
      <c r="E53" s="59">
        <v>0</v>
      </c>
      <c r="F53" s="59">
        <v>-1.2269450426101685</v>
      </c>
      <c r="G53" s="42">
        <v>0</v>
      </c>
      <c r="H53" s="23"/>
      <c r="I53" s="23"/>
      <c r="J53" s="99"/>
      <c r="K53" s="99"/>
      <c r="L53" s="99"/>
      <c r="M53" s="99"/>
      <c r="N53" s="43">
        <f t="shared" si="0"/>
        <v>659.469970703125</v>
      </c>
      <c r="O53" s="43"/>
      <c r="P53" s="23"/>
      <c r="Q53" s="23"/>
    </row>
    <row r="54" spans="1:17">
      <c r="A54" s="23"/>
      <c r="B54" s="53">
        <v>44</v>
      </c>
      <c r="C54" s="58">
        <v>704.97601318359375</v>
      </c>
      <c r="D54" s="59">
        <v>988703.875</v>
      </c>
      <c r="E54" s="59">
        <v>0</v>
      </c>
      <c r="F54" s="59">
        <v>-1.3322980403900146</v>
      </c>
      <c r="G54" s="42">
        <v>0</v>
      </c>
      <c r="H54" s="23"/>
      <c r="I54" s="23"/>
      <c r="J54" s="99"/>
      <c r="K54" s="99"/>
      <c r="L54" s="99"/>
      <c r="M54" s="99"/>
      <c r="N54" s="43">
        <f t="shared" si="0"/>
        <v>704.97601318359375</v>
      </c>
      <c r="O54" s="43"/>
      <c r="P54" s="23"/>
      <c r="Q54" s="23"/>
    </row>
    <row r="55" spans="1:17">
      <c r="A55" s="23"/>
      <c r="B55" s="53">
        <v>45</v>
      </c>
      <c r="C55" s="58">
        <v>753.62200927734375</v>
      </c>
      <c r="D55" s="59">
        <v>988648</v>
      </c>
      <c r="E55" s="59">
        <v>0</v>
      </c>
      <c r="F55" s="59">
        <v>-1.4273769855499268</v>
      </c>
      <c r="G55" s="42">
        <v>0</v>
      </c>
      <c r="H55" s="23"/>
      <c r="I55" s="23"/>
      <c r="J55" s="99"/>
      <c r="K55" s="99"/>
      <c r="L55" s="99"/>
      <c r="M55" s="99"/>
      <c r="N55" s="43">
        <f t="shared" si="0"/>
        <v>753.62200927734375</v>
      </c>
      <c r="O55" s="43"/>
      <c r="P55" s="23"/>
      <c r="Q55" s="23"/>
    </row>
    <row r="56" spans="1:17">
      <c r="A56" s="23"/>
      <c r="B56" s="53">
        <v>46</v>
      </c>
      <c r="C56" s="58">
        <v>805.625</v>
      </c>
      <c r="D56" s="59">
        <v>988582.125</v>
      </c>
      <c r="E56" s="59">
        <v>0</v>
      </c>
      <c r="F56" s="59">
        <v>-1.5245180130004883</v>
      </c>
      <c r="G56" s="42">
        <v>0</v>
      </c>
      <c r="H56" s="23"/>
      <c r="I56" s="23"/>
      <c r="J56" s="99"/>
      <c r="K56" s="99"/>
      <c r="L56" s="99"/>
      <c r="M56" s="99"/>
      <c r="N56" s="43">
        <f t="shared" si="0"/>
        <v>805.625</v>
      </c>
      <c r="O56" s="43"/>
      <c r="P56" s="23"/>
      <c r="Q56" s="23"/>
    </row>
    <row r="57" spans="1:17">
      <c r="A57" s="23"/>
      <c r="B57" s="53">
        <v>47</v>
      </c>
      <c r="C57" s="58">
        <v>861.21697998046875</v>
      </c>
      <c r="D57" s="59">
        <v>988495.5</v>
      </c>
      <c r="E57" s="59">
        <v>0</v>
      </c>
      <c r="F57" s="59">
        <v>-1.6292719841003418</v>
      </c>
      <c r="G57" s="42">
        <v>0</v>
      </c>
      <c r="H57" s="23"/>
      <c r="I57" s="23"/>
      <c r="J57" s="99"/>
      <c r="K57" s="99"/>
      <c r="L57" s="99"/>
      <c r="M57" s="99"/>
      <c r="N57" s="43">
        <f t="shared" si="0"/>
        <v>861.21697998046875</v>
      </c>
      <c r="O57" s="43"/>
      <c r="P57" s="23"/>
      <c r="Q57" s="23"/>
    </row>
    <row r="58" spans="1:17">
      <c r="A58" s="23"/>
      <c r="B58" s="53">
        <v>48</v>
      </c>
      <c r="C58" s="58">
        <v>920.64398193359375</v>
      </c>
      <c r="D58" s="59">
        <v>988248.625</v>
      </c>
      <c r="E58" s="59">
        <v>0</v>
      </c>
      <c r="F58" s="59">
        <v>-1.7108249664306641</v>
      </c>
      <c r="G58" s="42">
        <v>0</v>
      </c>
      <c r="H58" s="23"/>
      <c r="I58" s="23"/>
      <c r="J58" s="99"/>
      <c r="K58" s="99"/>
      <c r="L58" s="99"/>
      <c r="M58" s="99"/>
      <c r="N58" s="43">
        <f t="shared" si="0"/>
        <v>920.64398193359375</v>
      </c>
      <c r="O58" s="43"/>
      <c r="P58" s="23"/>
      <c r="Q58" s="23"/>
    </row>
    <row r="59" spans="1:17">
      <c r="A59" s="23"/>
      <c r="B59" s="53">
        <v>49</v>
      </c>
      <c r="C59" s="58">
        <v>984.1719970703125</v>
      </c>
      <c r="D59" s="59">
        <v>988189.125</v>
      </c>
      <c r="E59" s="59">
        <v>0</v>
      </c>
      <c r="F59" s="59">
        <v>-1.8379939794540405</v>
      </c>
      <c r="G59" s="42">
        <v>0</v>
      </c>
      <c r="H59" s="23"/>
      <c r="I59" s="23"/>
      <c r="J59" s="99"/>
      <c r="K59" s="99"/>
      <c r="L59" s="99"/>
      <c r="M59" s="99"/>
      <c r="N59" s="43">
        <f t="shared" si="0"/>
        <v>984.1719970703125</v>
      </c>
      <c r="O59" s="43"/>
      <c r="P59" s="23"/>
      <c r="Q59" s="23"/>
    </row>
    <row r="60" spans="1:17">
      <c r="A60" s="23"/>
      <c r="B60" s="53">
        <v>50</v>
      </c>
      <c r="C60" s="58">
        <v>1052.083984375</v>
      </c>
      <c r="D60" s="59">
        <v>988028.375</v>
      </c>
      <c r="E60" s="59">
        <v>0</v>
      </c>
      <c r="F60" s="59">
        <v>-1.9716089963912964</v>
      </c>
      <c r="G60" s="42">
        <v>0</v>
      </c>
      <c r="H60" s="23"/>
      <c r="I60" s="23"/>
      <c r="J60" s="99"/>
      <c r="K60" s="99"/>
      <c r="L60" s="99"/>
      <c r="M60" s="99"/>
      <c r="N60" s="43">
        <f t="shared" si="0"/>
        <v>1052.083984375</v>
      </c>
      <c r="O60" s="43"/>
      <c r="P60" s="23"/>
      <c r="Q60" s="23"/>
    </row>
    <row r="61" spans="1:17">
      <c r="A61" s="23"/>
      <c r="B61" s="53">
        <v>51</v>
      </c>
      <c r="C61" s="58">
        <v>1124.6829833984375</v>
      </c>
      <c r="D61" s="59">
        <v>988039.875</v>
      </c>
      <c r="E61" s="59">
        <v>0</v>
      </c>
      <c r="F61" s="59">
        <v>-2.1048140525817871</v>
      </c>
      <c r="G61" s="42">
        <v>0</v>
      </c>
      <c r="H61" s="23"/>
      <c r="I61" s="23"/>
      <c r="J61" s="99"/>
      <c r="K61" s="99"/>
      <c r="L61" s="99"/>
      <c r="M61" s="99"/>
      <c r="N61" s="43">
        <f t="shared" si="0"/>
        <v>1124.6829833984375</v>
      </c>
      <c r="O61" s="43"/>
      <c r="P61" s="23"/>
      <c r="Q61" s="23"/>
    </row>
    <row r="62" spans="1:17">
      <c r="A62" s="23"/>
      <c r="B62" s="53">
        <v>52</v>
      </c>
      <c r="C62" s="58">
        <v>1202.2900390625</v>
      </c>
      <c r="D62" s="59">
        <v>987878.875</v>
      </c>
      <c r="E62" s="59">
        <v>0</v>
      </c>
      <c r="F62" s="59">
        <v>-2.251694917678833</v>
      </c>
      <c r="G62" s="42">
        <v>0</v>
      </c>
      <c r="H62" s="23"/>
      <c r="I62" s="23"/>
      <c r="J62" s="99"/>
      <c r="K62" s="99"/>
      <c r="L62" s="99"/>
      <c r="M62" s="99"/>
      <c r="N62" s="43">
        <f t="shared" si="0"/>
        <v>1202.2900390625</v>
      </c>
      <c r="O62" s="43"/>
      <c r="P62" s="23"/>
      <c r="Q62" s="23"/>
    </row>
    <row r="63" spans="1:17">
      <c r="A63" s="23"/>
      <c r="B63" s="53">
        <v>53</v>
      </c>
      <c r="C63" s="58">
        <v>1285.2540283203125</v>
      </c>
      <c r="D63" s="59">
        <v>987872.375</v>
      </c>
      <c r="E63" s="59">
        <v>0</v>
      </c>
      <c r="F63" s="59">
        <v>-2.410114049911499</v>
      </c>
      <c r="G63" s="42">
        <v>0</v>
      </c>
      <c r="H63" s="23"/>
      <c r="I63" s="23"/>
      <c r="J63" s="99"/>
      <c r="K63" s="99"/>
      <c r="L63" s="99"/>
      <c r="M63" s="99"/>
      <c r="N63" s="43">
        <f t="shared" si="0"/>
        <v>1285.2540283203125</v>
      </c>
      <c r="O63" s="43"/>
      <c r="P63" s="23"/>
      <c r="Q63" s="23"/>
    </row>
    <row r="64" spans="1:17">
      <c r="A64" s="23"/>
      <c r="B64" s="53">
        <v>54</v>
      </c>
      <c r="C64" s="58">
        <v>1373.9410400390625</v>
      </c>
      <c r="D64" s="59">
        <v>987643.875</v>
      </c>
      <c r="E64" s="59">
        <v>0</v>
      </c>
      <c r="F64" s="59">
        <v>-2.566504955291748</v>
      </c>
      <c r="G64" s="42">
        <v>0</v>
      </c>
      <c r="H64" s="23"/>
      <c r="I64" s="23"/>
      <c r="J64" s="99"/>
      <c r="K64" s="99"/>
      <c r="L64" s="99"/>
      <c r="M64" s="99"/>
      <c r="N64" s="43">
        <f t="shared" si="0"/>
        <v>1373.9410400390625</v>
      </c>
      <c r="O64" s="43"/>
      <c r="P64" s="23"/>
      <c r="Q64" s="23"/>
    </row>
    <row r="65" spans="1:17">
      <c r="A65" s="23"/>
      <c r="B65" s="53">
        <v>55</v>
      </c>
      <c r="C65" s="58">
        <v>1468.7490234375</v>
      </c>
      <c r="D65" s="59">
        <v>987408.125</v>
      </c>
      <c r="E65" s="59">
        <v>0</v>
      </c>
      <c r="F65" s="59">
        <v>-2.7448949813842773</v>
      </c>
      <c r="G65" s="42">
        <v>0</v>
      </c>
      <c r="H65" s="23"/>
      <c r="I65" s="23"/>
      <c r="J65" s="99"/>
      <c r="K65" s="99"/>
      <c r="L65" s="99"/>
      <c r="M65" s="99"/>
      <c r="N65" s="43">
        <f t="shared" si="0"/>
        <v>1468.7490234375</v>
      </c>
      <c r="O65" s="43"/>
      <c r="P65" s="23"/>
      <c r="Q65" s="23"/>
    </row>
    <row r="66" spans="1:17">
      <c r="A66" s="23"/>
      <c r="B66" s="53">
        <v>56</v>
      </c>
      <c r="C66" s="58">
        <v>1570.0989990234375</v>
      </c>
      <c r="D66" s="59">
        <v>987362.625</v>
      </c>
      <c r="E66" s="59">
        <v>0</v>
      </c>
      <c r="F66" s="59">
        <v>-2.945857048034668</v>
      </c>
      <c r="G66" s="42">
        <v>0</v>
      </c>
      <c r="H66" s="23"/>
      <c r="I66" s="23"/>
      <c r="J66" s="99"/>
      <c r="K66" s="99"/>
      <c r="L66" s="99"/>
      <c r="M66" s="99"/>
      <c r="N66" s="43">
        <f t="shared" si="0"/>
        <v>1570.0989990234375</v>
      </c>
      <c r="O66" s="43"/>
      <c r="P66" s="23"/>
      <c r="Q66" s="23"/>
    </row>
    <row r="67" spans="1:17">
      <c r="A67" s="23"/>
      <c r="B67" s="53">
        <v>57</v>
      </c>
      <c r="C67" s="58">
        <v>1678.4420166015625</v>
      </c>
      <c r="D67" s="59">
        <v>987029.125</v>
      </c>
      <c r="E67" s="59">
        <v>0</v>
      </c>
      <c r="F67" s="59">
        <v>-3.1437520980834961</v>
      </c>
      <c r="G67" s="42">
        <v>0</v>
      </c>
      <c r="H67" s="23"/>
      <c r="I67" s="23"/>
      <c r="J67" s="99"/>
      <c r="K67" s="99"/>
      <c r="L67" s="99"/>
      <c r="M67" s="99"/>
      <c r="N67" s="43">
        <f t="shared" si="0"/>
        <v>1678.4420166015625</v>
      </c>
      <c r="O67" s="43"/>
      <c r="P67" s="23"/>
      <c r="Q67" s="23"/>
    </row>
    <row r="68" spans="1:17">
      <c r="A68" s="23"/>
      <c r="B68" s="53">
        <v>58</v>
      </c>
      <c r="C68" s="58">
        <v>1794.261962890625</v>
      </c>
      <c r="D68" s="59">
        <v>986848.625</v>
      </c>
      <c r="E68" s="59">
        <v>0</v>
      </c>
      <c r="F68" s="59">
        <v>-3.3659539222717285</v>
      </c>
      <c r="G68" s="42">
        <v>0</v>
      </c>
      <c r="H68" s="23"/>
      <c r="I68" s="23"/>
      <c r="J68" s="99"/>
      <c r="K68" s="99"/>
      <c r="L68" s="99"/>
      <c r="M68" s="99"/>
      <c r="N68" s="43">
        <f t="shared" si="0"/>
        <v>1794.261962890625</v>
      </c>
      <c r="O68" s="43"/>
      <c r="P68" s="23"/>
      <c r="Q68" s="23"/>
    </row>
    <row r="69" spans="1:17">
      <c r="A69" s="23"/>
      <c r="B69" s="53">
        <v>59</v>
      </c>
      <c r="C69" s="58">
        <v>1918.072998046875</v>
      </c>
      <c r="D69" s="59">
        <v>986505.125</v>
      </c>
      <c r="E69" s="59">
        <v>0</v>
      </c>
      <c r="F69" s="59">
        <v>-3.5975809097290039</v>
      </c>
      <c r="G69" s="42">
        <v>0</v>
      </c>
      <c r="H69" s="23"/>
      <c r="I69" s="23"/>
      <c r="J69" s="99"/>
      <c r="K69" s="99"/>
      <c r="L69" s="99"/>
      <c r="M69" s="99"/>
      <c r="N69" s="43">
        <f t="shared" si="0"/>
        <v>1918.072998046875</v>
      </c>
      <c r="O69" s="43"/>
      <c r="P69" s="23"/>
      <c r="Q69" s="23"/>
    </row>
    <row r="70" spans="1:17">
      <c r="A70" s="23"/>
      <c r="B70" s="53">
        <v>60</v>
      </c>
      <c r="C70" s="58">
        <v>2050.427978515625</v>
      </c>
      <c r="D70" s="59">
        <v>986242.5</v>
      </c>
      <c r="E70" s="59">
        <v>0</v>
      </c>
      <c r="F70" s="59">
        <v>-3.845944881439209</v>
      </c>
      <c r="G70" s="42">
        <v>0</v>
      </c>
      <c r="H70" s="23"/>
      <c r="I70" s="23"/>
      <c r="J70" s="99"/>
      <c r="K70" s="99"/>
      <c r="L70" s="99"/>
      <c r="M70" s="99"/>
      <c r="N70" s="43">
        <f t="shared" si="0"/>
        <v>2050.427978515625</v>
      </c>
      <c r="O70" s="43"/>
      <c r="P70" s="23"/>
      <c r="Q70" s="23"/>
    </row>
    <row r="71" spans="1:17">
      <c r="A71" s="23"/>
      <c r="B71" s="53">
        <v>61</v>
      </c>
      <c r="C71" s="58">
        <v>2191.916015625</v>
      </c>
      <c r="D71" s="59">
        <v>985775.6875</v>
      </c>
      <c r="E71" s="59">
        <v>0</v>
      </c>
      <c r="F71" s="59">
        <v>-4.1077079772949219</v>
      </c>
      <c r="G71" s="42">
        <v>0</v>
      </c>
      <c r="H71" s="23"/>
      <c r="I71" s="23"/>
      <c r="J71" s="99"/>
      <c r="K71" s="99"/>
      <c r="L71" s="99"/>
      <c r="M71" s="99"/>
      <c r="N71" s="43">
        <f t="shared" si="0"/>
        <v>2191.916015625</v>
      </c>
      <c r="O71" s="43"/>
      <c r="P71" s="23"/>
      <c r="Q71" s="23"/>
    </row>
    <row r="72" spans="1:17">
      <c r="A72" s="23"/>
      <c r="B72" s="53">
        <v>62</v>
      </c>
      <c r="C72" s="58">
        <v>2343.16796875</v>
      </c>
      <c r="D72" s="59">
        <v>985497.6875</v>
      </c>
      <c r="E72" s="59">
        <v>0</v>
      </c>
      <c r="F72" s="59">
        <v>-4.3895578384399414</v>
      </c>
      <c r="G72" s="42">
        <v>0</v>
      </c>
      <c r="H72" s="23"/>
      <c r="I72" s="23"/>
      <c r="J72" s="99"/>
      <c r="K72" s="99"/>
      <c r="L72" s="99"/>
      <c r="M72" s="99"/>
      <c r="N72" s="43">
        <f t="shared" si="0"/>
        <v>2343.16796875</v>
      </c>
      <c r="O72" s="43"/>
      <c r="P72" s="23"/>
      <c r="Q72" s="23"/>
    </row>
    <row r="73" spans="1:17">
      <c r="A73" s="23"/>
      <c r="B73" s="53">
        <v>63</v>
      </c>
      <c r="C73" s="58">
        <v>2504.85595703125</v>
      </c>
      <c r="D73" s="59">
        <v>985117.8125</v>
      </c>
      <c r="E73" s="59">
        <v>0</v>
      </c>
      <c r="F73" s="59">
        <v>-4.6942081451416016</v>
      </c>
      <c r="G73" s="42">
        <v>0</v>
      </c>
      <c r="H73" s="23"/>
      <c r="I73" s="23"/>
      <c r="J73" s="99"/>
      <c r="K73" s="99"/>
      <c r="L73" s="99"/>
      <c r="M73" s="99"/>
      <c r="N73" s="43">
        <f t="shared" si="0"/>
        <v>2504.85595703125</v>
      </c>
      <c r="O73" s="43"/>
      <c r="P73" s="23"/>
      <c r="Q73" s="23"/>
    </row>
    <row r="74" spans="1:17">
      <c r="A74" s="23"/>
      <c r="B74" s="53">
        <v>64</v>
      </c>
      <c r="C74" s="58">
        <v>2677.701904296875</v>
      </c>
      <c r="D74" s="59">
        <v>984339.125</v>
      </c>
      <c r="E74" s="59">
        <v>0</v>
      </c>
      <c r="F74" s="59">
        <v>-5.0104207992553711</v>
      </c>
      <c r="G74" s="42">
        <v>0</v>
      </c>
      <c r="H74" s="23"/>
      <c r="I74" s="23"/>
      <c r="J74" s="99"/>
      <c r="K74" s="99"/>
      <c r="L74" s="99"/>
      <c r="M74" s="99"/>
      <c r="N74" s="43">
        <f t="shared" si="0"/>
        <v>2677.701904296875</v>
      </c>
      <c r="O74" s="43"/>
      <c r="P74" s="23"/>
      <c r="Q74" s="23"/>
    </row>
    <row r="75" spans="1:17">
      <c r="A75" s="23"/>
      <c r="B75" s="53">
        <v>65</v>
      </c>
      <c r="C75" s="58">
        <v>2862.47412109375</v>
      </c>
      <c r="D75" s="59">
        <v>983824.375</v>
      </c>
      <c r="E75" s="59">
        <v>0</v>
      </c>
      <c r="F75" s="59">
        <v>-5.3504109382629395</v>
      </c>
      <c r="G75" s="42">
        <v>0</v>
      </c>
      <c r="H75" s="23"/>
      <c r="I75" s="23"/>
      <c r="J75" s="99"/>
      <c r="K75" s="99"/>
      <c r="L75" s="99"/>
      <c r="M75" s="99"/>
      <c r="N75" s="43">
        <f t="shared" ref="N75:N138" si="1">IF($L$4=$C$10,C75,IF(D75="","",B75))</f>
        <v>2862.47412109375</v>
      </c>
      <c r="O75" s="43"/>
      <c r="P75" s="23"/>
      <c r="Q75" s="23"/>
    </row>
    <row r="76" spans="1:17">
      <c r="A76" s="23"/>
      <c r="B76" s="53">
        <v>66</v>
      </c>
      <c r="C76" s="58">
        <v>3059.9970703125</v>
      </c>
      <c r="D76" s="59">
        <v>983270.5</v>
      </c>
      <c r="E76" s="59">
        <v>0</v>
      </c>
      <c r="F76" s="59">
        <v>-5.7261571884155273</v>
      </c>
      <c r="G76" s="42">
        <v>0</v>
      </c>
      <c r="H76" s="23"/>
      <c r="I76" s="23"/>
      <c r="J76" s="99"/>
      <c r="K76" s="99"/>
      <c r="L76" s="99"/>
      <c r="M76" s="99"/>
      <c r="N76" s="43">
        <f t="shared" si="1"/>
        <v>3059.9970703125</v>
      </c>
      <c r="O76" s="43"/>
      <c r="P76" s="23"/>
      <c r="Q76" s="23"/>
    </row>
    <row r="77" spans="1:17">
      <c r="A77" s="23"/>
      <c r="B77" s="53">
        <v>67</v>
      </c>
      <c r="C77" s="58">
        <v>3271.14990234375</v>
      </c>
      <c r="D77" s="59">
        <v>982467.625</v>
      </c>
      <c r="E77" s="59">
        <v>0</v>
      </c>
      <c r="F77" s="59">
        <v>-6.1156058311462402</v>
      </c>
      <c r="G77" s="42">
        <v>0</v>
      </c>
      <c r="H77" s="23"/>
      <c r="I77" s="23"/>
      <c r="J77" s="99"/>
      <c r="K77" s="99"/>
      <c r="L77" s="99"/>
      <c r="M77" s="99"/>
      <c r="N77" s="43">
        <f t="shared" si="1"/>
        <v>3271.14990234375</v>
      </c>
      <c r="O77" s="43"/>
      <c r="P77" s="23"/>
      <c r="Q77" s="23"/>
    </row>
    <row r="78" spans="1:17">
      <c r="A78" s="23"/>
      <c r="B78" s="53">
        <v>68</v>
      </c>
      <c r="C78" s="58">
        <v>3496.8720703125</v>
      </c>
      <c r="D78" s="59">
        <v>981665</v>
      </c>
      <c r="E78" s="59">
        <v>0</v>
      </c>
      <c r="F78" s="59">
        <v>-6.5361800193786621</v>
      </c>
      <c r="G78" s="42">
        <v>0</v>
      </c>
      <c r="H78" s="23"/>
      <c r="I78" s="23"/>
      <c r="J78" s="99"/>
      <c r="K78" s="99"/>
      <c r="L78" s="99"/>
      <c r="M78" s="99"/>
      <c r="N78" s="43">
        <f t="shared" si="1"/>
        <v>3496.8720703125</v>
      </c>
      <c r="O78" s="43"/>
      <c r="P78" s="23"/>
      <c r="Q78" s="23"/>
    </row>
    <row r="79" spans="1:17">
      <c r="A79" s="23"/>
      <c r="B79" s="53">
        <v>69</v>
      </c>
      <c r="C79" s="58">
        <v>3738.1708984375</v>
      </c>
      <c r="D79" s="59">
        <v>980602.375</v>
      </c>
      <c r="E79" s="59">
        <v>0</v>
      </c>
      <c r="F79" s="59">
        <v>-6.977787971496582</v>
      </c>
      <c r="G79" s="42">
        <v>0</v>
      </c>
      <c r="H79" s="23"/>
      <c r="I79" s="23"/>
      <c r="J79" s="99"/>
      <c r="K79" s="99"/>
      <c r="L79" s="99"/>
      <c r="M79" s="99"/>
      <c r="N79" s="43">
        <f t="shared" si="1"/>
        <v>3738.1708984375</v>
      </c>
      <c r="O79" s="43"/>
      <c r="P79" s="23"/>
      <c r="Q79" s="23"/>
    </row>
    <row r="80" spans="1:17">
      <c r="A80" s="23"/>
      <c r="B80" s="53">
        <v>70</v>
      </c>
      <c r="C80" s="58">
        <v>3996.12109375</v>
      </c>
      <c r="D80" s="59">
        <v>979597.125</v>
      </c>
      <c r="E80" s="59">
        <v>0</v>
      </c>
      <c r="F80" s="59">
        <v>-7.4469718933105469</v>
      </c>
      <c r="G80" s="42">
        <v>0</v>
      </c>
      <c r="H80" s="23"/>
      <c r="I80" s="23"/>
      <c r="J80" s="99"/>
      <c r="K80" s="99"/>
      <c r="L80" s="99"/>
      <c r="M80" s="99"/>
      <c r="N80" s="43">
        <f t="shared" si="1"/>
        <v>3996.12109375</v>
      </c>
      <c r="O80" s="43"/>
      <c r="P80" s="23"/>
      <c r="Q80" s="23"/>
    </row>
    <row r="81" spans="1:17">
      <c r="A81" s="23"/>
      <c r="B81" s="53">
        <v>71</v>
      </c>
      <c r="C81" s="58">
        <v>4271.8701171875</v>
      </c>
      <c r="D81" s="59">
        <v>978239.625</v>
      </c>
      <c r="E81" s="59">
        <v>0</v>
      </c>
      <c r="F81" s="59">
        <v>-7.9573488235473633</v>
      </c>
      <c r="G81" s="42">
        <v>0</v>
      </c>
      <c r="H81" s="23"/>
      <c r="I81" s="23"/>
      <c r="J81" s="99"/>
      <c r="K81" s="99"/>
      <c r="L81" s="99"/>
      <c r="M81" s="99"/>
      <c r="N81" s="43">
        <f t="shared" si="1"/>
        <v>4271.8701171875</v>
      </c>
      <c r="O81" s="43"/>
      <c r="P81" s="23"/>
      <c r="Q81" s="23"/>
    </row>
    <row r="82" spans="1:17">
      <c r="A82" s="23"/>
      <c r="B82" s="53">
        <v>72</v>
      </c>
      <c r="C82" s="58">
        <v>4566.64697265625</v>
      </c>
      <c r="D82" s="59">
        <v>976931.1875</v>
      </c>
      <c r="E82" s="59">
        <v>0</v>
      </c>
      <c r="F82" s="59">
        <v>-8.5004911422729492</v>
      </c>
      <c r="G82" s="42">
        <v>0</v>
      </c>
      <c r="H82" s="23"/>
      <c r="I82" s="23"/>
      <c r="J82" s="99"/>
      <c r="K82" s="99"/>
      <c r="L82" s="99"/>
      <c r="M82" s="99"/>
      <c r="N82" s="43">
        <f t="shared" si="1"/>
        <v>4566.64697265625</v>
      </c>
      <c r="O82" s="43"/>
      <c r="P82" s="23"/>
      <c r="Q82" s="23"/>
    </row>
    <row r="83" spans="1:17">
      <c r="A83" s="23"/>
      <c r="B83" s="53">
        <v>73</v>
      </c>
      <c r="C83" s="58">
        <v>4881.76416015625</v>
      </c>
      <c r="D83" s="59">
        <v>975269.6875</v>
      </c>
      <c r="E83" s="59">
        <v>0</v>
      </c>
      <c r="F83" s="59">
        <v>-9.0698461532592773</v>
      </c>
      <c r="G83" s="42">
        <v>0</v>
      </c>
      <c r="H83" s="23"/>
      <c r="I83" s="23"/>
      <c r="J83" s="99"/>
      <c r="K83" s="99"/>
      <c r="L83" s="99"/>
      <c r="M83" s="99"/>
      <c r="N83" s="43">
        <f t="shared" si="1"/>
        <v>4881.76416015625</v>
      </c>
      <c r="O83" s="43"/>
      <c r="P83" s="23"/>
      <c r="Q83" s="23"/>
    </row>
    <row r="84" spans="1:17">
      <c r="A84" s="23"/>
      <c r="B84" s="53">
        <v>74</v>
      </c>
      <c r="C84" s="58">
        <v>5218.6259765625</v>
      </c>
      <c r="D84" s="59">
        <v>973376.625</v>
      </c>
      <c r="E84" s="59">
        <v>0</v>
      </c>
      <c r="F84" s="59">
        <v>-9.6857442855834961</v>
      </c>
      <c r="G84" s="42">
        <v>0</v>
      </c>
      <c r="H84" s="23"/>
      <c r="I84" s="23"/>
      <c r="J84" s="99"/>
      <c r="K84" s="99"/>
      <c r="L84" s="99"/>
      <c r="M84" s="99"/>
      <c r="N84" s="43">
        <f t="shared" si="1"/>
        <v>5218.6259765625</v>
      </c>
      <c r="O84" s="43"/>
      <c r="P84" s="23"/>
      <c r="Q84" s="23"/>
    </row>
    <row r="85" spans="1:17">
      <c r="A85" s="23"/>
      <c r="B85" s="53">
        <v>75</v>
      </c>
      <c r="C85" s="58">
        <v>5578.73291015625</v>
      </c>
      <c r="D85" s="59">
        <v>971405</v>
      </c>
      <c r="E85" s="59">
        <v>0</v>
      </c>
      <c r="F85" s="59">
        <v>-10.337849617004395</v>
      </c>
      <c r="G85" s="42">
        <v>0</v>
      </c>
      <c r="H85" s="23"/>
      <c r="I85" s="23"/>
      <c r="J85" s="99"/>
      <c r="K85" s="99"/>
      <c r="L85" s="99"/>
      <c r="M85" s="99"/>
      <c r="N85" s="43">
        <f t="shared" si="1"/>
        <v>5578.73291015625</v>
      </c>
      <c r="O85" s="43"/>
      <c r="P85" s="23"/>
      <c r="Q85" s="23"/>
    </row>
    <row r="86" spans="1:17">
      <c r="A86" s="23"/>
      <c r="B86" s="53">
        <v>76</v>
      </c>
      <c r="C86" s="58">
        <v>5963.68896484375</v>
      </c>
      <c r="D86" s="59">
        <v>969016.375</v>
      </c>
      <c r="E86" s="59">
        <v>0</v>
      </c>
      <c r="F86" s="59">
        <v>-11.030559539794922</v>
      </c>
      <c r="G86" s="42">
        <v>0</v>
      </c>
      <c r="H86" s="23"/>
      <c r="I86" s="23"/>
      <c r="J86" s="99"/>
      <c r="K86" s="99"/>
      <c r="L86" s="99"/>
      <c r="M86" s="99"/>
      <c r="N86" s="43">
        <f t="shared" si="1"/>
        <v>5963.68896484375</v>
      </c>
      <c r="O86" s="43"/>
      <c r="P86" s="23"/>
      <c r="Q86" s="23"/>
    </row>
    <row r="87" spans="1:17">
      <c r="A87" s="23"/>
      <c r="B87" s="53">
        <v>77</v>
      </c>
      <c r="C87" s="58">
        <v>6375.208984375</v>
      </c>
      <c r="D87" s="59">
        <v>966425.1875</v>
      </c>
      <c r="E87" s="59">
        <v>0</v>
      </c>
      <c r="F87" s="59">
        <v>-11.767990112304688</v>
      </c>
      <c r="G87" s="42">
        <v>0</v>
      </c>
      <c r="H87" s="23"/>
      <c r="I87" s="23"/>
      <c r="J87" s="99"/>
      <c r="K87" s="99"/>
      <c r="L87" s="99"/>
      <c r="M87" s="99"/>
      <c r="N87" s="43">
        <f t="shared" si="1"/>
        <v>6375.208984375</v>
      </c>
      <c r="O87" s="43"/>
      <c r="P87" s="23"/>
      <c r="Q87" s="23"/>
    </row>
    <row r="88" spans="1:17">
      <c r="A88" s="23"/>
      <c r="B88" s="53">
        <v>78</v>
      </c>
      <c r="C88" s="58">
        <v>6815.125</v>
      </c>
      <c r="D88" s="59">
        <v>963488.125</v>
      </c>
      <c r="E88" s="59">
        <v>0</v>
      </c>
      <c r="F88" s="59">
        <v>-12.541119575500488</v>
      </c>
      <c r="G88" s="42">
        <v>0</v>
      </c>
      <c r="H88" s="23"/>
      <c r="I88" s="23"/>
      <c r="J88" s="99"/>
      <c r="K88" s="99"/>
      <c r="L88" s="99"/>
      <c r="M88" s="99"/>
      <c r="N88" s="43">
        <f t="shared" si="1"/>
        <v>6815.125</v>
      </c>
      <c r="O88" s="43"/>
      <c r="P88" s="23"/>
      <c r="Q88" s="23"/>
    </row>
    <row r="89" spans="1:17">
      <c r="A89" s="23"/>
      <c r="B89" s="53">
        <v>79</v>
      </c>
      <c r="C89" s="58">
        <v>7285.39697265625</v>
      </c>
      <c r="D89" s="59">
        <v>960028.625</v>
      </c>
      <c r="E89" s="59">
        <v>0</v>
      </c>
      <c r="F89" s="59">
        <v>-13.364500045776367</v>
      </c>
      <c r="G89" s="42">
        <v>0</v>
      </c>
      <c r="H89" s="23"/>
      <c r="I89" s="23"/>
      <c r="J89" s="99"/>
      <c r="K89" s="99"/>
      <c r="L89" s="99"/>
      <c r="M89" s="99"/>
      <c r="N89" s="43">
        <f t="shared" si="1"/>
        <v>7285.39697265625</v>
      </c>
      <c r="O89" s="43"/>
      <c r="P89" s="23"/>
      <c r="Q89" s="23"/>
    </row>
    <row r="90" spans="1:17">
      <c r="A90" s="23"/>
      <c r="B90" s="53">
        <v>80</v>
      </c>
      <c r="C90" s="58">
        <v>7788.119140625</v>
      </c>
      <c r="D90" s="59">
        <v>956367.5</v>
      </c>
      <c r="E90" s="59">
        <v>0</v>
      </c>
      <c r="F90" s="59">
        <v>-14.244990348815918</v>
      </c>
      <c r="G90" s="42">
        <v>0</v>
      </c>
      <c r="H90" s="23"/>
      <c r="I90" s="23"/>
      <c r="J90" s="99"/>
      <c r="K90" s="99"/>
      <c r="L90" s="99"/>
      <c r="M90" s="99"/>
      <c r="N90" s="43">
        <f t="shared" si="1"/>
        <v>7788.119140625</v>
      </c>
      <c r="O90" s="43"/>
      <c r="P90" s="23"/>
      <c r="Q90" s="23"/>
    </row>
    <row r="91" spans="1:17">
      <c r="A91" s="23"/>
      <c r="B91" s="53">
        <v>81</v>
      </c>
      <c r="C91" s="58">
        <v>8325.5322265625</v>
      </c>
      <c r="D91" s="59">
        <v>951959</v>
      </c>
      <c r="E91" s="59">
        <v>0</v>
      </c>
      <c r="F91" s="59">
        <v>-15.18220043182373</v>
      </c>
      <c r="G91" s="42">
        <v>0</v>
      </c>
      <c r="H91" s="23"/>
      <c r="I91" s="23"/>
      <c r="J91" s="99"/>
      <c r="K91" s="99"/>
      <c r="L91" s="99"/>
      <c r="M91" s="99"/>
      <c r="N91" s="43">
        <f t="shared" si="1"/>
        <v>8325.5322265625</v>
      </c>
      <c r="O91" s="43"/>
      <c r="P91" s="23"/>
      <c r="Q91" s="23"/>
    </row>
    <row r="92" spans="1:17">
      <c r="A92" s="23"/>
      <c r="B92" s="53">
        <v>82</v>
      </c>
      <c r="C92" s="58">
        <v>8900.029296875</v>
      </c>
      <c r="D92" s="59">
        <v>947338.8125</v>
      </c>
      <c r="E92" s="59">
        <v>0</v>
      </c>
      <c r="F92" s="59">
        <v>-16.174640655517578</v>
      </c>
      <c r="G92" s="42">
        <v>0</v>
      </c>
      <c r="H92" s="23"/>
      <c r="I92" s="23"/>
      <c r="J92" s="99"/>
      <c r="K92" s="99"/>
      <c r="L92" s="99"/>
      <c r="M92" s="99"/>
      <c r="N92" s="43">
        <f t="shared" si="1"/>
        <v>8900.029296875</v>
      </c>
      <c r="O92" s="43"/>
      <c r="P92" s="23"/>
      <c r="Q92" s="23"/>
    </row>
    <row r="93" spans="1:17">
      <c r="A93" s="23"/>
      <c r="B93" s="53">
        <v>83</v>
      </c>
      <c r="C93" s="58">
        <v>9514.16796875</v>
      </c>
      <c r="D93" s="59">
        <v>942130.375</v>
      </c>
      <c r="E93" s="59">
        <v>0</v>
      </c>
      <c r="F93" s="59">
        <v>-17.240909576416016</v>
      </c>
      <c r="G93" s="42">
        <v>0</v>
      </c>
      <c r="H93" s="23"/>
      <c r="I93" s="23"/>
      <c r="J93" s="99"/>
      <c r="K93" s="99"/>
      <c r="L93" s="99"/>
      <c r="M93" s="99"/>
      <c r="N93" s="43">
        <f t="shared" si="1"/>
        <v>9514.16796875</v>
      </c>
      <c r="O93" s="43"/>
      <c r="P93" s="23"/>
      <c r="Q93" s="23"/>
    </row>
    <row r="94" spans="1:17">
      <c r="A94" s="23"/>
      <c r="B94" s="53">
        <v>84</v>
      </c>
      <c r="C94" s="58">
        <v>10170.6845703125</v>
      </c>
      <c r="D94" s="59">
        <v>936067.375</v>
      </c>
      <c r="E94" s="59">
        <v>0</v>
      </c>
      <c r="F94" s="59">
        <v>-18.335409164428711</v>
      </c>
      <c r="G94" s="42">
        <v>0</v>
      </c>
      <c r="H94" s="23"/>
      <c r="I94" s="23"/>
      <c r="J94" s="99"/>
      <c r="K94" s="99"/>
      <c r="L94" s="99"/>
      <c r="M94" s="99"/>
      <c r="N94" s="43">
        <f t="shared" si="1"/>
        <v>10170.6845703125</v>
      </c>
      <c r="O94" s="43"/>
      <c r="P94" s="23"/>
      <c r="Q94" s="23"/>
    </row>
    <row r="95" spans="1:17">
      <c r="A95" s="23"/>
      <c r="B95" s="53">
        <v>85</v>
      </c>
      <c r="C95" s="58">
        <v>10872.5048828125</v>
      </c>
      <c r="D95" s="59">
        <v>929497.1875</v>
      </c>
      <c r="E95" s="59">
        <v>0</v>
      </c>
      <c r="F95" s="59">
        <v>-19.486270904541016</v>
      </c>
      <c r="G95" s="42">
        <v>0</v>
      </c>
      <c r="H95" s="23"/>
      <c r="I95" s="23"/>
      <c r="J95" s="99"/>
      <c r="K95" s="99"/>
      <c r="L95" s="99"/>
      <c r="M95" s="99"/>
      <c r="N95" s="43">
        <f t="shared" si="1"/>
        <v>10872.5048828125</v>
      </c>
      <c r="O95" s="43"/>
      <c r="P95" s="23"/>
      <c r="Q95" s="23"/>
    </row>
    <row r="96" spans="1:17">
      <c r="A96" s="23"/>
      <c r="B96" s="53">
        <v>86</v>
      </c>
      <c r="C96" s="58">
        <v>11622.7529296875</v>
      </c>
      <c r="D96" s="59">
        <v>922109.1875</v>
      </c>
      <c r="E96" s="59">
        <v>0</v>
      </c>
      <c r="F96" s="59">
        <v>-20.731870651245117</v>
      </c>
      <c r="G96" s="42">
        <v>0</v>
      </c>
      <c r="H96" s="23"/>
      <c r="I96" s="23"/>
      <c r="J96" s="99"/>
      <c r="K96" s="99"/>
      <c r="L96" s="99"/>
      <c r="M96" s="99"/>
      <c r="N96" s="43">
        <f t="shared" si="1"/>
        <v>11622.7529296875</v>
      </c>
      <c r="O96" s="43"/>
      <c r="P96" s="23"/>
      <c r="Q96" s="23"/>
    </row>
    <row r="97" spans="1:17">
      <c r="A97" s="23"/>
      <c r="B97" s="53">
        <v>87</v>
      </c>
      <c r="C97" s="58">
        <v>12424.771484375</v>
      </c>
      <c r="D97" s="59">
        <v>913643.375</v>
      </c>
      <c r="E97" s="59">
        <v>0</v>
      </c>
      <c r="F97" s="59">
        <v>-22.001729965209961</v>
      </c>
      <c r="G97" s="42">
        <v>0</v>
      </c>
      <c r="H97" s="23"/>
      <c r="I97" s="23"/>
      <c r="J97" s="99"/>
      <c r="K97" s="99"/>
      <c r="L97" s="99"/>
      <c r="M97" s="99"/>
      <c r="N97" s="43">
        <f t="shared" si="1"/>
        <v>12424.771484375</v>
      </c>
      <c r="O97" s="43"/>
      <c r="P97" s="23"/>
      <c r="Q97" s="23"/>
    </row>
    <row r="98" spans="1:17">
      <c r="A98" s="23"/>
      <c r="B98" s="53">
        <v>88</v>
      </c>
      <c r="C98" s="58">
        <v>13282.1318359375</v>
      </c>
      <c r="D98" s="59">
        <v>904608.3125</v>
      </c>
      <c r="E98" s="59">
        <v>0</v>
      </c>
      <c r="F98" s="59">
        <v>-23.347610473632813</v>
      </c>
      <c r="G98" s="42">
        <v>0</v>
      </c>
      <c r="H98" s="23"/>
      <c r="I98" s="23"/>
      <c r="J98" s="99"/>
      <c r="K98" s="99"/>
      <c r="L98" s="99"/>
      <c r="M98" s="99"/>
      <c r="N98" s="43">
        <f t="shared" si="1"/>
        <v>13282.1318359375</v>
      </c>
      <c r="O98" s="43"/>
      <c r="P98" s="23"/>
      <c r="Q98" s="23"/>
    </row>
    <row r="99" spans="1:17">
      <c r="A99" s="23"/>
      <c r="B99" s="53">
        <v>89</v>
      </c>
      <c r="C99" s="58">
        <v>14198.6552734375</v>
      </c>
      <c r="D99" s="59">
        <v>894493.375</v>
      </c>
      <c r="E99" s="59">
        <v>0</v>
      </c>
      <c r="F99" s="59">
        <v>-24.755619049072266</v>
      </c>
      <c r="G99" s="42">
        <v>0</v>
      </c>
      <c r="H99" s="23"/>
      <c r="I99" s="23"/>
      <c r="J99" s="99"/>
      <c r="K99" s="99"/>
      <c r="L99" s="99"/>
      <c r="M99" s="99"/>
      <c r="N99" s="43">
        <f t="shared" si="1"/>
        <v>14198.6552734375</v>
      </c>
      <c r="O99" s="43"/>
      <c r="P99" s="23"/>
      <c r="Q99" s="23"/>
    </row>
    <row r="100" spans="1:17">
      <c r="A100" s="23"/>
      <c r="B100" s="53">
        <v>90</v>
      </c>
      <c r="C100" s="58">
        <v>15178.4208984375</v>
      </c>
      <c r="D100" s="59">
        <v>883292</v>
      </c>
      <c r="E100" s="59">
        <v>0</v>
      </c>
      <c r="F100" s="59">
        <v>-26.229059219360352</v>
      </c>
      <c r="G100" s="42">
        <v>0</v>
      </c>
      <c r="H100" s="23"/>
      <c r="I100" s="23"/>
      <c r="J100" s="99"/>
      <c r="K100" s="99"/>
      <c r="L100" s="99"/>
      <c r="M100" s="99"/>
      <c r="N100" s="43">
        <f t="shared" si="1"/>
        <v>15178.4208984375</v>
      </c>
      <c r="O100" s="43"/>
      <c r="P100" s="23"/>
      <c r="Q100" s="23"/>
    </row>
    <row r="101" spans="1:17">
      <c r="A101" s="23"/>
      <c r="B101" s="53">
        <v>91</v>
      </c>
      <c r="C101" s="58">
        <v>16225.7958984375</v>
      </c>
      <c r="D101" s="59">
        <v>871083.875</v>
      </c>
      <c r="E101" s="59">
        <v>0</v>
      </c>
      <c r="F101" s="59">
        <v>-27.7593994140625</v>
      </c>
      <c r="G101" s="42">
        <v>0</v>
      </c>
      <c r="H101" s="23"/>
      <c r="I101" s="23"/>
      <c r="J101" s="99"/>
      <c r="K101" s="99"/>
      <c r="L101" s="99"/>
      <c r="M101" s="99"/>
      <c r="N101" s="43">
        <f t="shared" si="1"/>
        <v>16225.7958984375</v>
      </c>
      <c r="O101" s="43"/>
      <c r="P101" s="23"/>
      <c r="Q101" s="23"/>
    </row>
    <row r="102" spans="1:17">
      <c r="A102" s="23"/>
      <c r="B102" s="53">
        <v>92</v>
      </c>
      <c r="C102" s="58">
        <v>17345.443359375</v>
      </c>
      <c r="D102" s="59">
        <v>857704.8125</v>
      </c>
      <c r="E102" s="59">
        <v>0</v>
      </c>
      <c r="F102" s="59">
        <v>-29.347770690917969</v>
      </c>
      <c r="G102" s="42">
        <v>0</v>
      </c>
      <c r="H102" s="23"/>
      <c r="I102" s="23"/>
      <c r="J102" s="99"/>
      <c r="K102" s="99"/>
      <c r="L102" s="99"/>
      <c r="M102" s="99"/>
      <c r="N102" s="43">
        <f t="shared" si="1"/>
        <v>17345.443359375</v>
      </c>
      <c r="O102" s="43"/>
      <c r="P102" s="23"/>
      <c r="Q102" s="23"/>
    </row>
    <row r="103" spans="1:17">
      <c r="A103" s="23"/>
      <c r="B103" s="53">
        <v>93</v>
      </c>
      <c r="C103" s="58">
        <v>18542.3515625</v>
      </c>
      <c r="D103" s="59">
        <v>843243.625</v>
      </c>
      <c r="E103" s="59">
        <v>0</v>
      </c>
      <c r="F103" s="59">
        <v>-30.988979339599609</v>
      </c>
      <c r="G103" s="42">
        <v>0</v>
      </c>
      <c r="H103" s="23"/>
      <c r="I103" s="23"/>
      <c r="J103" s="99"/>
      <c r="K103" s="99"/>
      <c r="L103" s="99"/>
      <c r="M103" s="99"/>
      <c r="N103" s="43">
        <f t="shared" si="1"/>
        <v>18542.3515625</v>
      </c>
      <c r="O103" s="43"/>
      <c r="P103" s="23"/>
      <c r="Q103" s="23"/>
    </row>
    <row r="104" spans="1:17">
      <c r="A104" s="23"/>
      <c r="B104" s="53">
        <v>94</v>
      </c>
      <c r="C104" s="58">
        <v>19821.8515625</v>
      </c>
      <c r="D104" s="59">
        <v>827563.375</v>
      </c>
      <c r="E104" s="59">
        <v>0</v>
      </c>
      <c r="F104" s="59">
        <v>-32.687870025634766</v>
      </c>
      <c r="G104" s="42">
        <v>0</v>
      </c>
      <c r="H104" s="23"/>
      <c r="I104" s="23"/>
      <c r="J104" s="99"/>
      <c r="K104" s="99"/>
      <c r="L104" s="99"/>
      <c r="M104" s="99"/>
      <c r="N104" s="43">
        <f t="shared" si="1"/>
        <v>19821.8515625</v>
      </c>
      <c r="O104" s="43"/>
      <c r="P104" s="23"/>
      <c r="Q104" s="23"/>
    </row>
    <row r="105" spans="1:17">
      <c r="A105" s="23"/>
      <c r="B105" s="53">
        <v>95</v>
      </c>
      <c r="C105" s="58">
        <v>21189.640625</v>
      </c>
      <c r="D105" s="59">
        <v>810642</v>
      </c>
      <c r="E105" s="59">
        <v>0</v>
      </c>
      <c r="F105" s="59">
        <v>-34.433818817138672</v>
      </c>
      <c r="G105" s="42">
        <v>0</v>
      </c>
      <c r="H105" s="23"/>
      <c r="I105" s="23"/>
      <c r="J105" s="99"/>
      <c r="K105" s="99"/>
      <c r="L105" s="99"/>
      <c r="M105" s="99"/>
      <c r="N105" s="43">
        <f t="shared" si="1"/>
        <v>21189.640625</v>
      </c>
      <c r="O105" s="43"/>
      <c r="P105" s="23"/>
      <c r="Q105" s="23"/>
    </row>
    <row r="106" spans="1:17">
      <c r="A106" s="23"/>
      <c r="B106" s="53">
        <v>96</v>
      </c>
      <c r="C106" s="58">
        <v>22651.814453125</v>
      </c>
      <c r="D106" s="59">
        <v>792580.625</v>
      </c>
      <c r="E106" s="59">
        <v>0</v>
      </c>
      <c r="F106" s="59">
        <v>-36.207729339599609</v>
      </c>
      <c r="G106" s="42">
        <v>0</v>
      </c>
      <c r="H106" s="23"/>
      <c r="I106" s="23"/>
      <c r="J106" s="99"/>
      <c r="K106" s="99"/>
      <c r="L106" s="99"/>
      <c r="M106" s="99"/>
      <c r="N106" s="43">
        <f t="shared" si="1"/>
        <v>22651.814453125</v>
      </c>
      <c r="O106" s="43"/>
      <c r="P106" s="23"/>
      <c r="Q106" s="23"/>
    </row>
    <row r="107" spans="1:17">
      <c r="A107" s="23"/>
      <c r="B107" s="53">
        <v>97</v>
      </c>
      <c r="C107" s="58">
        <v>24214.884765625</v>
      </c>
      <c r="D107" s="59">
        <v>773427.625</v>
      </c>
      <c r="E107" s="59">
        <v>0</v>
      </c>
      <c r="F107" s="59">
        <v>-38.019569396972656</v>
      </c>
      <c r="G107" s="42">
        <v>0</v>
      </c>
      <c r="H107" s="23"/>
      <c r="I107" s="23"/>
      <c r="J107" s="99"/>
      <c r="K107" s="99"/>
      <c r="L107" s="99"/>
      <c r="M107" s="99"/>
      <c r="N107" s="43">
        <f t="shared" si="1"/>
        <v>24214.884765625</v>
      </c>
      <c r="O107" s="43"/>
      <c r="P107" s="23"/>
      <c r="Q107" s="23"/>
    </row>
    <row r="108" spans="1:17">
      <c r="A108" s="23"/>
      <c r="B108" s="53">
        <v>98</v>
      </c>
      <c r="C108" s="58">
        <v>25885.8125</v>
      </c>
      <c r="D108" s="59">
        <v>753181</v>
      </c>
      <c r="E108" s="59">
        <v>0</v>
      </c>
      <c r="F108" s="59">
        <v>-39.858249664306641</v>
      </c>
      <c r="G108" s="42">
        <v>0</v>
      </c>
      <c r="H108" s="23"/>
      <c r="I108" s="23"/>
      <c r="J108" s="99"/>
      <c r="K108" s="99"/>
      <c r="L108" s="99"/>
      <c r="M108" s="99"/>
      <c r="N108" s="43">
        <f t="shared" si="1"/>
        <v>25885.8125</v>
      </c>
      <c r="O108" s="43"/>
      <c r="P108" s="23"/>
      <c r="Q108" s="23"/>
    </row>
    <row r="109" spans="1:17">
      <c r="A109" s="23"/>
      <c r="B109" s="53">
        <v>99</v>
      </c>
      <c r="C109" s="58">
        <v>27672.041015625</v>
      </c>
      <c r="D109" s="59">
        <v>731913.8125</v>
      </c>
      <c r="E109" s="59">
        <v>0</v>
      </c>
      <c r="F109" s="59">
        <v>-41.720958709716797</v>
      </c>
      <c r="G109" s="42">
        <v>0</v>
      </c>
      <c r="H109" s="23"/>
      <c r="I109" s="23"/>
      <c r="J109" s="99"/>
      <c r="K109" s="99"/>
      <c r="L109" s="99"/>
      <c r="M109" s="99"/>
      <c r="N109" s="43">
        <f t="shared" si="1"/>
        <v>27672.041015625</v>
      </c>
      <c r="O109" s="43"/>
      <c r="P109" s="23"/>
      <c r="Q109" s="23"/>
    </row>
    <row r="110" spans="1:17">
      <c r="A110" s="23"/>
      <c r="B110" s="53">
        <v>100</v>
      </c>
      <c r="C110" s="58">
        <v>29581.52734375</v>
      </c>
      <c r="D110" s="59">
        <v>709649.625</v>
      </c>
      <c r="E110" s="59">
        <v>0</v>
      </c>
      <c r="F110" s="59">
        <v>-43.603000640869141</v>
      </c>
      <c r="G110" s="42">
        <v>0</v>
      </c>
      <c r="H110" s="23"/>
      <c r="I110" s="23"/>
      <c r="J110" s="99"/>
      <c r="K110" s="99"/>
      <c r="L110" s="99"/>
      <c r="M110" s="99"/>
      <c r="N110" s="43">
        <f t="shared" si="1"/>
        <v>29581.52734375</v>
      </c>
      <c r="O110" s="43"/>
      <c r="P110" s="23"/>
      <c r="Q110" s="23"/>
    </row>
    <row r="111" spans="1:17">
      <c r="A111" s="23"/>
      <c r="B111" s="53">
        <v>101</v>
      </c>
      <c r="C111" s="58">
        <v>31622.77734375</v>
      </c>
      <c r="D111" s="59">
        <v>686662.1875</v>
      </c>
      <c r="E111" s="59">
        <v>0</v>
      </c>
      <c r="F111" s="59">
        <v>-45.485870361328125</v>
      </c>
      <c r="G111" s="42">
        <v>0</v>
      </c>
      <c r="H111" s="23"/>
      <c r="I111" s="23"/>
      <c r="J111" s="99"/>
      <c r="K111" s="99"/>
      <c r="L111" s="99"/>
      <c r="M111" s="99"/>
      <c r="N111" s="43">
        <f t="shared" si="1"/>
        <v>31622.77734375</v>
      </c>
      <c r="O111" s="43"/>
      <c r="P111" s="23"/>
      <c r="Q111" s="23"/>
    </row>
    <row r="112" spans="1:17">
      <c r="A112" s="23"/>
      <c r="B112" s="53">
        <v>102</v>
      </c>
      <c r="C112" s="58">
        <v>33804.87890625</v>
      </c>
      <c r="D112" s="59">
        <v>662959.375</v>
      </c>
      <c r="E112" s="59">
        <v>0</v>
      </c>
      <c r="F112" s="59">
        <v>-47.356819152832031</v>
      </c>
      <c r="G112" s="42">
        <v>0</v>
      </c>
      <c r="H112" s="23"/>
      <c r="I112" s="23"/>
      <c r="J112" s="99"/>
      <c r="K112" s="99"/>
      <c r="L112" s="99"/>
      <c r="M112" s="99"/>
      <c r="N112" s="43">
        <f t="shared" si="1"/>
        <v>33804.87890625</v>
      </c>
      <c r="O112" s="43"/>
      <c r="P112" s="23"/>
      <c r="Q112" s="23"/>
    </row>
    <row r="113" spans="1:17">
      <c r="A113" s="23"/>
      <c r="B113" s="53">
        <v>103</v>
      </c>
      <c r="C113" s="58">
        <v>36137.55859375</v>
      </c>
      <c r="D113" s="59">
        <v>638686.875</v>
      </c>
      <c r="E113" s="59">
        <v>0</v>
      </c>
      <c r="F113" s="59">
        <v>-49.221721649169922</v>
      </c>
      <c r="G113" s="42">
        <v>0</v>
      </c>
      <c r="H113" s="23"/>
      <c r="I113" s="23"/>
      <c r="J113" s="99"/>
      <c r="K113" s="99"/>
      <c r="L113" s="99"/>
      <c r="M113" s="99"/>
      <c r="N113" s="43">
        <f t="shared" si="1"/>
        <v>36137.55859375</v>
      </c>
      <c r="O113" s="43"/>
      <c r="P113" s="23"/>
      <c r="Q113" s="23"/>
    </row>
    <row r="114" spans="1:17">
      <c r="A114" s="23"/>
      <c r="B114" s="53">
        <v>104</v>
      </c>
      <c r="C114" s="58">
        <v>38631.19921875</v>
      </c>
      <c r="D114" s="59">
        <v>613934.125</v>
      </c>
      <c r="E114" s="59">
        <v>0</v>
      </c>
      <c r="F114" s="59">
        <v>-51.0701904296875</v>
      </c>
      <c r="G114" s="42">
        <v>0</v>
      </c>
      <c r="H114" s="23"/>
      <c r="I114" s="23"/>
      <c r="J114" s="99"/>
      <c r="K114" s="99"/>
      <c r="L114" s="99"/>
      <c r="M114" s="99"/>
      <c r="N114" s="43">
        <f t="shared" si="1"/>
        <v>38631.19921875</v>
      </c>
      <c r="O114" s="43"/>
      <c r="P114" s="23"/>
      <c r="Q114" s="23"/>
    </row>
    <row r="115" spans="1:17">
      <c r="A115" s="23"/>
      <c r="B115" s="53">
        <v>105</v>
      </c>
      <c r="C115" s="58">
        <v>41296.9140625</v>
      </c>
      <c r="D115" s="59">
        <v>589005.625</v>
      </c>
      <c r="E115" s="59">
        <v>0</v>
      </c>
      <c r="F115" s="59">
        <v>-52.884849548339844</v>
      </c>
      <c r="G115" s="42">
        <v>0</v>
      </c>
      <c r="H115" s="23"/>
      <c r="I115" s="23"/>
      <c r="J115" s="99"/>
      <c r="K115" s="99"/>
      <c r="L115" s="99"/>
      <c r="M115" s="99"/>
      <c r="N115" s="43">
        <f t="shared" si="1"/>
        <v>41296.9140625</v>
      </c>
      <c r="O115" s="43"/>
      <c r="P115" s="23"/>
      <c r="Q115" s="23"/>
    </row>
    <row r="116" spans="1:17">
      <c r="A116" s="23"/>
      <c r="B116" s="53">
        <v>106</v>
      </c>
      <c r="C116" s="58">
        <v>44146.57421875</v>
      </c>
      <c r="D116" s="59">
        <v>563906.375</v>
      </c>
      <c r="E116" s="59">
        <v>0</v>
      </c>
      <c r="F116" s="59">
        <v>-54.669300079345703</v>
      </c>
      <c r="G116" s="42">
        <v>0</v>
      </c>
      <c r="H116" s="23"/>
      <c r="I116" s="23"/>
      <c r="J116" s="99"/>
      <c r="K116" s="99"/>
      <c r="L116" s="99"/>
      <c r="M116" s="99"/>
      <c r="N116" s="43">
        <f t="shared" si="1"/>
        <v>44146.57421875</v>
      </c>
      <c r="O116" s="43"/>
      <c r="P116" s="23"/>
      <c r="Q116" s="23"/>
    </row>
    <row r="117" spans="1:17">
      <c r="A117" s="23"/>
      <c r="B117" s="53">
        <v>107</v>
      </c>
      <c r="C117" s="58">
        <v>47192.87109375</v>
      </c>
      <c r="D117" s="59">
        <v>538881.5</v>
      </c>
      <c r="E117" s="59">
        <v>0</v>
      </c>
      <c r="F117" s="59">
        <v>-56.410671234130859</v>
      </c>
      <c r="G117" s="42">
        <v>0</v>
      </c>
      <c r="H117" s="23"/>
      <c r="I117" s="23"/>
      <c r="J117" s="99"/>
      <c r="K117" s="99"/>
      <c r="L117" s="99"/>
      <c r="M117" s="99"/>
      <c r="N117" s="43">
        <f t="shared" si="1"/>
        <v>47192.87109375</v>
      </c>
      <c r="O117" s="43"/>
      <c r="P117" s="23"/>
      <c r="Q117" s="23"/>
    </row>
    <row r="118" spans="1:17">
      <c r="A118" s="23"/>
      <c r="B118" s="53">
        <v>108</v>
      </c>
      <c r="C118" s="58">
        <v>50449.375</v>
      </c>
      <c r="D118" s="59">
        <v>514022.5</v>
      </c>
      <c r="E118" s="59">
        <v>0</v>
      </c>
      <c r="F118" s="59">
        <v>-58.103748321533203</v>
      </c>
      <c r="G118" s="42">
        <v>0</v>
      </c>
      <c r="H118" s="23"/>
      <c r="I118" s="23"/>
      <c r="J118" s="99"/>
      <c r="K118" s="99"/>
      <c r="L118" s="99"/>
      <c r="M118" s="99"/>
      <c r="N118" s="43">
        <f t="shared" si="1"/>
        <v>50449.375</v>
      </c>
      <c r="O118" s="43"/>
      <c r="P118" s="23"/>
      <c r="Q118" s="23"/>
    </row>
    <row r="119" spans="1:17">
      <c r="A119" s="23"/>
      <c r="B119" s="53">
        <v>109</v>
      </c>
      <c r="C119" s="58">
        <v>53930.59375</v>
      </c>
      <c r="D119" s="59">
        <v>489444</v>
      </c>
      <c r="E119" s="59">
        <v>0</v>
      </c>
      <c r="F119" s="59">
        <v>-59.751579284667969</v>
      </c>
      <c r="G119" s="42">
        <v>0</v>
      </c>
      <c r="H119" s="23"/>
      <c r="I119" s="23"/>
      <c r="J119" s="99"/>
      <c r="K119" s="99"/>
      <c r="L119" s="99"/>
      <c r="M119" s="99"/>
      <c r="N119" s="43">
        <f t="shared" si="1"/>
        <v>53930.59375</v>
      </c>
      <c r="O119" s="43"/>
      <c r="P119" s="23"/>
      <c r="Q119" s="23"/>
    </row>
    <row r="120" spans="1:17">
      <c r="A120" s="23"/>
      <c r="B120" s="53">
        <v>110</v>
      </c>
      <c r="C120" s="58">
        <v>57652.03125</v>
      </c>
      <c r="D120" s="59">
        <v>465305.6875</v>
      </c>
      <c r="E120" s="59">
        <v>0</v>
      </c>
      <c r="F120" s="59">
        <v>-61.344959259033203</v>
      </c>
      <c r="G120" s="42">
        <v>0</v>
      </c>
      <c r="H120" s="23"/>
      <c r="I120" s="23"/>
      <c r="J120" s="99"/>
      <c r="K120" s="99"/>
      <c r="L120" s="99"/>
      <c r="M120" s="99"/>
      <c r="N120" s="43">
        <f t="shared" si="1"/>
        <v>57652.03125</v>
      </c>
      <c r="O120" s="43"/>
      <c r="P120" s="23"/>
      <c r="Q120" s="23"/>
    </row>
    <row r="121" spans="1:17">
      <c r="A121" s="23"/>
      <c r="B121" s="53">
        <v>111</v>
      </c>
      <c r="C121" s="58">
        <v>61630.26171875</v>
      </c>
      <c r="D121" s="59">
        <v>441706.3125</v>
      </c>
      <c r="E121" s="59">
        <v>0</v>
      </c>
      <c r="F121" s="59">
        <v>-62.880619049072266</v>
      </c>
      <c r="G121" s="42">
        <v>0</v>
      </c>
      <c r="H121" s="23"/>
      <c r="I121" s="23"/>
      <c r="J121" s="99"/>
      <c r="K121" s="99"/>
      <c r="L121" s="99"/>
      <c r="M121" s="99"/>
      <c r="N121" s="43">
        <f t="shared" si="1"/>
        <v>61630.26171875</v>
      </c>
      <c r="O121" s="43"/>
      <c r="P121" s="23"/>
      <c r="Q121" s="23"/>
    </row>
    <row r="122" spans="1:17">
      <c r="A122" s="23"/>
      <c r="B122" s="53">
        <v>112</v>
      </c>
      <c r="C122" s="58">
        <v>65883.0078125</v>
      </c>
      <c r="D122" s="59">
        <v>418702.40625</v>
      </c>
      <c r="E122" s="59">
        <v>0</v>
      </c>
      <c r="F122" s="59">
        <v>-64.360496520996094</v>
      </c>
      <c r="G122" s="42">
        <v>0</v>
      </c>
      <c r="H122" s="23"/>
      <c r="I122" s="23"/>
      <c r="J122" s="99"/>
      <c r="K122" s="99"/>
      <c r="L122" s="99"/>
      <c r="M122" s="99"/>
      <c r="N122" s="43">
        <f t="shared" si="1"/>
        <v>65883.0078125</v>
      </c>
      <c r="O122" s="43"/>
      <c r="P122" s="23"/>
      <c r="Q122" s="23"/>
    </row>
    <row r="123" spans="1:17">
      <c r="A123" s="23"/>
      <c r="B123" s="53">
        <v>113</v>
      </c>
      <c r="C123" s="58">
        <v>70429.203125</v>
      </c>
      <c r="D123" s="59">
        <v>396377.3125</v>
      </c>
      <c r="E123" s="59">
        <v>0</v>
      </c>
      <c r="F123" s="59">
        <v>-65.774322509765625</v>
      </c>
      <c r="G123" s="42">
        <v>0</v>
      </c>
      <c r="H123" s="23"/>
      <c r="I123" s="23"/>
      <c r="J123" s="99"/>
      <c r="K123" s="99"/>
      <c r="L123" s="99"/>
      <c r="M123" s="99"/>
      <c r="N123" s="43">
        <f t="shared" si="1"/>
        <v>70429.203125</v>
      </c>
      <c r="O123" s="43"/>
      <c r="P123" s="23"/>
      <c r="Q123" s="23"/>
    </row>
    <row r="124" spans="1:17">
      <c r="A124" s="23"/>
      <c r="B124" s="53">
        <v>114</v>
      </c>
      <c r="C124" s="58">
        <v>75289.1171875</v>
      </c>
      <c r="D124" s="59">
        <v>374802.90625</v>
      </c>
      <c r="E124" s="59">
        <v>0</v>
      </c>
      <c r="F124" s="59">
        <v>-67.1328125</v>
      </c>
      <c r="G124" s="42">
        <v>0</v>
      </c>
      <c r="H124" s="23"/>
      <c r="I124" s="23"/>
      <c r="J124" s="99"/>
      <c r="K124" s="99"/>
      <c r="L124" s="99"/>
      <c r="M124" s="99"/>
      <c r="N124" s="43">
        <f t="shared" si="1"/>
        <v>75289.1171875</v>
      </c>
      <c r="O124" s="43"/>
      <c r="P124" s="23"/>
      <c r="Q124" s="23"/>
    </row>
    <row r="125" spans="1:17">
      <c r="A125" s="23"/>
      <c r="B125" s="53">
        <v>115</v>
      </c>
      <c r="C125" s="58">
        <v>80484.3828125</v>
      </c>
      <c r="D125" s="59">
        <v>354026</v>
      </c>
      <c r="E125" s="59">
        <v>0</v>
      </c>
      <c r="F125" s="59">
        <v>-68.426612854003906</v>
      </c>
      <c r="G125" s="42">
        <v>0</v>
      </c>
      <c r="H125" s="23"/>
      <c r="I125" s="23"/>
      <c r="J125" s="99"/>
      <c r="K125" s="99"/>
      <c r="L125" s="99"/>
      <c r="M125" s="99"/>
      <c r="N125" s="43">
        <f t="shared" si="1"/>
        <v>80484.3828125</v>
      </c>
      <c r="O125" s="43"/>
      <c r="P125" s="23"/>
      <c r="Q125" s="23"/>
    </row>
    <row r="126" spans="1:17">
      <c r="A126" s="23"/>
      <c r="B126" s="53">
        <v>116</v>
      </c>
      <c r="C126" s="58">
        <v>86038.140625</v>
      </c>
      <c r="D126" s="59">
        <v>334055.40625</v>
      </c>
      <c r="E126" s="59">
        <v>0</v>
      </c>
      <c r="F126" s="59">
        <v>-69.645599365234375</v>
      </c>
      <c r="G126" s="42">
        <v>0</v>
      </c>
      <c r="H126" s="23"/>
      <c r="I126" s="23"/>
      <c r="J126" s="99"/>
      <c r="K126" s="99"/>
      <c r="L126" s="99"/>
      <c r="M126" s="99"/>
      <c r="N126" s="43">
        <f t="shared" si="1"/>
        <v>86038.140625</v>
      </c>
      <c r="O126" s="43"/>
      <c r="P126" s="23"/>
      <c r="Q126" s="23"/>
    </row>
    <row r="127" spans="1:17">
      <c r="A127" s="23"/>
      <c r="B127" s="53">
        <v>117</v>
      </c>
      <c r="C127" s="58">
        <v>91975.125</v>
      </c>
      <c r="D127" s="59">
        <v>314925.90625</v>
      </c>
      <c r="E127" s="59">
        <v>0</v>
      </c>
      <c r="F127" s="59">
        <v>-70.818450927734375</v>
      </c>
      <c r="G127" s="42">
        <v>0</v>
      </c>
      <c r="H127" s="23"/>
      <c r="I127" s="23"/>
      <c r="J127" s="99"/>
      <c r="K127" s="99"/>
      <c r="L127" s="99"/>
      <c r="M127" s="99"/>
      <c r="N127" s="43">
        <f t="shared" si="1"/>
        <v>91975.125</v>
      </c>
      <c r="O127" s="43"/>
      <c r="P127" s="23"/>
      <c r="Q127" s="23"/>
    </row>
    <row r="128" spans="1:17">
      <c r="A128" s="23"/>
      <c r="B128" s="53">
        <v>118</v>
      </c>
      <c r="C128" s="58">
        <v>98321.796875</v>
      </c>
      <c r="D128" s="59">
        <v>296688.90625</v>
      </c>
      <c r="E128" s="59">
        <v>0</v>
      </c>
      <c r="F128" s="59">
        <v>-71.924026489257813</v>
      </c>
      <c r="G128" s="42">
        <v>0</v>
      </c>
      <c r="H128" s="23"/>
      <c r="I128" s="23"/>
      <c r="J128" s="99"/>
      <c r="K128" s="99"/>
      <c r="L128" s="99"/>
      <c r="M128" s="99"/>
      <c r="N128" s="43">
        <f t="shared" si="1"/>
        <v>98321.796875</v>
      </c>
      <c r="O128" s="43"/>
      <c r="P128" s="23"/>
      <c r="Q128" s="23"/>
    </row>
    <row r="129" spans="1:17">
      <c r="A129" s="23"/>
      <c r="B129" s="53">
        <v>119</v>
      </c>
      <c r="C129" s="58">
        <v>105106.40625</v>
      </c>
      <c r="D129" s="59">
        <v>279285.6875</v>
      </c>
      <c r="E129" s="59">
        <v>0</v>
      </c>
      <c r="F129" s="59">
        <v>-72.974037170410156</v>
      </c>
      <c r="G129" s="42">
        <v>0</v>
      </c>
      <c r="H129" s="23"/>
      <c r="I129" s="23"/>
      <c r="J129" s="99"/>
      <c r="K129" s="99"/>
      <c r="L129" s="99"/>
      <c r="M129" s="99"/>
      <c r="N129" s="43">
        <f t="shared" si="1"/>
        <v>105106.40625</v>
      </c>
      <c r="O129" s="43"/>
      <c r="P129" s="23"/>
      <c r="Q129" s="23"/>
    </row>
    <row r="130" spans="1:17">
      <c r="A130" s="23"/>
      <c r="B130" s="53">
        <v>120</v>
      </c>
      <c r="C130" s="58">
        <v>112359.1875</v>
      </c>
      <c r="D130" s="59">
        <v>262719.1875</v>
      </c>
      <c r="E130" s="59">
        <v>0</v>
      </c>
      <c r="F130" s="59">
        <v>-73.963592529296875</v>
      </c>
      <c r="G130" s="42">
        <v>0</v>
      </c>
      <c r="H130" s="23"/>
      <c r="I130" s="23"/>
      <c r="J130" s="99"/>
      <c r="K130" s="99"/>
      <c r="L130" s="99"/>
      <c r="M130" s="99"/>
      <c r="N130" s="43">
        <f t="shared" si="1"/>
        <v>112359.1875</v>
      </c>
      <c r="O130" s="43"/>
      <c r="P130" s="23"/>
      <c r="Q130" s="23"/>
    </row>
    <row r="131" spans="1:17">
      <c r="A131" s="23"/>
      <c r="B131" s="53">
        <v>121</v>
      </c>
      <c r="C131" s="58">
        <v>120112.4453125</v>
      </c>
      <c r="D131" s="59">
        <v>246973.40625</v>
      </c>
      <c r="E131" s="59">
        <v>0</v>
      </c>
      <c r="F131" s="59">
        <v>-74.889373779296875</v>
      </c>
      <c r="G131" s="42">
        <v>0</v>
      </c>
      <c r="H131" s="23"/>
      <c r="I131" s="23"/>
      <c r="J131" s="99"/>
      <c r="K131" s="99"/>
      <c r="L131" s="99"/>
      <c r="M131" s="99"/>
      <c r="N131" s="43">
        <f t="shared" si="1"/>
        <v>120112.4453125</v>
      </c>
      <c r="O131" s="43"/>
      <c r="P131" s="23"/>
      <c r="Q131" s="23"/>
    </row>
    <row r="132" spans="1:17">
      <c r="A132" s="23"/>
      <c r="B132" s="53">
        <v>122</v>
      </c>
      <c r="C132" s="58">
        <v>128400.703125</v>
      </c>
      <c r="D132" s="59">
        <v>232059.296875</v>
      </c>
      <c r="E132" s="59">
        <v>0</v>
      </c>
      <c r="F132" s="59">
        <v>-75.777496337890625</v>
      </c>
      <c r="G132" s="42">
        <v>0</v>
      </c>
      <c r="H132" s="23"/>
      <c r="I132" s="23"/>
      <c r="J132" s="99"/>
      <c r="K132" s="99"/>
      <c r="L132" s="99"/>
      <c r="M132" s="99"/>
      <c r="N132" s="43">
        <f t="shared" si="1"/>
        <v>128400.703125</v>
      </c>
      <c r="O132" s="43"/>
      <c r="P132" s="23"/>
      <c r="Q132" s="23"/>
    </row>
    <row r="133" spans="1:17">
      <c r="A133" s="23"/>
      <c r="B133" s="53">
        <v>123</v>
      </c>
      <c r="C133" s="58">
        <v>137260.890625</v>
      </c>
      <c r="D133" s="59">
        <v>217962.90625</v>
      </c>
      <c r="E133" s="59">
        <v>0</v>
      </c>
      <c r="F133" s="59">
        <v>-76.615280151367188</v>
      </c>
      <c r="G133" s="42">
        <v>0</v>
      </c>
      <c r="H133" s="23"/>
      <c r="I133" s="23"/>
      <c r="J133" s="99"/>
      <c r="K133" s="99"/>
      <c r="L133" s="99"/>
      <c r="M133" s="99"/>
      <c r="N133" s="43">
        <f t="shared" si="1"/>
        <v>137260.890625</v>
      </c>
      <c r="O133" s="43"/>
      <c r="P133" s="23"/>
      <c r="Q133" s="23"/>
    </row>
    <row r="134" spans="1:17">
      <c r="A134" s="23"/>
      <c r="B134" s="53">
        <v>124</v>
      </c>
      <c r="C134" s="58">
        <v>146732.46875</v>
      </c>
      <c r="D134" s="59">
        <v>204621.296875</v>
      </c>
      <c r="E134" s="59">
        <v>0</v>
      </c>
      <c r="F134" s="59">
        <v>-77.398086547851563</v>
      </c>
      <c r="G134" s="42">
        <v>0</v>
      </c>
      <c r="H134" s="23"/>
      <c r="I134" s="23"/>
      <c r="J134" s="99"/>
      <c r="K134" s="99"/>
      <c r="L134" s="99"/>
      <c r="M134" s="99"/>
      <c r="N134" s="43">
        <f t="shared" si="1"/>
        <v>146732.46875</v>
      </c>
      <c r="O134" s="43"/>
      <c r="P134" s="23"/>
      <c r="Q134" s="23"/>
    </row>
    <row r="135" spans="1:17">
      <c r="A135" s="23"/>
      <c r="B135" s="53">
        <v>125</v>
      </c>
      <c r="C135" s="58">
        <v>156857.609375</v>
      </c>
      <c r="D135" s="59">
        <v>192058.90625</v>
      </c>
      <c r="E135" s="59">
        <v>0</v>
      </c>
      <c r="F135" s="59">
        <v>-78.136787414550781</v>
      </c>
      <c r="G135" s="42">
        <v>0</v>
      </c>
      <c r="H135" s="23"/>
      <c r="I135" s="23"/>
      <c r="J135" s="99"/>
      <c r="K135" s="99"/>
      <c r="L135" s="99"/>
      <c r="M135" s="99"/>
      <c r="N135" s="43">
        <f t="shared" si="1"/>
        <v>156857.609375</v>
      </c>
      <c r="O135" s="43"/>
      <c r="P135" s="23"/>
      <c r="Q135" s="23"/>
    </row>
    <row r="136" spans="1:17">
      <c r="A136" s="23"/>
      <c r="B136" s="53">
        <v>126</v>
      </c>
      <c r="C136" s="58">
        <v>167681.4375</v>
      </c>
      <c r="D136" s="59">
        <v>180230.296875</v>
      </c>
      <c r="E136" s="59">
        <v>0</v>
      </c>
      <c r="F136" s="59">
        <v>-78.8411865234375</v>
      </c>
      <c r="G136" s="42">
        <v>0</v>
      </c>
      <c r="H136" s="23"/>
      <c r="I136" s="23"/>
      <c r="J136" s="99"/>
      <c r="K136" s="99"/>
      <c r="L136" s="99"/>
      <c r="M136" s="99"/>
      <c r="N136" s="43">
        <f t="shared" si="1"/>
        <v>167681.4375</v>
      </c>
      <c r="O136" s="43"/>
      <c r="P136" s="23"/>
      <c r="Q136" s="23"/>
    </row>
    <row r="137" spans="1:17">
      <c r="A137" s="23"/>
      <c r="B137" s="53">
        <v>127</v>
      </c>
      <c r="C137" s="58">
        <v>179252.15625</v>
      </c>
      <c r="D137" s="59">
        <v>169060.5</v>
      </c>
      <c r="E137" s="59">
        <v>0</v>
      </c>
      <c r="F137" s="59">
        <v>-79.496932983398438</v>
      </c>
      <c r="G137" s="42">
        <v>0</v>
      </c>
      <c r="H137" s="23"/>
      <c r="I137" s="23"/>
      <c r="J137" s="99"/>
      <c r="K137" s="99"/>
      <c r="L137" s="99"/>
      <c r="M137" s="99"/>
      <c r="N137" s="43">
        <f t="shared" si="1"/>
        <v>179252.15625</v>
      </c>
      <c r="O137" s="43"/>
      <c r="P137" s="23"/>
      <c r="Q137" s="23"/>
    </row>
    <row r="138" spans="1:17">
      <c r="A138" s="23"/>
      <c r="B138" s="53">
        <v>128</v>
      </c>
      <c r="C138" s="58">
        <v>191621.3125</v>
      </c>
      <c r="D138" s="59">
        <v>158523.40625</v>
      </c>
      <c r="E138" s="59">
        <v>0</v>
      </c>
      <c r="F138" s="59">
        <v>-80.117759704589844</v>
      </c>
      <c r="G138" s="42">
        <v>0</v>
      </c>
      <c r="H138" s="23"/>
      <c r="I138" s="23"/>
      <c r="J138" s="99"/>
      <c r="K138" s="99"/>
      <c r="L138" s="99"/>
      <c r="M138" s="99"/>
      <c r="N138" s="43">
        <f t="shared" si="1"/>
        <v>191621.3125</v>
      </c>
      <c r="O138" s="43"/>
      <c r="P138" s="23"/>
      <c r="Q138" s="23"/>
    </row>
    <row r="139" spans="1:17">
      <c r="A139" s="23"/>
      <c r="B139" s="53">
        <v>129</v>
      </c>
      <c r="C139" s="58">
        <v>204843.984375</v>
      </c>
      <c r="D139" s="59">
        <v>148633.703125</v>
      </c>
      <c r="E139" s="59">
        <v>0</v>
      </c>
      <c r="F139" s="59">
        <v>-80.691398620605469</v>
      </c>
      <c r="G139" s="42">
        <v>0</v>
      </c>
      <c r="H139" s="23"/>
      <c r="I139" s="23"/>
      <c r="J139" s="99"/>
      <c r="K139" s="99"/>
      <c r="L139" s="99"/>
      <c r="M139" s="99"/>
      <c r="N139" s="43">
        <f t="shared" ref="N139:N202" si="2">IF($L$4=$C$10,C139,IF(D139="","",B139))</f>
        <v>204843.984375</v>
      </c>
      <c r="O139" s="43"/>
      <c r="P139" s="23"/>
      <c r="Q139" s="23"/>
    </row>
    <row r="140" spans="1:17">
      <c r="A140" s="23"/>
      <c r="B140" s="53">
        <v>130</v>
      </c>
      <c r="C140" s="58">
        <v>218979.0625</v>
      </c>
      <c r="D140" s="59">
        <v>139314.703125</v>
      </c>
      <c r="E140" s="59">
        <v>0</v>
      </c>
      <c r="F140" s="59">
        <v>-81.229286193847656</v>
      </c>
      <c r="G140" s="42">
        <v>0</v>
      </c>
      <c r="H140" s="23"/>
      <c r="I140" s="23"/>
      <c r="J140" s="99"/>
      <c r="K140" s="99"/>
      <c r="L140" s="99"/>
      <c r="M140" s="99"/>
      <c r="N140" s="43">
        <f t="shared" si="2"/>
        <v>218979.0625</v>
      </c>
      <c r="O140" s="43"/>
      <c r="P140" s="23"/>
      <c r="Q140" s="23"/>
    </row>
    <row r="141" spans="1:17">
      <c r="A141" s="23"/>
      <c r="B141" s="53">
        <v>131</v>
      </c>
      <c r="C141" s="58">
        <v>234089.53125</v>
      </c>
      <c r="D141" s="59">
        <v>130572.796875</v>
      </c>
      <c r="E141" s="59">
        <v>0</v>
      </c>
      <c r="F141" s="59">
        <v>-81.737937927246094</v>
      </c>
      <c r="G141" s="42">
        <v>0</v>
      </c>
      <c r="H141" s="23"/>
      <c r="I141" s="23"/>
      <c r="J141" s="99"/>
      <c r="K141" s="99"/>
      <c r="L141" s="99"/>
      <c r="M141" s="99"/>
      <c r="N141" s="43">
        <f t="shared" si="2"/>
        <v>234089.53125</v>
      </c>
      <c r="O141" s="43"/>
      <c r="P141" s="23"/>
      <c r="Q141" s="23"/>
    </row>
    <row r="142" spans="1:17">
      <c r="A142" s="23"/>
      <c r="B142" s="53">
        <v>132</v>
      </c>
      <c r="C142" s="58">
        <v>250242.6875</v>
      </c>
      <c r="D142" s="59">
        <v>122357.8984375</v>
      </c>
      <c r="E142" s="59">
        <v>0</v>
      </c>
      <c r="F142" s="59">
        <v>-82.217933654785156</v>
      </c>
      <c r="G142" s="42">
        <v>0</v>
      </c>
      <c r="H142" s="23"/>
      <c r="I142" s="23"/>
      <c r="J142" s="99"/>
      <c r="K142" s="99"/>
      <c r="L142" s="99"/>
      <c r="M142" s="99"/>
      <c r="N142" s="43">
        <f t="shared" si="2"/>
        <v>250242.6875</v>
      </c>
      <c r="O142" s="43"/>
      <c r="P142" s="23"/>
      <c r="Q142" s="23"/>
    </row>
    <row r="143" spans="1:17">
      <c r="A143" s="23"/>
      <c r="B143" s="53">
        <v>133</v>
      </c>
      <c r="C143" s="58">
        <v>267510.46875</v>
      </c>
      <c r="D143" s="59">
        <v>114649.3984375</v>
      </c>
      <c r="E143" s="59">
        <v>0</v>
      </c>
      <c r="F143" s="59">
        <v>-82.669723510742188</v>
      </c>
      <c r="G143" s="42">
        <v>0</v>
      </c>
      <c r="H143" s="23"/>
      <c r="I143" s="23"/>
      <c r="J143" s="99"/>
      <c r="K143" s="99"/>
      <c r="L143" s="99"/>
      <c r="M143" s="99"/>
      <c r="N143" s="43">
        <f t="shared" si="2"/>
        <v>267510.46875</v>
      </c>
      <c r="O143" s="43"/>
      <c r="P143" s="23"/>
      <c r="Q143" s="23"/>
    </row>
    <row r="144" spans="1:17">
      <c r="A144" s="23"/>
      <c r="B144" s="53">
        <v>134</v>
      </c>
      <c r="C144" s="58">
        <v>285969.8125</v>
      </c>
      <c r="D144" s="59">
        <v>107400.1015625</v>
      </c>
      <c r="E144" s="59">
        <v>0</v>
      </c>
      <c r="F144" s="59">
        <v>-83.079200744628906</v>
      </c>
      <c r="G144" s="42">
        <v>0</v>
      </c>
      <c r="H144" s="23"/>
      <c r="I144" s="23"/>
      <c r="J144" s="99"/>
      <c r="K144" s="99"/>
      <c r="L144" s="99"/>
      <c r="M144" s="99"/>
      <c r="N144" s="43">
        <f t="shared" si="2"/>
        <v>285969.8125</v>
      </c>
      <c r="O144" s="43"/>
      <c r="P144" s="23"/>
      <c r="Q144" s="23"/>
    </row>
    <row r="145" spans="1:17">
      <c r="A145" s="23"/>
      <c r="B145" s="53">
        <v>135</v>
      </c>
      <c r="C145" s="58">
        <v>305702.9375</v>
      </c>
      <c r="D145" s="59">
        <v>100617.703125</v>
      </c>
      <c r="E145" s="59">
        <v>0</v>
      </c>
      <c r="F145" s="59">
        <v>-83.470947265625</v>
      </c>
      <c r="G145" s="42">
        <v>0</v>
      </c>
      <c r="H145" s="23"/>
      <c r="I145" s="23"/>
      <c r="J145" s="99"/>
      <c r="K145" s="99"/>
      <c r="L145" s="99"/>
      <c r="M145" s="99"/>
      <c r="N145" s="43">
        <f t="shared" si="2"/>
        <v>305702.9375</v>
      </c>
      <c r="O145" s="43"/>
      <c r="P145" s="23"/>
      <c r="Q145" s="23"/>
    </row>
    <row r="146" spans="1:17">
      <c r="A146" s="23"/>
      <c r="B146" s="53">
        <v>136</v>
      </c>
      <c r="C146" s="58">
        <v>326797.71875</v>
      </c>
      <c r="D146" s="59">
        <v>94248.578125</v>
      </c>
      <c r="E146" s="59">
        <v>0</v>
      </c>
      <c r="F146" s="59">
        <v>-83.84100341796875</v>
      </c>
      <c r="G146" s="42">
        <v>0</v>
      </c>
      <c r="H146" s="23"/>
      <c r="I146" s="23"/>
      <c r="J146" s="99"/>
      <c r="K146" s="99"/>
      <c r="L146" s="99"/>
      <c r="M146" s="99"/>
      <c r="N146" s="43">
        <f t="shared" si="2"/>
        <v>326797.71875</v>
      </c>
      <c r="O146" s="43"/>
      <c r="P146" s="23"/>
      <c r="Q146" s="23"/>
    </row>
    <row r="147" spans="1:17">
      <c r="A147" s="23"/>
      <c r="B147" s="53">
        <v>137</v>
      </c>
      <c r="C147" s="58">
        <v>349348.125</v>
      </c>
      <c r="D147" s="59">
        <v>88276.1484375</v>
      </c>
      <c r="E147" s="59">
        <v>0</v>
      </c>
      <c r="F147" s="59">
        <v>-84.195770263671875</v>
      </c>
      <c r="G147" s="42">
        <v>0</v>
      </c>
      <c r="H147" s="23"/>
      <c r="I147" s="23"/>
      <c r="J147" s="99"/>
      <c r="K147" s="99"/>
      <c r="L147" s="99"/>
      <c r="M147" s="99"/>
      <c r="N147" s="43">
        <f t="shared" si="2"/>
        <v>349348.125</v>
      </c>
      <c r="O147" s="43"/>
      <c r="P147" s="23"/>
      <c r="Q147" s="23"/>
    </row>
    <row r="148" spans="1:17">
      <c r="A148" s="23"/>
      <c r="B148" s="53">
        <v>138</v>
      </c>
      <c r="C148" s="58">
        <v>373454.59375</v>
      </c>
      <c r="D148" s="59">
        <v>82678.328125</v>
      </c>
      <c r="E148" s="59">
        <v>0</v>
      </c>
      <c r="F148" s="59">
        <v>-84.514671325683594</v>
      </c>
      <c r="G148" s="42">
        <v>0</v>
      </c>
      <c r="H148" s="23"/>
      <c r="I148" s="23"/>
      <c r="J148" s="99"/>
      <c r="K148" s="99"/>
      <c r="L148" s="99"/>
      <c r="M148" s="99"/>
      <c r="N148" s="43">
        <f t="shared" si="2"/>
        <v>373454.59375</v>
      </c>
      <c r="O148" s="43"/>
      <c r="P148" s="23"/>
      <c r="Q148" s="23"/>
    </row>
    <row r="149" spans="1:17">
      <c r="A149" s="23"/>
      <c r="B149" s="53">
        <v>139</v>
      </c>
      <c r="C149" s="58">
        <v>399224.53125</v>
      </c>
      <c r="D149" s="59">
        <v>77426.5</v>
      </c>
      <c r="E149" s="59">
        <v>0</v>
      </c>
      <c r="F149" s="59">
        <v>-84.818527221679688</v>
      </c>
      <c r="G149" s="42">
        <v>0</v>
      </c>
      <c r="H149" s="23"/>
      <c r="I149" s="23"/>
      <c r="J149" s="99"/>
      <c r="K149" s="99"/>
      <c r="L149" s="99"/>
      <c r="M149" s="99"/>
      <c r="N149" s="43">
        <f t="shared" si="2"/>
        <v>399224.53125</v>
      </c>
      <c r="O149" s="43"/>
      <c r="P149" s="23"/>
      <c r="Q149" s="23"/>
    </row>
    <row r="150" spans="1:17">
      <c r="A150" s="23"/>
      <c r="B150" s="53">
        <v>140</v>
      </c>
      <c r="C150" s="58">
        <v>426772.6875</v>
      </c>
      <c r="D150" s="59">
        <v>72508.9921875</v>
      </c>
      <c r="E150" s="59">
        <v>0</v>
      </c>
      <c r="F150" s="59">
        <v>-85.101676940917969</v>
      </c>
      <c r="G150" s="42">
        <v>0</v>
      </c>
      <c r="H150" s="23"/>
      <c r="I150" s="23"/>
      <c r="J150" s="99"/>
      <c r="K150" s="99"/>
      <c r="L150" s="99"/>
      <c r="M150" s="99"/>
      <c r="N150" s="43">
        <f t="shared" si="2"/>
        <v>426772.6875</v>
      </c>
      <c r="O150" s="43"/>
      <c r="P150" s="23"/>
      <c r="Q150" s="23"/>
    </row>
    <row r="151" spans="1:17">
      <c r="A151" s="23"/>
      <c r="B151" s="53">
        <v>141</v>
      </c>
      <c r="C151" s="58">
        <v>456221.78125</v>
      </c>
      <c r="D151" s="59">
        <v>67900.0234375</v>
      </c>
      <c r="E151" s="59">
        <v>0</v>
      </c>
      <c r="F151" s="59">
        <v>-85.367996215820313</v>
      </c>
      <c r="G151" s="42">
        <v>0</v>
      </c>
      <c r="H151" s="23"/>
      <c r="I151" s="23"/>
      <c r="J151" s="99"/>
      <c r="K151" s="99"/>
      <c r="L151" s="99"/>
      <c r="M151" s="99"/>
      <c r="N151" s="43">
        <f t="shared" si="2"/>
        <v>456221.78125</v>
      </c>
      <c r="O151" s="43"/>
      <c r="P151" s="23"/>
      <c r="Q151" s="23"/>
    </row>
    <row r="152" spans="1:17">
      <c r="A152" s="23"/>
      <c r="B152" s="53">
        <v>142</v>
      </c>
      <c r="C152" s="58">
        <v>487702.96875</v>
      </c>
      <c r="D152" s="59">
        <v>63587.26171875</v>
      </c>
      <c r="E152" s="59">
        <v>0</v>
      </c>
      <c r="F152" s="59">
        <v>-85.616470336914063</v>
      </c>
      <c r="G152" s="42">
        <v>0</v>
      </c>
      <c r="H152" s="23"/>
      <c r="I152" s="23"/>
      <c r="J152" s="99"/>
      <c r="K152" s="99"/>
      <c r="L152" s="99"/>
      <c r="M152" s="99"/>
      <c r="N152" s="43">
        <f t="shared" si="2"/>
        <v>487702.96875</v>
      </c>
      <c r="O152" s="43"/>
      <c r="P152" s="23"/>
      <c r="Q152" s="23"/>
    </row>
    <row r="153" spans="1:17">
      <c r="A153" s="23"/>
      <c r="B153" s="53">
        <v>143</v>
      </c>
      <c r="C153" s="58">
        <v>521356.5</v>
      </c>
      <c r="D153" s="59">
        <v>59546.421875</v>
      </c>
      <c r="E153" s="59">
        <v>0</v>
      </c>
      <c r="F153" s="59">
        <v>-85.8533935546875</v>
      </c>
      <c r="G153" s="42">
        <v>0</v>
      </c>
      <c r="H153" s="23"/>
      <c r="I153" s="23"/>
      <c r="J153" s="99"/>
      <c r="K153" s="99"/>
      <c r="L153" s="99"/>
      <c r="M153" s="99"/>
      <c r="N153" s="43">
        <f t="shared" si="2"/>
        <v>521356.5</v>
      </c>
      <c r="O153" s="43"/>
      <c r="P153" s="23"/>
      <c r="Q153" s="23"/>
    </row>
    <row r="154" spans="1:17">
      <c r="A154" s="23"/>
      <c r="B154" s="53">
        <v>144</v>
      </c>
      <c r="C154" s="58">
        <v>557332.3125</v>
      </c>
      <c r="D154" s="59">
        <v>55762.01171875</v>
      </c>
      <c r="E154" s="59">
        <v>0</v>
      </c>
      <c r="F154" s="59">
        <v>-86.071968078613281</v>
      </c>
      <c r="G154" s="42">
        <v>0</v>
      </c>
      <c r="H154" s="23"/>
      <c r="I154" s="23"/>
      <c r="J154" s="99"/>
      <c r="K154" s="99"/>
      <c r="L154" s="99"/>
      <c r="M154" s="99"/>
      <c r="N154" s="43">
        <f t="shared" si="2"/>
        <v>557332.3125</v>
      </c>
      <c r="O154" s="43"/>
      <c r="P154" s="23"/>
      <c r="Q154" s="23"/>
    </row>
    <row r="155" spans="1:17">
      <c r="A155" s="23"/>
      <c r="B155" s="53">
        <v>145</v>
      </c>
      <c r="C155" s="58">
        <v>595790.5625</v>
      </c>
      <c r="D155" s="59">
        <v>52217.48046875</v>
      </c>
      <c r="E155" s="59">
        <v>0</v>
      </c>
      <c r="F155" s="59">
        <v>-86.279052734375</v>
      </c>
      <c r="G155" s="42">
        <v>0</v>
      </c>
      <c r="H155" s="23"/>
      <c r="I155" s="23"/>
      <c r="J155" s="99"/>
      <c r="K155" s="99"/>
      <c r="L155" s="99"/>
      <c r="M155" s="99"/>
      <c r="N155" s="43">
        <f t="shared" si="2"/>
        <v>595790.5625</v>
      </c>
      <c r="O155" s="43"/>
      <c r="P155" s="23"/>
      <c r="Q155" s="23"/>
    </row>
    <row r="156" spans="1:17">
      <c r="A156" s="23"/>
      <c r="B156" s="53">
        <v>146</v>
      </c>
      <c r="C156" s="58">
        <v>636902.5625</v>
      </c>
      <c r="D156" s="59">
        <v>48900.890625</v>
      </c>
      <c r="E156" s="59">
        <v>0</v>
      </c>
      <c r="F156" s="59">
        <v>-86.470733642578125</v>
      </c>
      <c r="G156" s="42">
        <v>0</v>
      </c>
      <c r="H156" s="23"/>
      <c r="I156" s="23"/>
      <c r="J156" s="99"/>
      <c r="K156" s="99"/>
      <c r="L156" s="99"/>
      <c r="M156" s="99"/>
      <c r="N156" s="43">
        <f t="shared" si="2"/>
        <v>636902.5625</v>
      </c>
      <c r="O156" s="43"/>
      <c r="P156" s="23"/>
      <c r="Q156" s="23"/>
    </row>
    <row r="157" spans="1:17">
      <c r="A157" s="23"/>
      <c r="B157" s="53">
        <v>147</v>
      </c>
      <c r="C157" s="58">
        <v>680851.5</v>
      </c>
      <c r="D157" s="59">
        <v>45793.46875</v>
      </c>
      <c r="E157" s="59">
        <v>0</v>
      </c>
      <c r="F157" s="59">
        <v>-86.653861999511719</v>
      </c>
      <c r="G157" s="42">
        <v>0</v>
      </c>
      <c r="H157" s="23"/>
      <c r="I157" s="23"/>
      <c r="J157" s="99"/>
      <c r="K157" s="99"/>
      <c r="L157" s="99"/>
      <c r="M157" s="99"/>
      <c r="N157" s="43">
        <f t="shared" si="2"/>
        <v>680851.5</v>
      </c>
      <c r="O157" s="43"/>
      <c r="P157" s="23"/>
      <c r="Q157" s="23"/>
    </row>
    <row r="158" spans="1:17">
      <c r="A158" s="23"/>
      <c r="B158" s="53">
        <v>148</v>
      </c>
      <c r="C158" s="58">
        <v>727833.125</v>
      </c>
      <c r="D158" s="59">
        <v>42886.7890625</v>
      </c>
      <c r="E158" s="59">
        <v>0</v>
      </c>
      <c r="F158" s="59">
        <v>-86.823822021484375</v>
      </c>
      <c r="G158" s="42">
        <v>0</v>
      </c>
      <c r="H158" s="23"/>
      <c r="I158" s="23"/>
      <c r="J158" s="99"/>
      <c r="K158" s="99"/>
      <c r="L158" s="99"/>
      <c r="M158" s="99"/>
      <c r="N158" s="43">
        <f t="shared" si="2"/>
        <v>727833.125</v>
      </c>
      <c r="O158" s="43"/>
      <c r="P158" s="23"/>
      <c r="Q158" s="23"/>
    </row>
    <row r="159" spans="1:17">
      <c r="A159" s="23"/>
      <c r="B159" s="53">
        <v>149</v>
      </c>
      <c r="C159" s="58">
        <v>778056.625</v>
      </c>
      <c r="D159" s="59">
        <v>40165.76953125</v>
      </c>
      <c r="E159" s="59">
        <v>0</v>
      </c>
      <c r="F159" s="59">
        <v>-86.983657836914063</v>
      </c>
      <c r="G159" s="42">
        <v>0</v>
      </c>
      <c r="H159" s="23"/>
      <c r="I159" s="23"/>
      <c r="J159" s="99"/>
      <c r="K159" s="99"/>
      <c r="L159" s="99"/>
      <c r="M159" s="99"/>
      <c r="N159" s="43">
        <f t="shared" si="2"/>
        <v>778056.625</v>
      </c>
      <c r="O159" s="43"/>
      <c r="P159" s="23"/>
      <c r="Q159" s="23"/>
    </row>
    <row r="160" spans="1:17">
      <c r="A160" s="23"/>
      <c r="B160" s="53">
        <v>150</v>
      </c>
      <c r="C160" s="58">
        <v>831745.75</v>
      </c>
      <c r="D160" s="59">
        <v>37618.80859375</v>
      </c>
      <c r="E160" s="59">
        <v>0</v>
      </c>
      <c r="F160" s="59">
        <v>-87.129806518554688</v>
      </c>
      <c r="G160" s="42">
        <v>0</v>
      </c>
      <c r="H160" s="23"/>
      <c r="I160" s="23"/>
      <c r="J160" s="99"/>
      <c r="K160" s="99"/>
      <c r="L160" s="99"/>
      <c r="M160" s="99"/>
      <c r="N160" s="43">
        <f t="shared" si="2"/>
        <v>831745.75</v>
      </c>
      <c r="O160" s="43"/>
      <c r="P160" s="23"/>
      <c r="Q160" s="23"/>
    </row>
    <row r="161" spans="1:17">
      <c r="A161" s="23"/>
      <c r="B161" s="53">
        <v>151</v>
      </c>
      <c r="C161" s="58">
        <v>889139.6875</v>
      </c>
      <c r="D161" s="59">
        <v>35236.80078125</v>
      </c>
      <c r="E161" s="59">
        <v>0</v>
      </c>
      <c r="F161" s="59">
        <v>-87.275558471679688</v>
      </c>
      <c r="G161" s="42">
        <v>0</v>
      </c>
      <c r="H161" s="23"/>
      <c r="I161" s="23"/>
      <c r="J161" s="99"/>
      <c r="K161" s="99"/>
      <c r="L161" s="99"/>
      <c r="M161" s="99"/>
      <c r="N161" s="43">
        <f t="shared" si="2"/>
        <v>889139.6875</v>
      </c>
      <c r="O161" s="43"/>
      <c r="P161" s="23"/>
      <c r="Q161" s="23"/>
    </row>
    <row r="162" spans="1:17">
      <c r="A162" s="23"/>
      <c r="B162" s="53">
        <v>152</v>
      </c>
      <c r="C162" s="58">
        <v>950494.0625</v>
      </c>
      <c r="D162" s="59">
        <v>33006.1796875</v>
      </c>
      <c r="E162" s="59">
        <v>0</v>
      </c>
      <c r="F162" s="59">
        <v>-87.409919738769531</v>
      </c>
      <c r="G162" s="42">
        <v>0</v>
      </c>
      <c r="H162" s="23"/>
      <c r="I162" s="23"/>
      <c r="J162" s="99"/>
      <c r="K162" s="99"/>
      <c r="L162" s="99"/>
      <c r="M162" s="99"/>
      <c r="N162" s="43">
        <f t="shared" si="2"/>
        <v>950494.0625</v>
      </c>
      <c r="O162" s="43"/>
      <c r="P162" s="23"/>
      <c r="Q162" s="23"/>
    </row>
    <row r="163" spans="1:17">
      <c r="A163" s="23"/>
      <c r="B163" s="53">
        <v>153</v>
      </c>
      <c r="C163" s="58">
        <v>1016082.125</v>
      </c>
      <c r="D163" s="59">
        <v>30912.369140625</v>
      </c>
      <c r="E163" s="59">
        <v>0</v>
      </c>
      <c r="F163" s="59">
        <v>-87.525230407714844</v>
      </c>
      <c r="G163" s="42">
        <v>0</v>
      </c>
      <c r="H163" s="23"/>
      <c r="I163" s="23"/>
      <c r="J163" s="99"/>
      <c r="K163" s="99"/>
      <c r="L163" s="99"/>
      <c r="M163" s="99"/>
      <c r="N163" s="43">
        <f t="shared" si="2"/>
        <v>1016082.125</v>
      </c>
      <c r="O163" s="43"/>
      <c r="P163" s="23"/>
      <c r="Q163" s="23"/>
    </row>
    <row r="164" spans="1:17">
      <c r="A164" s="23"/>
      <c r="B164" s="53">
        <v>154</v>
      </c>
      <c r="C164" s="58">
        <v>1086196</v>
      </c>
      <c r="D164" s="59">
        <v>28959.369140625</v>
      </c>
      <c r="E164" s="59">
        <v>0</v>
      </c>
      <c r="F164" s="59">
        <v>-87.644447326660156</v>
      </c>
      <c r="G164" s="42">
        <v>0</v>
      </c>
      <c r="H164" s="23"/>
      <c r="I164" s="23"/>
      <c r="J164" s="99"/>
      <c r="K164" s="99"/>
      <c r="L164" s="99"/>
      <c r="M164" s="99"/>
      <c r="N164" s="43">
        <f t="shared" si="2"/>
        <v>1086196</v>
      </c>
      <c r="O164" s="43"/>
      <c r="P164" s="23"/>
      <c r="Q164" s="23"/>
    </row>
    <row r="165" spans="1:17">
      <c r="A165" s="23"/>
      <c r="B165" s="53">
        <v>155</v>
      </c>
      <c r="C165" s="58">
        <v>1161148.125</v>
      </c>
      <c r="D165" s="59">
        <v>27134.119140625</v>
      </c>
      <c r="E165" s="59">
        <v>0</v>
      </c>
      <c r="F165" s="59">
        <v>-87.741317749023438</v>
      </c>
      <c r="G165" s="42">
        <v>0</v>
      </c>
      <c r="H165" s="23"/>
      <c r="I165" s="23"/>
      <c r="J165" s="99"/>
      <c r="K165" s="99"/>
      <c r="L165" s="99"/>
      <c r="M165" s="99"/>
      <c r="N165" s="43">
        <f t="shared" si="2"/>
        <v>1161148.125</v>
      </c>
      <c r="O165" s="43"/>
      <c r="P165" s="23"/>
      <c r="Q165" s="23"/>
    </row>
    <row r="166" spans="1:17">
      <c r="A166" s="23"/>
      <c r="B166" s="53">
        <v>156</v>
      </c>
      <c r="C166" s="58">
        <v>1241272.125</v>
      </c>
      <c r="D166" s="59">
        <v>25428.240234375</v>
      </c>
      <c r="E166" s="59">
        <v>0</v>
      </c>
      <c r="F166" s="59">
        <v>-87.850273132324219</v>
      </c>
      <c r="G166" s="42">
        <v>0</v>
      </c>
      <c r="H166" s="23"/>
      <c r="I166" s="23"/>
      <c r="J166" s="99"/>
      <c r="K166" s="99"/>
      <c r="L166" s="99"/>
      <c r="M166" s="99"/>
      <c r="N166" s="43">
        <f t="shared" si="2"/>
        <v>1241272.125</v>
      </c>
      <c r="O166" s="43"/>
      <c r="P166" s="23"/>
      <c r="Q166" s="23"/>
    </row>
    <row r="167" spans="1:17">
      <c r="A167" s="23"/>
      <c r="B167" s="53">
        <v>157</v>
      </c>
      <c r="C167" s="58">
        <v>1326925.125</v>
      </c>
      <c r="D167" s="59">
        <v>23832.30078125</v>
      </c>
      <c r="E167" s="59">
        <v>0</v>
      </c>
      <c r="F167" s="59">
        <v>-87.950126647949219</v>
      </c>
      <c r="G167" s="42">
        <v>0</v>
      </c>
      <c r="H167" s="23"/>
      <c r="I167" s="23"/>
      <c r="J167" s="99"/>
      <c r="K167" s="99"/>
      <c r="L167" s="99"/>
      <c r="M167" s="99"/>
      <c r="N167" s="43">
        <f t="shared" si="2"/>
        <v>1326925.125</v>
      </c>
      <c r="O167" s="43"/>
      <c r="P167" s="23"/>
      <c r="Q167" s="23"/>
    </row>
    <row r="168" spans="1:17">
      <c r="A168" s="23"/>
      <c r="B168" s="53">
        <v>158</v>
      </c>
      <c r="C168" s="58">
        <v>1418488.5</v>
      </c>
      <c r="D168" s="59">
        <v>22338.890625</v>
      </c>
      <c r="E168" s="59">
        <v>0</v>
      </c>
      <c r="F168" s="59">
        <v>-88.0506591796875</v>
      </c>
      <c r="G168" s="42">
        <v>0</v>
      </c>
      <c r="H168" s="23"/>
      <c r="I168" s="23"/>
      <c r="J168" s="99"/>
      <c r="K168" s="99"/>
      <c r="L168" s="99"/>
      <c r="M168" s="99"/>
      <c r="N168" s="43">
        <f t="shared" si="2"/>
        <v>1418488.5</v>
      </c>
      <c r="O168" s="43"/>
      <c r="P168" s="23"/>
      <c r="Q168" s="23"/>
    </row>
    <row r="169" spans="1:17">
      <c r="A169" s="23"/>
      <c r="B169" s="53">
        <v>159</v>
      </c>
      <c r="C169" s="58">
        <v>1516370.125</v>
      </c>
      <c r="D169" s="59">
        <v>20950.400390625</v>
      </c>
      <c r="E169" s="59">
        <v>0</v>
      </c>
      <c r="F169" s="59">
        <v>-88.149711608886719</v>
      </c>
      <c r="G169" s="42">
        <v>0</v>
      </c>
      <c r="H169" s="23"/>
      <c r="I169" s="23"/>
      <c r="J169" s="99"/>
      <c r="K169" s="99"/>
      <c r="L169" s="99"/>
      <c r="M169" s="99"/>
      <c r="N169" s="43">
        <f t="shared" si="2"/>
        <v>1516370.125</v>
      </c>
      <c r="O169" s="43"/>
      <c r="P169" s="23"/>
      <c r="Q169" s="23"/>
    </row>
    <row r="170" spans="1:17">
      <c r="A170" s="23"/>
      <c r="B170" s="53">
        <v>160</v>
      </c>
      <c r="C170" s="58">
        <v>1621005.875</v>
      </c>
      <c r="D170" s="59">
        <v>19649.109375</v>
      </c>
      <c r="E170" s="59">
        <v>0</v>
      </c>
      <c r="F170" s="59">
        <v>-88.232612609863281</v>
      </c>
      <c r="G170" s="42">
        <v>0</v>
      </c>
      <c r="H170" s="23"/>
      <c r="I170" s="23"/>
      <c r="J170" s="99"/>
      <c r="K170" s="99"/>
      <c r="L170" s="99"/>
      <c r="M170" s="99"/>
      <c r="N170" s="43">
        <f t="shared" si="2"/>
        <v>1621005.875</v>
      </c>
      <c r="O170" s="43"/>
      <c r="P170" s="23"/>
      <c r="Q170" s="23"/>
    </row>
    <row r="171" spans="1:17">
      <c r="A171" s="23"/>
      <c r="B171" s="53">
        <v>161</v>
      </c>
      <c r="C171" s="58">
        <v>1732862.125</v>
      </c>
      <c r="D171" s="59">
        <v>18434.869140625</v>
      </c>
      <c r="E171" s="59">
        <v>0</v>
      </c>
      <c r="F171" s="59">
        <v>-88.318336486816406</v>
      </c>
      <c r="G171" s="42">
        <v>0</v>
      </c>
      <c r="H171" s="23"/>
      <c r="I171" s="23"/>
      <c r="J171" s="99"/>
      <c r="K171" s="99"/>
      <c r="L171" s="99"/>
      <c r="M171" s="99"/>
      <c r="N171" s="43">
        <f t="shared" si="2"/>
        <v>1732862.125</v>
      </c>
      <c r="O171" s="43"/>
      <c r="P171" s="23"/>
      <c r="Q171" s="23"/>
    </row>
    <row r="172" spans="1:17">
      <c r="A172" s="23"/>
      <c r="B172" s="53">
        <v>162</v>
      </c>
      <c r="C172" s="58">
        <v>1852436.875</v>
      </c>
      <c r="D172" s="59">
        <v>17298.919921875</v>
      </c>
      <c r="E172" s="59">
        <v>0</v>
      </c>
      <c r="F172" s="59">
        <v>-88.405586242675781</v>
      </c>
      <c r="G172" s="42">
        <v>0</v>
      </c>
      <c r="H172" s="23"/>
      <c r="I172" s="23"/>
      <c r="J172" s="99"/>
      <c r="K172" s="99"/>
      <c r="L172" s="99"/>
      <c r="M172" s="99"/>
      <c r="N172" s="43">
        <f t="shared" si="2"/>
        <v>1852436.875</v>
      </c>
      <c r="O172" s="43"/>
      <c r="P172" s="23"/>
      <c r="Q172" s="23"/>
    </row>
    <row r="173" spans="1:17">
      <c r="A173" s="23"/>
      <c r="B173" s="53">
        <v>163</v>
      </c>
      <c r="C173" s="58">
        <v>1980262.75</v>
      </c>
      <c r="D173" s="59">
        <v>16240.2099609375</v>
      </c>
      <c r="E173" s="59">
        <v>0</v>
      </c>
      <c r="F173" s="59">
        <v>-88.492462158203125</v>
      </c>
      <c r="G173" s="42">
        <v>0</v>
      </c>
      <c r="H173" s="23"/>
      <c r="I173" s="23"/>
      <c r="J173" s="99"/>
      <c r="K173" s="99"/>
      <c r="L173" s="99"/>
      <c r="M173" s="99"/>
      <c r="N173" s="43">
        <f t="shared" si="2"/>
        <v>1980262.75</v>
      </c>
      <c r="O173" s="43"/>
      <c r="P173" s="23"/>
      <c r="Q173" s="23"/>
    </row>
    <row r="174" spans="1:17">
      <c r="A174" s="23"/>
      <c r="B174" s="53">
        <v>164</v>
      </c>
      <c r="C174" s="58">
        <v>2116909</v>
      </c>
      <c r="D174" s="59">
        <v>15252.330078125</v>
      </c>
      <c r="E174" s="59">
        <v>0</v>
      </c>
      <c r="F174" s="59">
        <v>-88.575981140136719</v>
      </c>
      <c r="G174" s="42">
        <v>0</v>
      </c>
      <c r="H174" s="23"/>
      <c r="I174" s="23"/>
      <c r="J174" s="99"/>
      <c r="K174" s="99"/>
      <c r="L174" s="99"/>
      <c r="M174" s="99"/>
      <c r="N174" s="43">
        <f t="shared" si="2"/>
        <v>2116909</v>
      </c>
      <c r="O174" s="43"/>
      <c r="P174" s="23"/>
      <c r="Q174" s="23"/>
    </row>
    <row r="175" spans="1:17">
      <c r="A175" s="23"/>
      <c r="B175" s="53">
        <v>165</v>
      </c>
      <c r="C175" s="58">
        <v>2262984.75</v>
      </c>
      <c r="D175" s="59">
        <v>14332.150390625</v>
      </c>
      <c r="E175" s="59">
        <v>0</v>
      </c>
      <c r="F175" s="59">
        <v>-88.654098510742188</v>
      </c>
      <c r="G175" s="42">
        <v>0</v>
      </c>
      <c r="H175" s="23"/>
      <c r="I175" s="23"/>
      <c r="J175" s="99"/>
      <c r="K175" s="99"/>
      <c r="L175" s="99"/>
      <c r="M175" s="99"/>
      <c r="N175" s="43">
        <f t="shared" si="2"/>
        <v>2262984.75</v>
      </c>
      <c r="O175" s="43"/>
      <c r="P175" s="23"/>
      <c r="Q175" s="23"/>
    </row>
    <row r="176" spans="1:17">
      <c r="A176" s="23"/>
      <c r="B176" s="53">
        <v>166</v>
      </c>
      <c r="C176" s="58">
        <v>2419140</v>
      </c>
      <c r="D176" s="59">
        <v>13473.830078125</v>
      </c>
      <c r="E176" s="59">
        <v>0</v>
      </c>
      <c r="F176" s="59">
        <v>-88.734657287597656</v>
      </c>
      <c r="G176" s="42">
        <v>0</v>
      </c>
      <c r="H176" s="23"/>
      <c r="I176" s="23"/>
      <c r="J176" s="99"/>
      <c r="K176" s="99"/>
      <c r="L176" s="99"/>
      <c r="M176" s="99"/>
      <c r="N176" s="43">
        <f t="shared" si="2"/>
        <v>2419140</v>
      </c>
      <c r="O176" s="43"/>
      <c r="P176" s="23"/>
      <c r="Q176" s="23"/>
    </row>
    <row r="177" spans="1:17">
      <c r="A177" s="23"/>
      <c r="B177" s="53">
        <v>167</v>
      </c>
      <c r="C177" s="58">
        <v>2586070.75</v>
      </c>
      <c r="D177" s="59">
        <v>12675.91015625</v>
      </c>
      <c r="E177" s="59">
        <v>0</v>
      </c>
      <c r="F177" s="59">
        <v>-88.823341369628906</v>
      </c>
      <c r="G177" s="42">
        <v>0</v>
      </c>
      <c r="H177" s="23"/>
      <c r="I177" s="23"/>
      <c r="J177" s="99"/>
      <c r="K177" s="99"/>
      <c r="L177" s="99"/>
      <c r="M177" s="99"/>
      <c r="N177" s="43">
        <f t="shared" si="2"/>
        <v>2586070.75</v>
      </c>
      <c r="O177" s="43"/>
      <c r="P177" s="23"/>
      <c r="Q177" s="23"/>
    </row>
    <row r="178" spans="1:17">
      <c r="A178" s="23"/>
      <c r="B178" s="53">
        <v>168</v>
      </c>
      <c r="C178" s="58">
        <v>2764520.5</v>
      </c>
      <c r="D178" s="59">
        <v>11933.9501953125</v>
      </c>
      <c r="E178" s="59">
        <v>0</v>
      </c>
      <c r="F178" s="59">
        <v>-88.906173706054688</v>
      </c>
      <c r="G178" s="42">
        <v>0</v>
      </c>
      <c r="H178" s="23"/>
      <c r="I178" s="23"/>
      <c r="J178" s="99"/>
      <c r="K178" s="99"/>
      <c r="L178" s="99"/>
      <c r="M178" s="99"/>
      <c r="N178" s="43">
        <f t="shared" si="2"/>
        <v>2764520.5</v>
      </c>
      <c r="O178" s="43"/>
      <c r="P178" s="23"/>
      <c r="Q178" s="23"/>
    </row>
    <row r="179" spans="1:17">
      <c r="A179" s="23"/>
      <c r="B179" s="53">
        <v>169</v>
      </c>
      <c r="C179" s="58">
        <v>2955284</v>
      </c>
      <c r="D179" s="59">
        <v>11244.5</v>
      </c>
      <c r="E179" s="59">
        <v>0</v>
      </c>
      <c r="F179" s="59">
        <v>-88.998573303222656</v>
      </c>
      <c r="G179" s="42">
        <v>0</v>
      </c>
      <c r="H179" s="23"/>
      <c r="I179" s="23"/>
      <c r="J179" s="99"/>
      <c r="K179" s="99"/>
      <c r="L179" s="99"/>
      <c r="M179" s="99"/>
      <c r="N179" s="43">
        <f t="shared" si="2"/>
        <v>2955284</v>
      </c>
      <c r="O179" s="43"/>
      <c r="P179" s="23"/>
      <c r="Q179" s="23"/>
    </row>
    <row r="180" spans="1:17">
      <c r="A180" s="23"/>
      <c r="B180" s="53">
        <v>170</v>
      </c>
      <c r="C180" s="58">
        <v>3159210.75</v>
      </c>
      <c r="D180" s="59">
        <v>10604.5</v>
      </c>
      <c r="E180" s="59">
        <v>0</v>
      </c>
      <c r="F180" s="59">
        <v>-89.1021728515625</v>
      </c>
      <c r="G180" s="42">
        <v>0</v>
      </c>
      <c r="H180" s="23"/>
      <c r="I180" s="23"/>
      <c r="J180" s="99"/>
      <c r="K180" s="99"/>
      <c r="L180" s="99"/>
      <c r="M180" s="99"/>
      <c r="N180" s="43">
        <f t="shared" si="2"/>
        <v>3159210.75</v>
      </c>
      <c r="O180" s="43"/>
      <c r="P180" s="23"/>
      <c r="Q180" s="23"/>
    </row>
    <row r="181" spans="1:17">
      <c r="A181" s="23"/>
      <c r="B181" s="53">
        <v>171</v>
      </c>
      <c r="C181" s="58">
        <v>3377209.5</v>
      </c>
      <c r="D181" s="59">
        <v>10014.0703125</v>
      </c>
      <c r="E181" s="59">
        <v>0</v>
      </c>
      <c r="F181" s="59">
        <v>-89.213996887207031</v>
      </c>
      <c r="G181" s="42">
        <v>0</v>
      </c>
      <c r="H181" s="23"/>
      <c r="I181" s="23"/>
      <c r="J181" s="99"/>
      <c r="K181" s="99"/>
      <c r="L181" s="99"/>
      <c r="M181" s="99"/>
      <c r="N181" s="43">
        <f t="shared" si="2"/>
        <v>3377209.5</v>
      </c>
      <c r="O181" s="43"/>
      <c r="P181" s="23"/>
      <c r="Q181" s="23"/>
    </row>
    <row r="182" spans="1:17">
      <c r="A182" s="23"/>
      <c r="B182" s="53">
        <v>172</v>
      </c>
      <c r="C182" s="58">
        <v>3610251</v>
      </c>
      <c r="D182" s="59">
        <v>9468.576171875</v>
      </c>
      <c r="E182" s="59">
        <v>0</v>
      </c>
      <c r="F182" s="59">
        <v>-89.337821960449219</v>
      </c>
      <c r="G182" s="42">
        <v>0</v>
      </c>
      <c r="H182" s="23"/>
      <c r="I182" s="23"/>
      <c r="J182" s="99"/>
      <c r="K182" s="99"/>
      <c r="L182" s="99"/>
      <c r="M182" s="99"/>
      <c r="N182" s="43">
        <f t="shared" si="2"/>
        <v>3610251</v>
      </c>
      <c r="O182" s="43"/>
      <c r="P182" s="23"/>
      <c r="Q182" s="23"/>
    </row>
    <row r="183" spans="1:17">
      <c r="A183" s="23"/>
      <c r="B183" s="53">
        <v>173</v>
      </c>
      <c r="C183" s="58">
        <v>3859373.5</v>
      </c>
      <c r="D183" s="59">
        <v>8966.8310546875</v>
      </c>
      <c r="E183" s="59">
        <v>0</v>
      </c>
      <c r="F183" s="59">
        <v>-89.475288391113281</v>
      </c>
      <c r="G183" s="42">
        <v>0</v>
      </c>
      <c r="H183" s="23"/>
      <c r="I183" s="23"/>
      <c r="J183" s="99"/>
      <c r="K183" s="99"/>
      <c r="L183" s="99"/>
      <c r="M183" s="99"/>
      <c r="N183" s="43">
        <f t="shared" si="2"/>
        <v>3859373.5</v>
      </c>
      <c r="O183" s="43"/>
      <c r="P183" s="23"/>
      <c r="Q183" s="23"/>
    </row>
    <row r="184" spans="1:17">
      <c r="A184" s="23"/>
      <c r="B184" s="53">
        <v>174</v>
      </c>
      <c r="C184" s="58">
        <v>4125686.25</v>
      </c>
      <c r="D184" s="59">
        <v>8508.2822265625</v>
      </c>
      <c r="E184" s="59">
        <v>0</v>
      </c>
      <c r="F184" s="59">
        <v>-89.632682800292969</v>
      </c>
      <c r="G184" s="42">
        <v>0</v>
      </c>
      <c r="H184" s="23"/>
      <c r="I184" s="23"/>
      <c r="J184" s="99"/>
      <c r="K184" s="99"/>
      <c r="L184" s="99"/>
      <c r="M184" s="99"/>
      <c r="N184" s="43">
        <f t="shared" si="2"/>
        <v>4125686.25</v>
      </c>
      <c r="O184" s="43"/>
      <c r="P184" s="23"/>
      <c r="Q184" s="23"/>
    </row>
    <row r="185" spans="1:17">
      <c r="A185" s="23"/>
      <c r="B185" s="53">
        <v>175</v>
      </c>
      <c r="C185" s="58">
        <v>4410376</v>
      </c>
      <c r="D185" s="59">
        <v>8089.43017578125</v>
      </c>
      <c r="E185" s="59">
        <v>0</v>
      </c>
      <c r="F185" s="59">
        <v>-89.835121154785156</v>
      </c>
      <c r="G185" s="42">
        <v>0</v>
      </c>
      <c r="H185" s="23"/>
      <c r="I185" s="23"/>
      <c r="J185" s="99"/>
      <c r="K185" s="99"/>
      <c r="L185" s="99"/>
      <c r="M185" s="99"/>
      <c r="N185" s="43">
        <f t="shared" si="2"/>
        <v>4410376</v>
      </c>
      <c r="O185" s="43"/>
      <c r="P185" s="23"/>
      <c r="Q185" s="23"/>
    </row>
    <row r="186" spans="1:17">
      <c r="A186" s="23"/>
      <c r="B186" s="53">
        <v>176</v>
      </c>
      <c r="C186" s="58">
        <v>4714710</v>
      </c>
      <c r="D186" s="59">
        <v>7707.98779296875</v>
      </c>
      <c r="E186" s="59">
        <v>0</v>
      </c>
      <c r="F186" s="59">
        <v>-90.066017150878906</v>
      </c>
      <c r="G186" s="42">
        <v>0</v>
      </c>
      <c r="H186" s="23"/>
      <c r="I186" s="23"/>
      <c r="J186" s="99"/>
      <c r="K186" s="99"/>
      <c r="L186" s="99"/>
      <c r="M186" s="99"/>
      <c r="N186" s="43">
        <f t="shared" si="2"/>
        <v>4714710</v>
      </c>
      <c r="O186" s="43"/>
      <c r="P186" s="23"/>
      <c r="Q186" s="23"/>
    </row>
    <row r="187" spans="1:17">
      <c r="A187" s="23"/>
      <c r="B187" s="53">
        <v>177</v>
      </c>
      <c r="C187" s="58">
        <v>5040045</v>
      </c>
      <c r="D187" s="59">
        <v>7366.52685546875</v>
      </c>
      <c r="E187" s="59">
        <v>0</v>
      </c>
      <c r="F187" s="59">
        <v>-90.322380065917969</v>
      </c>
      <c r="G187" s="42">
        <v>0</v>
      </c>
      <c r="H187" s="23"/>
      <c r="I187" s="23"/>
      <c r="J187" s="99"/>
      <c r="K187" s="99"/>
      <c r="L187" s="99"/>
      <c r="M187" s="99"/>
      <c r="N187" s="43">
        <f t="shared" si="2"/>
        <v>5040045</v>
      </c>
      <c r="O187" s="43"/>
      <c r="P187" s="23"/>
      <c r="Q187" s="23"/>
    </row>
    <row r="188" spans="1:17">
      <c r="A188" s="23"/>
      <c r="B188" s="53">
        <v>178</v>
      </c>
      <c r="C188" s="58">
        <v>5387829</v>
      </c>
      <c r="D188" s="59">
        <v>7066.55615234375</v>
      </c>
      <c r="E188" s="59">
        <v>0</v>
      </c>
      <c r="F188" s="59">
        <v>-90.634841918945313</v>
      </c>
      <c r="G188" s="42">
        <v>0</v>
      </c>
      <c r="H188" s="23"/>
      <c r="I188" s="23"/>
      <c r="J188" s="99"/>
      <c r="K188" s="99"/>
      <c r="L188" s="99"/>
      <c r="M188" s="99"/>
      <c r="N188" s="43">
        <f t="shared" si="2"/>
        <v>5387829</v>
      </c>
      <c r="O188" s="43"/>
      <c r="P188" s="23"/>
      <c r="Q188" s="23"/>
    </row>
    <row r="189" spans="1:17">
      <c r="A189" s="23"/>
      <c r="B189" s="53">
        <v>179</v>
      </c>
      <c r="C189" s="58">
        <v>5759611.5</v>
      </c>
      <c r="D189" s="59">
        <v>6809.63623046875</v>
      </c>
      <c r="E189" s="59">
        <v>0</v>
      </c>
      <c r="F189" s="59">
        <v>-91.018608093261719</v>
      </c>
      <c r="G189" s="42">
        <v>0</v>
      </c>
      <c r="H189" s="23"/>
      <c r="I189" s="23"/>
      <c r="J189" s="99"/>
      <c r="K189" s="99"/>
      <c r="L189" s="99"/>
      <c r="M189" s="99"/>
      <c r="N189" s="43">
        <f t="shared" si="2"/>
        <v>5759611.5</v>
      </c>
      <c r="O189" s="43"/>
      <c r="P189" s="23"/>
      <c r="Q189" s="23"/>
    </row>
    <row r="190" spans="1:17">
      <c r="A190" s="23"/>
      <c r="B190" s="53">
        <v>180</v>
      </c>
      <c r="C190" s="58">
        <v>6157049</v>
      </c>
      <c r="D190" s="59">
        <v>6596.8818359375</v>
      </c>
      <c r="E190" s="59">
        <v>0</v>
      </c>
      <c r="F190" s="59">
        <v>-91.531936645507813</v>
      </c>
      <c r="G190" s="42">
        <v>0</v>
      </c>
      <c r="H190" s="23"/>
      <c r="I190" s="23"/>
      <c r="J190" s="99"/>
      <c r="K190" s="99"/>
      <c r="L190" s="99"/>
      <c r="M190" s="99"/>
      <c r="N190" s="43">
        <f t="shared" si="2"/>
        <v>6157049</v>
      </c>
      <c r="O190" s="43"/>
      <c r="P190" s="23"/>
      <c r="Q190" s="23"/>
    </row>
    <row r="191" spans="1:17">
      <c r="A191" s="23"/>
      <c r="B191" s="53">
        <v>181</v>
      </c>
      <c r="C191" s="58">
        <v>6581911</v>
      </c>
      <c r="D191" s="59">
        <v>6431.10693359375</v>
      </c>
      <c r="E191" s="59">
        <v>0</v>
      </c>
      <c r="F191" s="59">
        <v>-92.21484375</v>
      </c>
      <c r="G191" s="42">
        <v>0</v>
      </c>
      <c r="H191" s="23"/>
      <c r="I191" s="23"/>
      <c r="J191" s="99"/>
      <c r="K191" s="99"/>
      <c r="L191" s="99"/>
      <c r="M191" s="99"/>
      <c r="N191" s="43">
        <f t="shared" si="2"/>
        <v>6581911</v>
      </c>
      <c r="O191" s="43"/>
      <c r="P191" s="23"/>
      <c r="Q191" s="23"/>
    </row>
    <row r="192" spans="1:17">
      <c r="A192" s="23"/>
      <c r="B192" s="53">
        <v>182</v>
      </c>
      <c r="C192" s="58">
        <v>7036090.5</v>
      </c>
      <c r="D192" s="59">
        <v>6314.89697265625</v>
      </c>
      <c r="E192" s="59">
        <v>0</v>
      </c>
      <c r="F192" s="59">
        <v>-93.144561767578125</v>
      </c>
      <c r="G192" s="42">
        <v>0</v>
      </c>
      <c r="H192" s="23"/>
      <c r="I192" s="23"/>
      <c r="J192" s="99"/>
      <c r="K192" s="99"/>
      <c r="L192" s="99"/>
      <c r="M192" s="99"/>
      <c r="N192" s="43">
        <f t="shared" si="2"/>
        <v>7036090.5</v>
      </c>
      <c r="O192" s="43"/>
      <c r="P192" s="23"/>
      <c r="Q192" s="23"/>
    </row>
    <row r="193" spans="1:17">
      <c r="A193" s="23"/>
      <c r="B193" s="53">
        <v>183</v>
      </c>
      <c r="C193" s="58">
        <v>7521610</v>
      </c>
      <c r="D193" s="59">
        <v>6251.283203125</v>
      </c>
      <c r="E193" s="59">
        <v>0</v>
      </c>
      <c r="F193" s="59">
        <v>-94.412582397460938</v>
      </c>
      <c r="G193" s="42">
        <v>0</v>
      </c>
      <c r="H193" s="23"/>
      <c r="I193" s="23"/>
      <c r="J193" s="99"/>
      <c r="K193" s="99"/>
      <c r="L193" s="99"/>
      <c r="M193" s="99"/>
      <c r="N193" s="43">
        <f t="shared" si="2"/>
        <v>7521610</v>
      </c>
      <c r="O193" s="43"/>
      <c r="P193" s="23"/>
      <c r="Q193" s="23"/>
    </row>
    <row r="194" spans="1:17">
      <c r="A194" s="23"/>
      <c r="B194" s="53">
        <v>184</v>
      </c>
      <c r="C194" s="58">
        <v>8040632.5</v>
      </c>
      <c r="D194" s="59">
        <v>6244.2412109375</v>
      </c>
      <c r="E194" s="59">
        <v>0</v>
      </c>
      <c r="F194" s="59">
        <v>-96.116462707519531</v>
      </c>
      <c r="G194" s="42">
        <v>0</v>
      </c>
      <c r="H194" s="23"/>
      <c r="I194" s="23"/>
      <c r="J194" s="99"/>
      <c r="K194" s="99"/>
      <c r="L194" s="99"/>
      <c r="M194" s="99"/>
      <c r="N194" s="43">
        <f t="shared" si="2"/>
        <v>8040632.5</v>
      </c>
      <c r="O194" s="43"/>
      <c r="P194" s="23"/>
      <c r="Q194" s="23"/>
    </row>
    <row r="195" spans="1:17">
      <c r="A195" s="23"/>
      <c r="B195" s="53">
        <v>185</v>
      </c>
      <c r="C195" s="58">
        <v>8595470</v>
      </c>
      <c r="D195" s="59">
        <v>6299.35693359375</v>
      </c>
      <c r="E195" s="59">
        <v>0</v>
      </c>
      <c r="F195" s="59">
        <v>-98.361686706542969</v>
      </c>
      <c r="G195" s="42">
        <v>0</v>
      </c>
      <c r="H195" s="23"/>
      <c r="I195" s="23"/>
      <c r="J195" s="99"/>
      <c r="K195" s="99"/>
      <c r="L195" s="99"/>
      <c r="M195" s="99"/>
      <c r="N195" s="43">
        <f t="shared" si="2"/>
        <v>8595470</v>
      </c>
      <c r="O195" s="43"/>
      <c r="P195" s="23"/>
      <c r="Q195" s="23"/>
    </row>
    <row r="196" spans="1:17">
      <c r="A196" s="23"/>
      <c r="B196" s="53">
        <v>186</v>
      </c>
      <c r="C196" s="58">
        <v>9188593</v>
      </c>
      <c r="D196" s="59">
        <v>6433.19287109375</v>
      </c>
      <c r="E196" s="59">
        <v>0</v>
      </c>
      <c r="F196" s="59">
        <v>-101.24089813232422</v>
      </c>
      <c r="G196" s="42">
        <v>0</v>
      </c>
      <c r="H196" s="23"/>
      <c r="I196" s="23"/>
      <c r="J196" s="99"/>
      <c r="K196" s="99"/>
      <c r="L196" s="99"/>
      <c r="M196" s="99"/>
      <c r="N196" s="43">
        <f t="shared" si="2"/>
        <v>9188593</v>
      </c>
      <c r="O196" s="43"/>
      <c r="P196" s="23"/>
      <c r="Q196" s="23"/>
    </row>
    <row r="197" spans="1:17">
      <c r="A197" s="23"/>
      <c r="B197" s="53">
        <v>187</v>
      </c>
      <c r="C197" s="58">
        <v>9822644</v>
      </c>
      <c r="D197" s="59">
        <v>6680.4921875</v>
      </c>
      <c r="E197" s="59">
        <v>0</v>
      </c>
      <c r="F197" s="59">
        <v>-104.91750335693359</v>
      </c>
      <c r="G197" s="42">
        <v>0</v>
      </c>
      <c r="H197" s="23"/>
      <c r="I197" s="23"/>
      <c r="J197" s="99"/>
      <c r="K197" s="99"/>
      <c r="L197" s="99"/>
      <c r="M197" s="99"/>
      <c r="N197" s="43">
        <f t="shared" si="2"/>
        <v>9822644</v>
      </c>
      <c r="O197" s="43"/>
      <c r="P197" s="23"/>
      <c r="Q197" s="23"/>
    </row>
    <row r="198" spans="1:17">
      <c r="A198" s="23"/>
      <c r="B198" s="53">
        <v>188</v>
      </c>
      <c r="C198" s="58">
        <v>10500447</v>
      </c>
      <c r="D198" s="59">
        <v>7117.8837890625</v>
      </c>
      <c r="E198" s="59">
        <v>0</v>
      </c>
      <c r="F198" s="59">
        <v>-109.79170227050781</v>
      </c>
      <c r="G198" s="42">
        <v>0</v>
      </c>
      <c r="H198" s="23"/>
      <c r="I198" s="23"/>
      <c r="J198" s="99"/>
      <c r="K198" s="99"/>
      <c r="L198" s="99"/>
      <c r="M198" s="99"/>
      <c r="N198" s="43">
        <f t="shared" si="2"/>
        <v>10500447</v>
      </c>
      <c r="O198" s="43"/>
      <c r="P198" s="23"/>
      <c r="Q198" s="23"/>
    </row>
    <row r="199" spans="1:17">
      <c r="A199" s="23"/>
      <c r="B199" s="53">
        <v>189</v>
      </c>
      <c r="C199" s="58">
        <v>11225022</v>
      </c>
      <c r="D199" s="59">
        <v>7887.68701171875</v>
      </c>
      <c r="E199" s="59">
        <v>0</v>
      </c>
      <c r="F199" s="59">
        <v>-117.01969909667969</v>
      </c>
      <c r="G199" s="42">
        <v>0</v>
      </c>
      <c r="H199" s="23"/>
      <c r="I199" s="23"/>
      <c r="J199" s="99"/>
      <c r="K199" s="99"/>
      <c r="L199" s="99"/>
      <c r="M199" s="99"/>
      <c r="N199" s="43">
        <f t="shared" si="2"/>
        <v>11225022</v>
      </c>
      <c r="O199" s="43"/>
      <c r="P199" s="23"/>
      <c r="Q199" s="23"/>
    </row>
    <row r="200" spans="1:17">
      <c r="A200" s="23"/>
      <c r="B200" s="53">
        <v>190</v>
      </c>
      <c r="C200" s="58">
        <v>11999596</v>
      </c>
      <c r="D200" s="59">
        <v>9157.296875</v>
      </c>
      <c r="E200" s="59">
        <v>0</v>
      </c>
      <c r="F200" s="59">
        <v>-129.35360717773438</v>
      </c>
      <c r="G200" s="42">
        <v>0</v>
      </c>
      <c r="H200" s="23"/>
      <c r="I200" s="23"/>
      <c r="J200" s="99"/>
      <c r="K200" s="99"/>
      <c r="L200" s="99"/>
      <c r="M200" s="99"/>
      <c r="N200" s="43">
        <f t="shared" si="2"/>
        <v>11999596</v>
      </c>
      <c r="O200" s="43"/>
      <c r="P200" s="23"/>
      <c r="Q200" s="23"/>
    </row>
    <row r="201" spans="1:17">
      <c r="A201" s="23"/>
      <c r="B201" s="53">
        <v>191</v>
      </c>
      <c r="C201" s="58">
        <v>12827618</v>
      </c>
      <c r="D201" s="59">
        <v>10599.5595703125</v>
      </c>
      <c r="E201" s="59">
        <v>0</v>
      </c>
      <c r="F201" s="59">
        <v>-152.31559753417969</v>
      </c>
      <c r="G201" s="42">
        <v>0</v>
      </c>
      <c r="H201" s="23"/>
      <c r="I201" s="23"/>
      <c r="J201" s="99"/>
      <c r="K201" s="99"/>
      <c r="L201" s="99"/>
      <c r="M201" s="99"/>
      <c r="N201" s="43">
        <f t="shared" si="2"/>
        <v>12827618</v>
      </c>
      <c r="O201" s="43"/>
      <c r="P201" s="23"/>
      <c r="Q201" s="23"/>
    </row>
    <row r="202" spans="1:17">
      <c r="A202" s="23"/>
      <c r="B202" s="53">
        <v>192</v>
      </c>
      <c r="C202" s="58">
        <v>13712777</v>
      </c>
      <c r="D202" s="59">
        <v>9774.341796875</v>
      </c>
      <c r="E202" s="59">
        <v>0</v>
      </c>
      <c r="F202" s="59">
        <v>173.57730102539063</v>
      </c>
      <c r="G202" s="42">
        <v>0</v>
      </c>
      <c r="H202" s="23"/>
      <c r="I202" s="23"/>
      <c r="J202" s="99"/>
      <c r="K202" s="99"/>
      <c r="L202" s="99"/>
      <c r="M202" s="99"/>
      <c r="N202" s="43">
        <f t="shared" si="2"/>
        <v>13712777</v>
      </c>
      <c r="O202" s="43"/>
      <c r="P202" s="23"/>
      <c r="Q202" s="23"/>
    </row>
    <row r="203" spans="1:17">
      <c r="A203" s="23"/>
      <c r="B203" s="53">
        <v>193</v>
      </c>
      <c r="C203" s="58">
        <v>14659016</v>
      </c>
      <c r="D203" s="59">
        <v>6648.0517578125</v>
      </c>
      <c r="E203" s="59">
        <v>0</v>
      </c>
      <c r="F203" s="59">
        <v>143.85859680175781</v>
      </c>
      <c r="G203" s="42">
        <v>0</v>
      </c>
      <c r="H203" s="23"/>
      <c r="I203" s="23"/>
      <c r="J203" s="99"/>
      <c r="K203" s="99"/>
      <c r="L203" s="99"/>
      <c r="M203" s="99"/>
      <c r="N203" s="43">
        <f t="shared" ref="N203:N266" si="3">IF($L$4=$C$10,C203,IF(D203="","",B203))</f>
        <v>14659016</v>
      </c>
      <c r="O203" s="43"/>
      <c r="P203" s="23"/>
      <c r="Q203" s="23"/>
    </row>
    <row r="204" spans="1:17">
      <c r="A204" s="23"/>
      <c r="B204" s="53">
        <v>194</v>
      </c>
      <c r="C204" s="58">
        <v>15670549</v>
      </c>
      <c r="D204" s="59">
        <v>1181.843994140625</v>
      </c>
      <c r="E204" s="59">
        <v>0</v>
      </c>
      <c r="F204" s="59">
        <v>-152.79510498046875</v>
      </c>
      <c r="G204" s="42">
        <v>0</v>
      </c>
      <c r="H204" s="23"/>
      <c r="I204" s="23"/>
      <c r="J204" s="99"/>
      <c r="K204" s="99"/>
      <c r="L204" s="99"/>
      <c r="M204" s="99"/>
      <c r="N204" s="43">
        <f t="shared" si="3"/>
        <v>15670549</v>
      </c>
      <c r="O204" s="43"/>
      <c r="P204" s="23"/>
      <c r="Q204" s="23"/>
    </row>
    <row r="205" spans="1:17">
      <c r="A205" s="23"/>
      <c r="B205" s="53">
        <v>195</v>
      </c>
      <c r="C205" s="58">
        <v>16751882</v>
      </c>
      <c r="D205" s="59">
        <v>1049.873046875</v>
      </c>
      <c r="E205" s="59">
        <v>0</v>
      </c>
      <c r="F205" s="59">
        <v>-156.12869262695313</v>
      </c>
      <c r="G205" s="42">
        <v>0</v>
      </c>
      <c r="H205" s="23"/>
      <c r="I205" s="23"/>
      <c r="J205" s="99"/>
      <c r="K205" s="99"/>
      <c r="L205" s="99"/>
      <c r="M205" s="99"/>
      <c r="N205" s="43">
        <f t="shared" si="3"/>
        <v>16751882</v>
      </c>
      <c r="O205" s="43"/>
      <c r="P205" s="23"/>
      <c r="Q205" s="23"/>
    </row>
    <row r="206" spans="1:17">
      <c r="A206" s="23"/>
      <c r="B206" s="53">
        <v>196</v>
      </c>
      <c r="C206" s="58">
        <v>17907832</v>
      </c>
      <c r="D206" s="59">
        <v>929.05352783203125</v>
      </c>
      <c r="E206" s="59">
        <v>0</v>
      </c>
      <c r="F206" s="59">
        <v>-160.0303955078125</v>
      </c>
      <c r="G206" s="42">
        <v>0</v>
      </c>
      <c r="H206" s="23"/>
      <c r="I206" s="23"/>
      <c r="J206" s="99"/>
      <c r="K206" s="99"/>
      <c r="L206" s="99"/>
      <c r="M206" s="99"/>
      <c r="N206" s="43">
        <f t="shared" si="3"/>
        <v>17907832</v>
      </c>
      <c r="O206" s="43"/>
      <c r="P206" s="23"/>
      <c r="Q206" s="23"/>
    </row>
    <row r="207" spans="1:17">
      <c r="A207" s="23"/>
      <c r="B207" s="53">
        <v>197</v>
      </c>
      <c r="C207" s="58">
        <v>19143546</v>
      </c>
      <c r="D207" s="59">
        <v>812.1995849609375</v>
      </c>
      <c r="E207" s="59">
        <v>0</v>
      </c>
      <c r="F207" s="59">
        <v>-164.10820007324219</v>
      </c>
      <c r="G207" s="42">
        <v>0</v>
      </c>
      <c r="H207" s="23"/>
      <c r="I207" s="23"/>
      <c r="J207" s="99"/>
      <c r="K207" s="99"/>
      <c r="L207" s="99"/>
      <c r="M207" s="99"/>
      <c r="N207" s="43">
        <f t="shared" si="3"/>
        <v>19143546</v>
      </c>
      <c r="O207" s="43"/>
      <c r="P207" s="23"/>
      <c r="Q207" s="23"/>
    </row>
    <row r="208" spans="1:17">
      <c r="A208" s="23"/>
      <c r="B208" s="53">
        <v>198</v>
      </c>
      <c r="C208" s="58">
        <v>20464532</v>
      </c>
      <c r="D208" s="59">
        <v>700.9110107421875</v>
      </c>
      <c r="E208" s="59">
        <v>0</v>
      </c>
      <c r="F208" s="59">
        <v>-168.32049560546875</v>
      </c>
      <c r="G208" s="42">
        <v>0</v>
      </c>
      <c r="H208" s="23"/>
      <c r="I208" s="23"/>
      <c r="J208" s="99"/>
      <c r="K208" s="99"/>
      <c r="L208" s="99"/>
      <c r="M208" s="99"/>
      <c r="N208" s="43">
        <f t="shared" si="3"/>
        <v>20464532</v>
      </c>
      <c r="O208" s="43"/>
      <c r="P208" s="23"/>
      <c r="Q208" s="23"/>
    </row>
    <row r="209" spans="1:17">
      <c r="A209" s="23"/>
      <c r="B209" s="53">
        <v>199</v>
      </c>
      <c r="C209" s="58">
        <v>21876670</v>
      </c>
      <c r="D209" s="59">
        <v>599.135986328125</v>
      </c>
      <c r="E209" s="59">
        <v>0</v>
      </c>
      <c r="F209" s="59">
        <v>-172.22340393066406</v>
      </c>
      <c r="G209" s="42">
        <v>0</v>
      </c>
      <c r="H209" s="23"/>
      <c r="I209" s="23"/>
      <c r="J209" s="99"/>
      <c r="K209" s="99"/>
      <c r="L209" s="99"/>
      <c r="M209" s="99"/>
      <c r="N209" s="43">
        <f t="shared" si="3"/>
        <v>21876670</v>
      </c>
      <c r="O209" s="43"/>
      <c r="P209" s="23"/>
      <c r="Q209" s="23"/>
    </row>
    <row r="210" spans="1:17">
      <c r="A210" s="23"/>
      <c r="B210" s="54">
        <v>200</v>
      </c>
      <c r="C210" s="58">
        <v>23386252</v>
      </c>
      <c r="D210" s="60">
        <v>508.46539306640625</v>
      </c>
      <c r="E210" s="59">
        <v>0</v>
      </c>
      <c r="F210" s="59">
        <v>-176.66889953613281</v>
      </c>
      <c r="G210" s="42">
        <v>0</v>
      </c>
      <c r="H210" s="23"/>
      <c r="I210" s="23"/>
      <c r="J210" s="99"/>
      <c r="K210" s="99"/>
      <c r="L210" s="99"/>
      <c r="M210" s="99"/>
      <c r="N210" s="43">
        <f t="shared" si="3"/>
        <v>23386252</v>
      </c>
      <c r="O210" s="43"/>
      <c r="P210" s="23"/>
      <c r="Q210" s="23"/>
    </row>
    <row r="211" spans="1:17">
      <c r="A211" s="23"/>
      <c r="B211" s="55">
        <v>201</v>
      </c>
      <c r="C211" s="61">
        <v>25000000</v>
      </c>
      <c r="D211" s="61">
        <v>423.42330932617188</v>
      </c>
      <c r="E211" s="61">
        <v>0</v>
      </c>
      <c r="F211" s="61">
        <v>178.84890747070313</v>
      </c>
      <c r="G211" s="62">
        <v>0</v>
      </c>
      <c r="H211" s="23"/>
      <c r="I211" s="23"/>
      <c r="J211" s="99"/>
      <c r="K211" s="99"/>
      <c r="L211" s="99"/>
      <c r="M211" s="99"/>
      <c r="N211" s="43">
        <f t="shared" si="3"/>
        <v>25000000</v>
      </c>
      <c r="O211" s="43"/>
      <c r="P211" s="23"/>
      <c r="Q211" s="23"/>
    </row>
    <row r="212" spans="1:17">
      <c r="A212" s="23"/>
      <c r="B212" s="56"/>
      <c r="C212" s="63"/>
      <c r="D212" s="63"/>
      <c r="E212" s="63"/>
      <c r="F212" s="64"/>
      <c r="G212" s="64"/>
      <c r="H212" s="23"/>
      <c r="I212" s="23"/>
      <c r="J212" s="99"/>
      <c r="K212" s="99"/>
      <c r="L212" s="99"/>
      <c r="M212" s="99"/>
      <c r="N212" s="43">
        <f t="shared" si="3"/>
        <v>0</v>
      </c>
      <c r="O212" s="43"/>
      <c r="P212" s="23"/>
      <c r="Q212" s="23"/>
    </row>
    <row r="213" spans="1:17">
      <c r="A213" s="23"/>
      <c r="B213" s="56"/>
      <c r="C213" s="63"/>
      <c r="D213" s="63"/>
      <c r="E213" s="63"/>
      <c r="F213" s="63"/>
      <c r="G213" s="63"/>
      <c r="H213" s="23"/>
      <c r="I213" s="23"/>
      <c r="J213" s="99"/>
      <c r="K213" s="99"/>
      <c r="L213" s="99"/>
      <c r="M213" s="99"/>
      <c r="N213" s="43">
        <f t="shared" si="3"/>
        <v>0</v>
      </c>
      <c r="O213" s="48"/>
      <c r="P213" s="23"/>
      <c r="Q213" s="23"/>
    </row>
    <row r="214" spans="1:17">
      <c r="A214" s="23"/>
      <c r="B214" s="56"/>
      <c r="C214" s="63"/>
      <c r="D214" s="63"/>
      <c r="E214" s="63"/>
      <c r="F214" s="63"/>
      <c r="G214" s="63"/>
      <c r="H214" s="23"/>
      <c r="I214" s="23"/>
      <c r="J214" s="99"/>
      <c r="K214" s="99"/>
      <c r="L214" s="99"/>
      <c r="M214" s="99"/>
      <c r="N214" s="43">
        <f t="shared" si="3"/>
        <v>0</v>
      </c>
      <c r="O214" s="48"/>
      <c r="P214" s="23"/>
      <c r="Q214" s="23"/>
    </row>
    <row r="215" spans="1:17">
      <c r="A215" s="23"/>
      <c r="B215" s="56"/>
      <c r="C215" s="63"/>
      <c r="D215" s="63"/>
      <c r="E215" s="63"/>
      <c r="F215" s="63"/>
      <c r="G215" s="63"/>
      <c r="H215" s="23"/>
      <c r="I215" s="23"/>
      <c r="J215" s="99"/>
      <c r="K215" s="99"/>
      <c r="L215" s="99"/>
      <c r="M215" s="99"/>
      <c r="N215" s="43">
        <f t="shared" si="3"/>
        <v>0</v>
      </c>
      <c r="O215" s="48"/>
      <c r="P215" s="23"/>
      <c r="Q215" s="23"/>
    </row>
    <row r="216" spans="1:17">
      <c r="A216" s="23"/>
      <c r="B216" s="56"/>
      <c r="C216" s="63"/>
      <c r="D216" s="63"/>
      <c r="E216" s="63"/>
      <c r="F216" s="63"/>
      <c r="G216" s="63"/>
      <c r="H216" s="23"/>
      <c r="I216" s="23"/>
      <c r="J216" s="99"/>
      <c r="K216" s="99"/>
      <c r="L216" s="99"/>
      <c r="M216" s="99"/>
      <c r="N216" s="43">
        <f t="shared" si="3"/>
        <v>0</v>
      </c>
      <c r="O216" s="48"/>
      <c r="P216" s="23"/>
      <c r="Q216" s="23"/>
    </row>
    <row r="217" spans="1:17">
      <c r="A217" s="23"/>
      <c r="B217" s="56"/>
      <c r="C217" s="63"/>
      <c r="D217" s="63"/>
      <c r="E217" s="63"/>
      <c r="F217" s="63"/>
      <c r="G217" s="63"/>
      <c r="H217" s="23"/>
      <c r="I217" s="23"/>
      <c r="J217" s="99"/>
      <c r="K217" s="99"/>
      <c r="L217" s="99"/>
      <c r="M217" s="99"/>
      <c r="N217" s="43">
        <f t="shared" si="3"/>
        <v>0</v>
      </c>
      <c r="O217" s="48"/>
      <c r="P217" s="23"/>
      <c r="Q217" s="23"/>
    </row>
    <row r="218" spans="1:17">
      <c r="A218" s="23"/>
      <c r="B218" s="56"/>
      <c r="C218" s="63"/>
      <c r="D218" s="63"/>
      <c r="E218" s="63"/>
      <c r="F218" s="63"/>
      <c r="G218" s="63"/>
      <c r="H218" s="23"/>
      <c r="I218" s="23"/>
      <c r="J218" s="99"/>
      <c r="K218" s="99"/>
      <c r="L218" s="99"/>
      <c r="M218" s="99"/>
      <c r="N218" s="43">
        <f t="shared" si="3"/>
        <v>0</v>
      </c>
      <c r="O218" s="48"/>
      <c r="P218" s="23"/>
      <c r="Q218" s="23"/>
    </row>
    <row r="219" spans="1:17">
      <c r="A219" s="23"/>
      <c r="B219" s="56"/>
      <c r="C219" s="63"/>
      <c r="D219" s="63"/>
      <c r="E219" s="63"/>
      <c r="F219" s="63"/>
      <c r="G219" s="63"/>
      <c r="H219" s="23"/>
      <c r="I219" s="23"/>
      <c r="J219" s="99"/>
      <c r="K219" s="99"/>
      <c r="L219" s="99"/>
      <c r="M219" s="99"/>
      <c r="N219" s="43">
        <f t="shared" si="3"/>
        <v>0</v>
      </c>
      <c r="O219" s="48"/>
      <c r="P219" s="23"/>
      <c r="Q219" s="23"/>
    </row>
    <row r="220" spans="1:17">
      <c r="A220" s="23"/>
      <c r="B220" s="56"/>
      <c r="C220" s="63"/>
      <c r="D220" s="63"/>
      <c r="E220" s="63"/>
      <c r="F220" s="63"/>
      <c r="G220" s="63"/>
      <c r="H220" s="23"/>
      <c r="I220" s="23"/>
      <c r="J220" s="99"/>
      <c r="K220" s="99"/>
      <c r="L220" s="99"/>
      <c r="M220" s="99"/>
      <c r="N220" s="43">
        <f t="shared" si="3"/>
        <v>0</v>
      </c>
      <c r="O220" s="48"/>
      <c r="P220" s="23"/>
      <c r="Q220" s="23"/>
    </row>
    <row r="221" spans="1:17">
      <c r="A221" s="23"/>
      <c r="B221" s="56"/>
      <c r="C221" s="63"/>
      <c r="D221" s="63"/>
      <c r="E221" s="63"/>
      <c r="F221" s="63"/>
      <c r="G221" s="63"/>
      <c r="H221" s="23"/>
      <c r="I221" s="23"/>
      <c r="J221" s="99"/>
      <c r="K221" s="99"/>
      <c r="L221" s="99"/>
      <c r="M221" s="99"/>
      <c r="N221" s="43">
        <f t="shared" si="3"/>
        <v>0</v>
      </c>
      <c r="O221" s="48"/>
      <c r="P221" s="23"/>
      <c r="Q221" s="23"/>
    </row>
    <row r="222" spans="1:17">
      <c r="A222" s="23"/>
      <c r="B222" s="56"/>
      <c r="C222" s="63"/>
      <c r="D222" s="63"/>
      <c r="E222" s="63"/>
      <c r="F222" s="63"/>
      <c r="G222" s="63"/>
      <c r="H222" s="23"/>
      <c r="I222" s="23"/>
      <c r="J222" s="99"/>
      <c r="K222" s="99"/>
      <c r="L222" s="99"/>
      <c r="M222" s="99"/>
      <c r="N222" s="43">
        <f t="shared" si="3"/>
        <v>0</v>
      </c>
      <c r="O222" s="48"/>
      <c r="P222" s="23"/>
      <c r="Q222" s="23"/>
    </row>
    <row r="223" spans="1:17">
      <c r="A223" s="23"/>
      <c r="B223" s="56"/>
      <c r="C223" s="63"/>
      <c r="D223" s="63"/>
      <c r="E223" s="63"/>
      <c r="F223" s="63"/>
      <c r="G223" s="63"/>
      <c r="H223" s="23"/>
      <c r="I223" s="23"/>
      <c r="J223" s="99"/>
      <c r="K223" s="99"/>
      <c r="L223" s="99"/>
      <c r="M223" s="99"/>
      <c r="N223" s="43">
        <f t="shared" si="3"/>
        <v>0</v>
      </c>
      <c r="O223" s="48"/>
      <c r="P223" s="23"/>
      <c r="Q223" s="23"/>
    </row>
    <row r="224" spans="1:17">
      <c r="A224" s="23"/>
      <c r="B224" s="56"/>
      <c r="C224" s="63"/>
      <c r="D224" s="63"/>
      <c r="E224" s="63"/>
      <c r="F224" s="63"/>
      <c r="G224" s="63"/>
      <c r="H224" s="23"/>
      <c r="I224" s="23"/>
      <c r="J224" s="99"/>
      <c r="K224" s="99"/>
      <c r="L224" s="99"/>
      <c r="M224" s="99"/>
      <c r="N224" s="43">
        <f t="shared" si="3"/>
        <v>0</v>
      </c>
      <c r="O224" s="48"/>
      <c r="P224" s="23"/>
      <c r="Q224" s="23"/>
    </row>
    <row r="225" spans="1:17">
      <c r="A225" s="23"/>
      <c r="B225" s="56"/>
      <c r="C225" s="63"/>
      <c r="D225" s="63"/>
      <c r="E225" s="63"/>
      <c r="F225" s="63"/>
      <c r="G225" s="63"/>
      <c r="H225" s="23"/>
      <c r="I225" s="23"/>
      <c r="J225" s="99"/>
      <c r="K225" s="99"/>
      <c r="L225" s="99"/>
      <c r="M225" s="99"/>
      <c r="N225" s="43">
        <f t="shared" si="3"/>
        <v>0</v>
      </c>
      <c r="O225" s="48"/>
      <c r="P225" s="23"/>
      <c r="Q225" s="23"/>
    </row>
    <row r="226" spans="1:17">
      <c r="A226" s="23"/>
      <c r="B226" s="56"/>
      <c r="C226" s="63"/>
      <c r="D226" s="63"/>
      <c r="E226" s="63"/>
      <c r="F226" s="63"/>
      <c r="G226" s="63"/>
      <c r="H226" s="23"/>
      <c r="I226" s="23"/>
      <c r="J226" s="99"/>
      <c r="K226" s="99"/>
      <c r="L226" s="99"/>
      <c r="M226" s="99"/>
      <c r="N226" s="43">
        <f t="shared" si="3"/>
        <v>0</v>
      </c>
      <c r="O226" s="48"/>
      <c r="P226" s="23"/>
      <c r="Q226" s="23"/>
    </row>
    <row r="227" spans="1:17">
      <c r="B227" s="57"/>
      <c r="C227" s="60"/>
      <c r="D227" s="60"/>
      <c r="E227" s="60"/>
      <c r="F227" s="60"/>
      <c r="G227" s="60"/>
      <c r="J227" s="99"/>
      <c r="K227" s="99"/>
      <c r="L227" s="99"/>
      <c r="M227" s="99"/>
      <c r="N227" s="43">
        <f t="shared" si="3"/>
        <v>0</v>
      </c>
    </row>
    <row r="228" spans="1:17">
      <c r="B228" s="57"/>
      <c r="C228" s="60"/>
      <c r="D228" s="60"/>
      <c r="E228" s="60"/>
      <c r="F228" s="60"/>
      <c r="G228" s="60"/>
      <c r="J228" s="99"/>
      <c r="K228" s="99"/>
      <c r="L228" s="99"/>
      <c r="M228" s="99"/>
      <c r="N228" s="43">
        <f t="shared" si="3"/>
        <v>0</v>
      </c>
    </row>
    <row r="229" spans="1:17">
      <c r="B229" s="57"/>
      <c r="C229" s="60"/>
      <c r="D229" s="60"/>
      <c r="E229" s="60"/>
      <c r="F229" s="60"/>
      <c r="G229" s="60"/>
      <c r="J229" s="99"/>
      <c r="K229" s="99"/>
      <c r="L229" s="99"/>
      <c r="M229" s="99"/>
      <c r="N229" s="43">
        <f t="shared" si="3"/>
        <v>0</v>
      </c>
    </row>
    <row r="230" spans="1:17">
      <c r="B230" s="57"/>
      <c r="C230" s="60"/>
      <c r="D230" s="60"/>
      <c r="E230" s="60"/>
      <c r="F230" s="60"/>
      <c r="G230" s="60"/>
      <c r="J230" s="99"/>
      <c r="K230" s="99"/>
      <c r="L230" s="99"/>
      <c r="M230" s="99"/>
      <c r="N230" s="43">
        <f t="shared" si="3"/>
        <v>0</v>
      </c>
    </row>
    <row r="231" spans="1:17">
      <c r="B231" s="57"/>
      <c r="C231" s="60"/>
      <c r="D231" s="60"/>
      <c r="E231" s="60"/>
      <c r="F231" s="60"/>
      <c r="G231" s="60"/>
      <c r="J231" s="99"/>
      <c r="K231" s="99"/>
      <c r="L231" s="99"/>
      <c r="M231" s="99"/>
      <c r="N231" s="43">
        <f t="shared" si="3"/>
        <v>0</v>
      </c>
    </row>
    <row r="232" spans="1:17">
      <c r="B232" s="57"/>
      <c r="C232" s="60"/>
      <c r="D232" s="60"/>
      <c r="E232" s="60"/>
      <c r="F232" s="60"/>
      <c r="G232" s="60"/>
      <c r="J232" s="99"/>
      <c r="K232" s="99"/>
      <c r="L232" s="99"/>
      <c r="M232" s="99"/>
      <c r="N232" s="43">
        <f t="shared" si="3"/>
        <v>0</v>
      </c>
    </row>
    <row r="233" spans="1:17">
      <c r="B233" s="57"/>
      <c r="C233" s="60"/>
      <c r="D233" s="60"/>
      <c r="E233" s="60"/>
      <c r="F233" s="60"/>
      <c r="G233" s="60"/>
      <c r="J233" s="99"/>
      <c r="K233" s="99"/>
      <c r="L233" s="99"/>
      <c r="M233" s="99"/>
      <c r="N233" s="43">
        <f t="shared" si="3"/>
        <v>0</v>
      </c>
    </row>
    <row r="234" spans="1:17">
      <c r="B234" s="57"/>
      <c r="C234" s="60"/>
      <c r="D234" s="60"/>
      <c r="E234" s="60"/>
      <c r="F234" s="60"/>
      <c r="G234" s="60"/>
      <c r="J234" s="99"/>
      <c r="K234" s="99"/>
      <c r="L234" s="99"/>
      <c r="M234" s="99"/>
      <c r="N234" s="43">
        <f t="shared" si="3"/>
        <v>0</v>
      </c>
    </row>
    <row r="235" spans="1:17">
      <c r="B235" s="57"/>
      <c r="C235" s="60"/>
      <c r="D235" s="60"/>
      <c r="E235" s="60"/>
      <c r="F235" s="60"/>
      <c r="G235" s="60"/>
      <c r="J235" s="99"/>
      <c r="K235" s="99"/>
      <c r="L235" s="99"/>
      <c r="M235" s="99"/>
      <c r="N235" s="43">
        <f t="shared" si="3"/>
        <v>0</v>
      </c>
    </row>
    <row r="236" spans="1:17">
      <c r="B236" s="57"/>
      <c r="C236" s="60"/>
      <c r="D236" s="60"/>
      <c r="E236" s="60"/>
      <c r="F236" s="60"/>
      <c r="G236" s="60"/>
      <c r="J236" s="99"/>
      <c r="K236" s="99"/>
      <c r="L236" s="99"/>
      <c r="M236" s="99"/>
      <c r="N236" s="43">
        <f t="shared" si="3"/>
        <v>0</v>
      </c>
    </row>
    <row r="237" spans="1:17">
      <c r="B237" s="57"/>
      <c r="C237" s="60"/>
      <c r="D237" s="60"/>
      <c r="E237" s="60"/>
      <c r="F237" s="60"/>
      <c r="G237" s="60"/>
      <c r="J237" s="99"/>
      <c r="K237" s="99"/>
      <c r="L237" s="99"/>
      <c r="M237" s="99"/>
      <c r="N237" s="43">
        <f t="shared" si="3"/>
        <v>0</v>
      </c>
    </row>
    <row r="238" spans="1:17">
      <c r="B238" s="57"/>
      <c r="C238" s="60"/>
      <c r="D238" s="60"/>
      <c r="E238" s="60"/>
      <c r="F238" s="60"/>
      <c r="G238" s="60"/>
      <c r="J238" s="99"/>
      <c r="K238" s="99"/>
      <c r="L238" s="99"/>
      <c r="M238" s="99"/>
      <c r="N238" s="43">
        <f t="shared" si="3"/>
        <v>0</v>
      </c>
    </row>
    <row r="239" spans="1:17">
      <c r="B239" s="57"/>
      <c r="C239" s="60"/>
      <c r="D239" s="60"/>
      <c r="E239" s="60"/>
      <c r="F239" s="60"/>
      <c r="G239" s="60"/>
      <c r="J239" s="99"/>
      <c r="K239" s="99"/>
      <c r="L239" s="99"/>
      <c r="M239" s="99"/>
      <c r="N239" s="43">
        <f t="shared" si="3"/>
        <v>0</v>
      </c>
    </row>
    <row r="240" spans="1:17">
      <c r="B240" s="57"/>
      <c r="C240" s="60"/>
      <c r="D240" s="60"/>
      <c r="E240" s="60"/>
      <c r="F240" s="60"/>
      <c r="G240" s="60"/>
      <c r="J240" s="99"/>
      <c r="K240" s="99"/>
      <c r="L240" s="99"/>
      <c r="M240" s="99"/>
      <c r="N240" s="43">
        <f t="shared" si="3"/>
        <v>0</v>
      </c>
    </row>
    <row r="241" spans="2:14">
      <c r="B241" s="57"/>
      <c r="C241" s="60"/>
      <c r="D241" s="60"/>
      <c r="E241" s="60"/>
      <c r="F241" s="60"/>
      <c r="G241" s="60"/>
      <c r="J241" s="99"/>
      <c r="K241" s="99"/>
      <c r="L241" s="99"/>
      <c r="M241" s="99"/>
      <c r="N241" s="43">
        <f t="shared" si="3"/>
        <v>0</v>
      </c>
    </row>
    <row r="242" spans="2:14">
      <c r="B242" s="57"/>
      <c r="C242" s="60"/>
      <c r="D242" s="60"/>
      <c r="E242" s="60"/>
      <c r="F242" s="60"/>
      <c r="G242" s="60"/>
      <c r="J242" s="99"/>
      <c r="K242" s="99"/>
      <c r="L242" s="99"/>
      <c r="M242" s="99"/>
      <c r="N242" s="43">
        <f t="shared" si="3"/>
        <v>0</v>
      </c>
    </row>
    <row r="243" spans="2:14">
      <c r="B243" s="57"/>
      <c r="C243" s="60"/>
      <c r="D243" s="60"/>
      <c r="E243" s="60"/>
      <c r="F243" s="60"/>
      <c r="G243" s="60"/>
      <c r="J243" s="99"/>
      <c r="K243" s="99"/>
      <c r="L243" s="99"/>
      <c r="M243" s="99"/>
      <c r="N243" s="43">
        <f t="shared" si="3"/>
        <v>0</v>
      </c>
    </row>
    <row r="244" spans="2:14">
      <c r="B244" s="57"/>
      <c r="C244" s="60"/>
      <c r="D244" s="60"/>
      <c r="E244" s="60"/>
      <c r="F244" s="60"/>
      <c r="G244" s="60"/>
      <c r="J244" s="99"/>
      <c r="K244" s="99"/>
      <c r="L244" s="99"/>
      <c r="M244" s="99"/>
      <c r="N244" s="43">
        <f t="shared" si="3"/>
        <v>0</v>
      </c>
    </row>
    <row r="245" spans="2:14">
      <c r="B245" s="57"/>
      <c r="C245" s="60"/>
      <c r="D245" s="60"/>
      <c r="E245" s="60"/>
      <c r="F245" s="60"/>
      <c r="G245" s="60"/>
      <c r="J245" s="99"/>
      <c r="K245" s="99"/>
      <c r="L245" s="99"/>
      <c r="M245" s="99"/>
      <c r="N245" s="43">
        <f t="shared" si="3"/>
        <v>0</v>
      </c>
    </row>
    <row r="246" spans="2:14">
      <c r="B246" s="57"/>
      <c r="C246" s="60"/>
      <c r="D246" s="60"/>
      <c r="E246" s="60"/>
      <c r="F246" s="60"/>
      <c r="G246" s="60"/>
      <c r="J246" s="99"/>
      <c r="K246" s="99"/>
      <c r="L246" s="99"/>
      <c r="M246" s="99"/>
      <c r="N246" s="43">
        <f t="shared" si="3"/>
        <v>0</v>
      </c>
    </row>
    <row r="247" spans="2:14">
      <c r="B247" s="57"/>
      <c r="C247" s="60"/>
      <c r="D247" s="60"/>
      <c r="E247" s="60"/>
      <c r="F247" s="60"/>
      <c r="G247" s="60"/>
      <c r="J247" s="99"/>
      <c r="K247" s="99"/>
      <c r="L247" s="99"/>
      <c r="M247" s="99"/>
      <c r="N247" s="43">
        <f t="shared" si="3"/>
        <v>0</v>
      </c>
    </row>
    <row r="248" spans="2:14">
      <c r="B248" s="57"/>
      <c r="C248" s="60"/>
      <c r="D248" s="60"/>
      <c r="E248" s="60"/>
      <c r="F248" s="60"/>
      <c r="G248" s="60"/>
      <c r="J248" s="99"/>
      <c r="K248" s="99"/>
      <c r="L248" s="99"/>
      <c r="M248" s="99"/>
      <c r="N248" s="43">
        <f t="shared" si="3"/>
        <v>0</v>
      </c>
    </row>
    <row r="249" spans="2:14">
      <c r="B249" s="57"/>
      <c r="C249" s="60"/>
      <c r="D249" s="60"/>
      <c r="E249" s="60"/>
      <c r="F249" s="60"/>
      <c r="G249" s="60"/>
      <c r="J249" s="99"/>
      <c r="K249" s="99"/>
      <c r="L249" s="99"/>
      <c r="M249" s="99"/>
      <c r="N249" s="43">
        <f t="shared" si="3"/>
        <v>0</v>
      </c>
    </row>
    <row r="250" spans="2:14">
      <c r="B250" s="57"/>
      <c r="C250" s="60"/>
      <c r="D250" s="60"/>
      <c r="E250" s="60"/>
      <c r="F250" s="60"/>
      <c r="G250" s="60"/>
      <c r="J250" s="99"/>
      <c r="K250" s="99"/>
      <c r="L250" s="99"/>
      <c r="M250" s="99"/>
      <c r="N250" s="43">
        <f t="shared" si="3"/>
        <v>0</v>
      </c>
    </row>
    <row r="251" spans="2:14">
      <c r="B251" s="57"/>
      <c r="C251" s="60"/>
      <c r="D251" s="60"/>
      <c r="E251" s="60"/>
      <c r="F251" s="60"/>
      <c r="G251" s="60"/>
      <c r="J251" s="99"/>
      <c r="K251" s="99"/>
      <c r="L251" s="99"/>
      <c r="M251" s="99"/>
      <c r="N251" s="43">
        <f t="shared" si="3"/>
        <v>0</v>
      </c>
    </row>
    <row r="252" spans="2:14">
      <c r="B252" s="57"/>
      <c r="C252" s="60"/>
      <c r="D252" s="60"/>
      <c r="E252" s="60"/>
      <c r="F252" s="60"/>
      <c r="G252" s="60"/>
      <c r="J252" s="99"/>
      <c r="K252" s="99"/>
      <c r="L252" s="99"/>
      <c r="M252" s="99"/>
      <c r="N252" s="43">
        <f t="shared" si="3"/>
        <v>0</v>
      </c>
    </row>
    <row r="253" spans="2:14">
      <c r="B253" s="57"/>
      <c r="C253" s="60"/>
      <c r="D253" s="60"/>
      <c r="E253" s="60"/>
      <c r="F253" s="60"/>
      <c r="G253" s="60"/>
      <c r="J253" s="99"/>
      <c r="K253" s="99"/>
      <c r="L253" s="99"/>
      <c r="M253" s="99"/>
      <c r="N253" s="43">
        <f t="shared" si="3"/>
        <v>0</v>
      </c>
    </row>
    <row r="254" spans="2:14">
      <c r="B254" s="57"/>
      <c r="C254" s="60"/>
      <c r="D254" s="60"/>
      <c r="E254" s="60"/>
      <c r="F254" s="60"/>
      <c r="G254" s="60"/>
      <c r="J254" s="99"/>
      <c r="K254" s="99"/>
      <c r="L254" s="99"/>
      <c r="M254" s="99"/>
      <c r="N254" s="43">
        <f t="shared" si="3"/>
        <v>0</v>
      </c>
    </row>
    <row r="255" spans="2:14">
      <c r="B255" s="57"/>
      <c r="C255" s="60"/>
      <c r="D255" s="60"/>
      <c r="E255" s="60"/>
      <c r="F255" s="60"/>
      <c r="G255" s="60"/>
      <c r="J255" s="99"/>
      <c r="K255" s="99"/>
      <c r="L255" s="99"/>
      <c r="M255" s="99"/>
      <c r="N255" s="43">
        <f t="shared" si="3"/>
        <v>0</v>
      </c>
    </row>
    <row r="256" spans="2:14">
      <c r="B256" s="57"/>
      <c r="C256" s="60"/>
      <c r="D256" s="60"/>
      <c r="E256" s="60"/>
      <c r="F256" s="60"/>
      <c r="G256" s="60"/>
      <c r="J256" s="99"/>
      <c r="K256" s="99"/>
      <c r="L256" s="99"/>
      <c r="M256" s="99"/>
      <c r="N256" s="43">
        <f t="shared" si="3"/>
        <v>0</v>
      </c>
    </row>
    <row r="257" spans="2:14">
      <c r="B257" s="57"/>
      <c r="C257" s="60"/>
      <c r="D257" s="60"/>
      <c r="E257" s="60"/>
      <c r="F257" s="60"/>
      <c r="G257" s="60"/>
      <c r="J257" s="99"/>
      <c r="K257" s="99"/>
      <c r="L257" s="99"/>
      <c r="M257" s="99"/>
      <c r="N257" s="43">
        <f t="shared" si="3"/>
        <v>0</v>
      </c>
    </row>
    <row r="258" spans="2:14">
      <c r="B258" s="57"/>
      <c r="C258" s="60"/>
      <c r="D258" s="60"/>
      <c r="E258" s="60"/>
      <c r="F258" s="60"/>
      <c r="G258" s="60"/>
      <c r="J258" s="99"/>
      <c r="K258" s="99"/>
      <c r="L258" s="99"/>
      <c r="M258" s="99"/>
      <c r="N258" s="43">
        <f t="shared" si="3"/>
        <v>0</v>
      </c>
    </row>
    <row r="259" spans="2:14">
      <c r="B259" s="57"/>
      <c r="C259" s="60"/>
      <c r="D259" s="60"/>
      <c r="E259" s="60"/>
      <c r="F259" s="60"/>
      <c r="G259" s="60"/>
      <c r="J259" s="99"/>
      <c r="K259" s="99"/>
      <c r="L259" s="99"/>
      <c r="M259" s="99"/>
      <c r="N259" s="43">
        <f t="shared" si="3"/>
        <v>0</v>
      </c>
    </row>
    <row r="260" spans="2:14">
      <c r="B260" s="57"/>
      <c r="C260" s="60"/>
      <c r="D260" s="60"/>
      <c r="E260" s="60"/>
      <c r="F260" s="60"/>
      <c r="G260" s="60"/>
      <c r="J260" s="99"/>
      <c r="K260" s="99"/>
      <c r="L260" s="99"/>
      <c r="M260" s="99"/>
      <c r="N260" s="43">
        <f t="shared" si="3"/>
        <v>0</v>
      </c>
    </row>
    <row r="261" spans="2:14">
      <c r="B261" s="57"/>
      <c r="C261" s="60"/>
      <c r="D261" s="60"/>
      <c r="E261" s="60"/>
      <c r="F261" s="60"/>
      <c r="G261" s="60"/>
      <c r="J261" s="99"/>
      <c r="K261" s="99"/>
      <c r="L261" s="99"/>
      <c r="M261" s="99"/>
      <c r="N261" s="43">
        <f t="shared" si="3"/>
        <v>0</v>
      </c>
    </row>
    <row r="262" spans="2:14">
      <c r="B262" s="57"/>
      <c r="C262" s="60"/>
      <c r="D262" s="60"/>
      <c r="E262" s="60"/>
      <c r="F262" s="60"/>
      <c r="G262" s="60"/>
      <c r="J262" s="99"/>
      <c r="K262" s="99"/>
      <c r="L262" s="99"/>
      <c r="M262" s="99"/>
      <c r="N262" s="43">
        <f t="shared" si="3"/>
        <v>0</v>
      </c>
    </row>
    <row r="263" spans="2:14">
      <c r="B263" s="57"/>
      <c r="C263" s="60"/>
      <c r="D263" s="60"/>
      <c r="E263" s="60"/>
      <c r="F263" s="60"/>
      <c r="G263" s="60"/>
      <c r="J263" s="99"/>
      <c r="K263" s="99"/>
      <c r="L263" s="99"/>
      <c r="M263" s="99"/>
      <c r="N263" s="43">
        <f t="shared" si="3"/>
        <v>0</v>
      </c>
    </row>
    <row r="264" spans="2:14">
      <c r="B264" s="57"/>
      <c r="C264" s="60"/>
      <c r="D264" s="60"/>
      <c r="E264" s="60"/>
      <c r="F264" s="60"/>
      <c r="G264" s="60"/>
      <c r="J264" s="99"/>
      <c r="K264" s="99"/>
      <c r="L264" s="99"/>
      <c r="M264" s="99"/>
      <c r="N264" s="43">
        <f t="shared" si="3"/>
        <v>0</v>
      </c>
    </row>
    <row r="265" spans="2:14">
      <c r="B265" s="57"/>
      <c r="C265" s="60"/>
      <c r="D265" s="60"/>
      <c r="E265" s="60"/>
      <c r="F265" s="60"/>
      <c r="G265" s="60"/>
      <c r="J265" s="99"/>
      <c r="K265" s="99"/>
      <c r="L265" s="99"/>
      <c r="M265" s="99"/>
      <c r="N265" s="43">
        <f t="shared" si="3"/>
        <v>0</v>
      </c>
    </row>
    <row r="266" spans="2:14">
      <c r="B266" s="57"/>
      <c r="C266" s="60"/>
      <c r="D266" s="60"/>
      <c r="E266" s="60"/>
      <c r="F266" s="60"/>
      <c r="G266" s="60"/>
      <c r="J266" s="99"/>
      <c r="K266" s="99"/>
      <c r="L266" s="99"/>
      <c r="M266" s="99"/>
      <c r="N266" s="43">
        <f t="shared" si="3"/>
        <v>0</v>
      </c>
    </row>
    <row r="267" spans="2:14">
      <c r="B267" s="57"/>
      <c r="C267" s="60"/>
      <c r="D267" s="60"/>
      <c r="E267" s="60"/>
      <c r="F267" s="60"/>
      <c r="G267" s="60"/>
      <c r="J267" s="99"/>
      <c r="K267" s="99"/>
      <c r="L267" s="99"/>
      <c r="M267" s="99"/>
      <c r="N267" s="43">
        <f t="shared" ref="N267:N330" si="4">IF($L$4=$C$10,C267,IF(D267="","",B267))</f>
        <v>0</v>
      </c>
    </row>
    <row r="268" spans="2:14">
      <c r="B268" s="57"/>
      <c r="C268" s="60"/>
      <c r="D268" s="60"/>
      <c r="E268" s="60"/>
      <c r="F268" s="60"/>
      <c r="G268" s="60"/>
      <c r="J268" s="99"/>
      <c r="K268" s="99"/>
      <c r="L268" s="99"/>
      <c r="M268" s="99"/>
      <c r="N268" s="43">
        <f t="shared" si="4"/>
        <v>0</v>
      </c>
    </row>
    <row r="269" spans="2:14">
      <c r="B269" s="57"/>
      <c r="C269" s="60"/>
      <c r="D269" s="60"/>
      <c r="E269" s="60"/>
      <c r="F269" s="60"/>
      <c r="G269" s="60"/>
      <c r="J269" s="99"/>
      <c r="K269" s="99"/>
      <c r="L269" s="99"/>
      <c r="M269" s="99"/>
      <c r="N269" s="43">
        <f t="shared" si="4"/>
        <v>0</v>
      </c>
    </row>
    <row r="270" spans="2:14">
      <c r="B270" s="57"/>
      <c r="C270" s="60"/>
      <c r="D270" s="60"/>
      <c r="E270" s="60"/>
      <c r="F270" s="60"/>
      <c r="G270" s="60"/>
      <c r="J270" s="99"/>
      <c r="K270" s="99"/>
      <c r="L270" s="99"/>
      <c r="M270" s="99"/>
      <c r="N270" s="43">
        <f t="shared" si="4"/>
        <v>0</v>
      </c>
    </row>
    <row r="271" spans="2:14">
      <c r="B271" s="57"/>
      <c r="C271" s="60"/>
      <c r="D271" s="60"/>
      <c r="E271" s="60"/>
      <c r="F271" s="60"/>
      <c r="G271" s="60"/>
      <c r="J271" s="99"/>
      <c r="K271" s="99"/>
      <c r="L271" s="99"/>
      <c r="M271" s="99"/>
      <c r="N271" s="43">
        <f t="shared" si="4"/>
        <v>0</v>
      </c>
    </row>
    <row r="272" spans="2:14">
      <c r="B272" s="57"/>
      <c r="C272" s="60"/>
      <c r="D272" s="60"/>
      <c r="E272" s="60"/>
      <c r="F272" s="60"/>
      <c r="G272" s="60"/>
      <c r="J272" s="99"/>
      <c r="K272" s="99"/>
      <c r="L272" s="99"/>
      <c r="M272" s="99"/>
      <c r="N272" s="43">
        <f t="shared" si="4"/>
        <v>0</v>
      </c>
    </row>
    <row r="273" spans="2:14">
      <c r="B273" s="57"/>
      <c r="C273" s="60"/>
      <c r="D273" s="60"/>
      <c r="E273" s="60"/>
      <c r="F273" s="60"/>
      <c r="G273" s="60"/>
      <c r="J273" s="99"/>
      <c r="K273" s="99"/>
      <c r="L273" s="99"/>
      <c r="M273" s="99"/>
      <c r="N273" s="43">
        <f t="shared" si="4"/>
        <v>0</v>
      </c>
    </row>
    <row r="274" spans="2:14">
      <c r="B274" s="57"/>
      <c r="C274" s="60"/>
      <c r="D274" s="60"/>
      <c r="E274" s="60"/>
      <c r="F274" s="60"/>
      <c r="G274" s="60"/>
      <c r="J274" s="99"/>
      <c r="K274" s="99"/>
      <c r="L274" s="99"/>
      <c r="M274" s="99"/>
      <c r="N274" s="43">
        <f t="shared" si="4"/>
        <v>0</v>
      </c>
    </row>
    <row r="275" spans="2:14">
      <c r="B275" s="57"/>
      <c r="C275" s="60"/>
      <c r="D275" s="60"/>
      <c r="E275" s="60"/>
      <c r="F275" s="60"/>
      <c r="G275" s="60"/>
      <c r="J275" s="99"/>
      <c r="K275" s="99"/>
      <c r="L275" s="99"/>
      <c r="M275" s="99"/>
      <c r="N275" s="43">
        <f t="shared" si="4"/>
        <v>0</v>
      </c>
    </row>
    <row r="276" spans="2:14">
      <c r="B276" s="57"/>
      <c r="C276" s="60"/>
      <c r="D276" s="60"/>
      <c r="E276" s="60"/>
      <c r="F276" s="60"/>
      <c r="G276" s="60"/>
      <c r="J276" s="99"/>
      <c r="K276" s="99"/>
      <c r="L276" s="99"/>
      <c r="M276" s="99"/>
      <c r="N276" s="43">
        <f t="shared" si="4"/>
        <v>0</v>
      </c>
    </row>
    <row r="277" spans="2:14">
      <c r="B277" s="57"/>
      <c r="C277" s="60"/>
      <c r="D277" s="60"/>
      <c r="E277" s="60"/>
      <c r="F277" s="60"/>
      <c r="G277" s="60"/>
      <c r="J277" s="99"/>
      <c r="K277" s="99"/>
      <c r="L277" s="99"/>
      <c r="M277" s="99"/>
      <c r="N277" s="43">
        <f t="shared" si="4"/>
        <v>0</v>
      </c>
    </row>
    <row r="278" spans="2:14">
      <c r="B278" s="57"/>
      <c r="C278" s="60"/>
      <c r="D278" s="60"/>
      <c r="E278" s="60"/>
      <c r="F278" s="60"/>
      <c r="G278" s="60"/>
      <c r="J278" s="99"/>
      <c r="K278" s="99"/>
      <c r="L278" s="99"/>
      <c r="M278" s="99"/>
      <c r="N278" s="43">
        <f t="shared" si="4"/>
        <v>0</v>
      </c>
    </row>
    <row r="279" spans="2:14">
      <c r="B279" s="57"/>
      <c r="C279" s="60"/>
      <c r="D279" s="60"/>
      <c r="E279" s="60"/>
      <c r="F279" s="60"/>
      <c r="G279" s="60"/>
      <c r="J279" s="99"/>
      <c r="K279" s="99"/>
      <c r="L279" s="99"/>
      <c r="M279" s="99"/>
      <c r="N279" s="43">
        <f t="shared" si="4"/>
        <v>0</v>
      </c>
    </row>
    <row r="280" spans="2:14">
      <c r="B280" s="57"/>
      <c r="C280" s="60"/>
      <c r="D280" s="60"/>
      <c r="E280" s="60"/>
      <c r="F280" s="60"/>
      <c r="G280" s="60"/>
      <c r="J280" s="99"/>
      <c r="K280" s="99"/>
      <c r="L280" s="99"/>
      <c r="M280" s="99"/>
      <c r="N280" s="43">
        <f t="shared" si="4"/>
        <v>0</v>
      </c>
    </row>
    <row r="281" spans="2:14">
      <c r="B281" s="57"/>
      <c r="C281" s="60"/>
      <c r="D281" s="60"/>
      <c r="E281" s="60"/>
      <c r="F281" s="60"/>
      <c r="G281" s="60"/>
      <c r="J281" s="99"/>
      <c r="K281" s="99"/>
      <c r="L281" s="99"/>
      <c r="M281" s="99"/>
      <c r="N281" s="43">
        <f t="shared" si="4"/>
        <v>0</v>
      </c>
    </row>
    <row r="282" spans="2:14">
      <c r="B282" s="57"/>
      <c r="C282" s="60"/>
      <c r="D282" s="60"/>
      <c r="E282" s="60"/>
      <c r="F282" s="60"/>
      <c r="G282" s="60"/>
      <c r="J282" s="99"/>
      <c r="K282" s="99"/>
      <c r="L282" s="99"/>
      <c r="M282" s="99"/>
      <c r="N282" s="43">
        <f t="shared" si="4"/>
        <v>0</v>
      </c>
    </row>
    <row r="283" spans="2:14">
      <c r="B283" s="57"/>
      <c r="C283" s="60"/>
      <c r="D283" s="60"/>
      <c r="E283" s="60"/>
      <c r="F283" s="60"/>
      <c r="G283" s="60"/>
      <c r="J283" s="99"/>
      <c r="K283" s="99"/>
      <c r="L283" s="99"/>
      <c r="M283" s="99"/>
      <c r="N283" s="43">
        <f t="shared" si="4"/>
        <v>0</v>
      </c>
    </row>
    <row r="284" spans="2:14">
      <c r="B284" s="57"/>
      <c r="C284" s="60"/>
      <c r="D284" s="60"/>
      <c r="E284" s="60"/>
      <c r="F284" s="60"/>
      <c r="G284" s="60"/>
      <c r="J284" s="99"/>
      <c r="K284" s="99"/>
      <c r="L284" s="99"/>
      <c r="M284" s="99"/>
      <c r="N284" s="43">
        <f t="shared" si="4"/>
        <v>0</v>
      </c>
    </row>
    <row r="285" spans="2:14">
      <c r="B285" s="57"/>
      <c r="C285" s="60"/>
      <c r="D285" s="60"/>
      <c r="E285" s="60"/>
      <c r="F285" s="60"/>
      <c r="G285" s="60"/>
      <c r="J285" s="99"/>
      <c r="K285" s="99"/>
      <c r="L285" s="99"/>
      <c r="M285" s="99"/>
      <c r="N285" s="43">
        <f t="shared" si="4"/>
        <v>0</v>
      </c>
    </row>
    <row r="286" spans="2:14">
      <c r="B286" s="57"/>
      <c r="C286" s="60"/>
      <c r="D286" s="60"/>
      <c r="E286" s="60"/>
      <c r="F286" s="60"/>
      <c r="G286" s="60"/>
      <c r="J286" s="99"/>
      <c r="K286" s="99"/>
      <c r="L286" s="99"/>
      <c r="M286" s="99"/>
      <c r="N286" s="43">
        <f t="shared" si="4"/>
        <v>0</v>
      </c>
    </row>
    <row r="287" spans="2:14">
      <c r="B287" s="57"/>
      <c r="C287" s="60"/>
      <c r="D287" s="60"/>
      <c r="E287" s="60"/>
      <c r="F287" s="60"/>
      <c r="G287" s="60"/>
      <c r="J287" s="99"/>
      <c r="K287" s="99"/>
      <c r="L287" s="99"/>
      <c r="M287" s="99"/>
      <c r="N287" s="43">
        <f t="shared" si="4"/>
        <v>0</v>
      </c>
    </row>
    <row r="288" spans="2:14">
      <c r="B288" s="57"/>
      <c r="C288" s="60"/>
      <c r="D288" s="60"/>
      <c r="E288" s="60"/>
      <c r="F288" s="60"/>
      <c r="G288" s="60"/>
      <c r="J288" s="99"/>
      <c r="K288" s="99"/>
      <c r="L288" s="99"/>
      <c r="M288" s="99"/>
      <c r="N288" s="43">
        <f t="shared" si="4"/>
        <v>0</v>
      </c>
    </row>
    <row r="289" spans="2:14">
      <c r="B289" s="57"/>
      <c r="C289" s="60"/>
      <c r="D289" s="60"/>
      <c r="E289" s="60"/>
      <c r="F289" s="60"/>
      <c r="G289" s="60"/>
      <c r="J289" s="99"/>
      <c r="K289" s="99"/>
      <c r="L289" s="99"/>
      <c r="M289" s="99"/>
      <c r="N289" s="43">
        <f t="shared" si="4"/>
        <v>0</v>
      </c>
    </row>
    <row r="290" spans="2:14">
      <c r="B290" s="57"/>
      <c r="C290" s="60"/>
      <c r="D290" s="60"/>
      <c r="E290" s="60"/>
      <c r="F290" s="60"/>
      <c r="G290" s="60"/>
      <c r="J290" s="99"/>
      <c r="K290" s="99"/>
      <c r="L290" s="99"/>
      <c r="M290" s="99"/>
      <c r="N290" s="43">
        <f t="shared" si="4"/>
        <v>0</v>
      </c>
    </row>
    <row r="291" spans="2:14">
      <c r="B291" s="57"/>
      <c r="C291" s="60"/>
      <c r="D291" s="60"/>
      <c r="E291" s="60"/>
      <c r="F291" s="60"/>
      <c r="G291" s="60"/>
      <c r="J291" s="99"/>
      <c r="K291" s="99"/>
      <c r="L291" s="99"/>
      <c r="M291" s="99"/>
      <c r="N291" s="43">
        <f t="shared" si="4"/>
        <v>0</v>
      </c>
    </row>
    <row r="292" spans="2:14">
      <c r="B292" s="57"/>
      <c r="C292" s="60"/>
      <c r="D292" s="60"/>
      <c r="E292" s="60"/>
      <c r="F292" s="60"/>
      <c r="G292" s="60"/>
      <c r="J292" s="99"/>
      <c r="K292" s="99"/>
      <c r="L292" s="99"/>
      <c r="M292" s="99"/>
      <c r="N292" s="43">
        <f t="shared" si="4"/>
        <v>0</v>
      </c>
    </row>
    <row r="293" spans="2:14">
      <c r="B293" s="57"/>
      <c r="C293" s="60"/>
      <c r="D293" s="60"/>
      <c r="E293" s="60"/>
      <c r="F293" s="60"/>
      <c r="G293" s="60"/>
      <c r="J293" s="99"/>
      <c r="K293" s="99"/>
      <c r="L293" s="99"/>
      <c r="M293" s="99"/>
      <c r="N293" s="43">
        <f t="shared" si="4"/>
        <v>0</v>
      </c>
    </row>
    <row r="294" spans="2:14">
      <c r="B294" s="57"/>
      <c r="C294" s="60"/>
      <c r="D294" s="60"/>
      <c r="E294" s="60"/>
      <c r="F294" s="60"/>
      <c r="G294" s="60"/>
      <c r="J294" s="99"/>
      <c r="K294" s="99"/>
      <c r="L294" s="99"/>
      <c r="M294" s="99"/>
      <c r="N294" s="43">
        <f t="shared" si="4"/>
        <v>0</v>
      </c>
    </row>
    <row r="295" spans="2:14">
      <c r="B295" s="57"/>
      <c r="C295" s="60"/>
      <c r="D295" s="60"/>
      <c r="E295" s="60"/>
      <c r="F295" s="60"/>
      <c r="G295" s="60"/>
      <c r="J295" s="99"/>
      <c r="K295" s="99"/>
      <c r="L295" s="99"/>
      <c r="M295" s="99"/>
      <c r="N295" s="43">
        <f t="shared" si="4"/>
        <v>0</v>
      </c>
    </row>
    <row r="296" spans="2:14">
      <c r="B296" s="57"/>
      <c r="C296" s="60"/>
      <c r="D296" s="60"/>
      <c r="E296" s="60"/>
      <c r="F296" s="60"/>
      <c r="G296" s="60"/>
      <c r="J296" s="99"/>
      <c r="K296" s="99"/>
      <c r="L296" s="99"/>
      <c r="M296" s="99"/>
      <c r="N296" s="43">
        <f t="shared" si="4"/>
        <v>0</v>
      </c>
    </row>
    <row r="297" spans="2:14">
      <c r="B297" s="57"/>
      <c r="C297" s="60"/>
      <c r="D297" s="60"/>
      <c r="E297" s="60"/>
      <c r="F297" s="60"/>
      <c r="G297" s="60"/>
      <c r="J297" s="99"/>
      <c r="K297" s="99"/>
      <c r="L297" s="99"/>
      <c r="M297" s="99"/>
      <c r="N297" s="43">
        <f t="shared" si="4"/>
        <v>0</v>
      </c>
    </row>
    <row r="298" spans="2:14">
      <c r="B298" s="57"/>
      <c r="C298" s="60"/>
      <c r="D298" s="60"/>
      <c r="E298" s="60"/>
      <c r="F298" s="60"/>
      <c r="G298" s="60"/>
      <c r="J298" s="99"/>
      <c r="K298" s="99"/>
      <c r="L298" s="99"/>
      <c r="M298" s="99"/>
      <c r="N298" s="43">
        <f t="shared" si="4"/>
        <v>0</v>
      </c>
    </row>
    <row r="299" spans="2:14">
      <c r="B299" s="57"/>
      <c r="C299" s="60"/>
      <c r="D299" s="60"/>
      <c r="E299" s="60"/>
      <c r="F299" s="60"/>
      <c r="G299" s="60"/>
      <c r="J299" s="99"/>
      <c r="K299" s="99"/>
      <c r="L299" s="99"/>
      <c r="M299" s="99"/>
      <c r="N299" s="43">
        <f t="shared" si="4"/>
        <v>0</v>
      </c>
    </row>
    <row r="300" spans="2:14">
      <c r="B300" s="57"/>
      <c r="C300" s="60"/>
      <c r="D300" s="60"/>
      <c r="E300" s="60"/>
      <c r="F300" s="60"/>
      <c r="G300" s="60"/>
      <c r="J300" s="99"/>
      <c r="K300" s="99"/>
      <c r="L300" s="99"/>
      <c r="M300" s="99"/>
      <c r="N300" s="43">
        <f t="shared" si="4"/>
        <v>0</v>
      </c>
    </row>
    <row r="301" spans="2:14">
      <c r="B301" s="57"/>
      <c r="C301" s="60"/>
      <c r="D301" s="60"/>
      <c r="E301" s="60"/>
      <c r="F301" s="60"/>
      <c r="G301" s="60"/>
      <c r="J301" s="99"/>
      <c r="K301" s="99"/>
      <c r="L301" s="99"/>
      <c r="M301" s="99"/>
      <c r="N301" s="43">
        <f t="shared" si="4"/>
        <v>0</v>
      </c>
    </row>
    <row r="302" spans="2:14">
      <c r="B302" s="57"/>
      <c r="C302" s="60"/>
      <c r="D302" s="60"/>
      <c r="E302" s="60"/>
      <c r="F302" s="60"/>
      <c r="G302" s="60"/>
      <c r="J302" s="99"/>
      <c r="K302" s="99"/>
      <c r="L302" s="99"/>
      <c r="M302" s="99"/>
      <c r="N302" s="43">
        <f t="shared" si="4"/>
        <v>0</v>
      </c>
    </row>
    <row r="303" spans="2:14">
      <c r="B303" s="57"/>
      <c r="C303" s="60"/>
      <c r="D303" s="60"/>
      <c r="E303" s="60"/>
      <c r="F303" s="60"/>
      <c r="G303" s="60"/>
      <c r="J303" s="99"/>
      <c r="K303" s="99"/>
      <c r="L303" s="99"/>
      <c r="M303" s="99"/>
      <c r="N303" s="43">
        <f t="shared" si="4"/>
        <v>0</v>
      </c>
    </row>
    <row r="304" spans="2:14">
      <c r="B304" s="57"/>
      <c r="C304" s="60"/>
      <c r="D304" s="60"/>
      <c r="E304" s="60"/>
      <c r="F304" s="60"/>
      <c r="G304" s="60"/>
      <c r="J304" s="99"/>
      <c r="K304" s="99"/>
      <c r="L304" s="99"/>
      <c r="M304" s="99"/>
      <c r="N304" s="43">
        <f t="shared" si="4"/>
        <v>0</v>
      </c>
    </row>
    <row r="305" spans="2:14">
      <c r="B305" s="57"/>
      <c r="C305" s="60"/>
      <c r="D305" s="60"/>
      <c r="E305" s="60"/>
      <c r="F305" s="60"/>
      <c r="G305" s="60"/>
      <c r="J305" s="99"/>
      <c r="K305" s="99"/>
      <c r="L305" s="99"/>
      <c r="M305" s="99"/>
      <c r="N305" s="43">
        <f t="shared" si="4"/>
        <v>0</v>
      </c>
    </row>
    <row r="306" spans="2:14">
      <c r="B306" s="57"/>
      <c r="C306" s="60"/>
      <c r="D306" s="60"/>
      <c r="E306" s="60"/>
      <c r="F306" s="60"/>
      <c r="G306" s="60"/>
      <c r="J306" s="99"/>
      <c r="K306" s="99"/>
      <c r="L306" s="99"/>
      <c r="M306" s="99"/>
      <c r="N306" s="43">
        <f t="shared" si="4"/>
        <v>0</v>
      </c>
    </row>
    <row r="307" spans="2:14">
      <c r="B307" s="57"/>
      <c r="C307" s="60"/>
      <c r="D307" s="60"/>
      <c r="E307" s="60"/>
      <c r="F307" s="60"/>
      <c r="G307" s="60"/>
      <c r="J307" s="99"/>
      <c r="K307" s="99"/>
      <c r="L307" s="99"/>
      <c r="M307" s="99"/>
      <c r="N307" s="43">
        <f t="shared" si="4"/>
        <v>0</v>
      </c>
    </row>
    <row r="308" spans="2:14">
      <c r="B308" s="57"/>
      <c r="C308" s="60"/>
      <c r="D308" s="60"/>
      <c r="E308" s="60"/>
      <c r="F308" s="60"/>
      <c r="G308" s="60"/>
      <c r="J308" s="99"/>
      <c r="K308" s="99"/>
      <c r="L308" s="99"/>
      <c r="M308" s="99"/>
      <c r="N308" s="43">
        <f t="shared" si="4"/>
        <v>0</v>
      </c>
    </row>
    <row r="309" spans="2:14">
      <c r="B309" s="57"/>
      <c r="C309" s="60"/>
      <c r="D309" s="60"/>
      <c r="E309" s="60"/>
      <c r="F309" s="60"/>
      <c r="G309" s="60"/>
      <c r="J309" s="99"/>
      <c r="K309" s="99"/>
      <c r="L309" s="99"/>
      <c r="M309" s="99"/>
      <c r="N309" s="43">
        <f t="shared" si="4"/>
        <v>0</v>
      </c>
    </row>
    <row r="310" spans="2:14">
      <c r="B310" s="57"/>
      <c r="C310" s="60"/>
      <c r="D310" s="60"/>
      <c r="E310" s="60"/>
      <c r="F310" s="60"/>
      <c r="G310" s="60"/>
      <c r="J310" s="99"/>
      <c r="K310" s="99"/>
      <c r="L310" s="99"/>
      <c r="M310" s="99"/>
      <c r="N310" s="43">
        <f t="shared" si="4"/>
        <v>0</v>
      </c>
    </row>
    <row r="311" spans="2:14">
      <c r="B311" s="57"/>
      <c r="C311" s="60"/>
      <c r="D311" s="60"/>
      <c r="E311" s="60"/>
      <c r="F311" s="60"/>
      <c r="G311" s="60"/>
      <c r="J311" s="99"/>
      <c r="K311" s="99"/>
      <c r="L311" s="99"/>
      <c r="M311" s="99"/>
      <c r="N311" s="43">
        <f t="shared" si="4"/>
        <v>0</v>
      </c>
    </row>
    <row r="312" spans="2:14">
      <c r="B312" s="57"/>
      <c r="C312" s="60"/>
      <c r="D312" s="60"/>
      <c r="E312" s="60"/>
      <c r="F312" s="60"/>
      <c r="G312" s="60"/>
      <c r="J312" s="99"/>
      <c r="K312" s="99"/>
      <c r="L312" s="99"/>
      <c r="M312" s="99"/>
      <c r="N312" s="43">
        <f t="shared" si="4"/>
        <v>0</v>
      </c>
    </row>
    <row r="313" spans="2:14">
      <c r="B313" s="57"/>
      <c r="C313" s="60"/>
      <c r="D313" s="60"/>
      <c r="E313" s="60"/>
      <c r="F313" s="60"/>
      <c r="G313" s="60"/>
      <c r="J313" s="99"/>
      <c r="K313" s="99"/>
      <c r="L313" s="99"/>
      <c r="M313" s="99"/>
      <c r="N313" s="43">
        <f t="shared" si="4"/>
        <v>0</v>
      </c>
    </row>
    <row r="314" spans="2:14">
      <c r="B314" s="57"/>
      <c r="C314" s="60"/>
      <c r="D314" s="60"/>
      <c r="E314" s="60"/>
      <c r="F314" s="60"/>
      <c r="G314" s="60"/>
      <c r="J314" s="99"/>
      <c r="K314" s="99"/>
      <c r="L314" s="99"/>
      <c r="M314" s="99"/>
      <c r="N314" s="43">
        <f t="shared" si="4"/>
        <v>0</v>
      </c>
    </row>
    <row r="315" spans="2:14">
      <c r="B315" s="57"/>
      <c r="C315" s="60"/>
      <c r="D315" s="60"/>
      <c r="E315" s="60"/>
      <c r="F315" s="60"/>
      <c r="G315" s="60"/>
      <c r="J315" s="99"/>
      <c r="K315" s="99"/>
      <c r="L315" s="99"/>
      <c r="M315" s="99"/>
      <c r="N315" s="43">
        <f t="shared" si="4"/>
        <v>0</v>
      </c>
    </row>
    <row r="316" spans="2:14">
      <c r="B316" s="57"/>
      <c r="C316" s="60"/>
      <c r="D316" s="60"/>
      <c r="E316" s="60"/>
      <c r="F316" s="60"/>
      <c r="G316" s="60"/>
      <c r="J316" s="99"/>
      <c r="K316" s="99"/>
      <c r="L316" s="99"/>
      <c r="M316" s="99"/>
      <c r="N316" s="43">
        <f t="shared" si="4"/>
        <v>0</v>
      </c>
    </row>
    <row r="317" spans="2:14">
      <c r="B317" s="57"/>
      <c r="C317" s="60"/>
      <c r="D317" s="60"/>
      <c r="E317" s="60"/>
      <c r="F317" s="60"/>
      <c r="G317" s="60"/>
      <c r="J317" s="99"/>
      <c r="K317" s="99"/>
      <c r="L317" s="99"/>
      <c r="M317" s="99"/>
      <c r="N317" s="43">
        <f t="shared" si="4"/>
        <v>0</v>
      </c>
    </row>
    <row r="318" spans="2:14">
      <c r="B318" s="57"/>
      <c r="C318" s="60"/>
      <c r="D318" s="60"/>
      <c r="E318" s="60"/>
      <c r="F318" s="60"/>
      <c r="G318" s="60"/>
      <c r="J318" s="99"/>
      <c r="K318" s="99"/>
      <c r="L318" s="99"/>
      <c r="M318" s="99"/>
      <c r="N318" s="43">
        <f t="shared" si="4"/>
        <v>0</v>
      </c>
    </row>
    <row r="319" spans="2:14">
      <c r="B319" s="57"/>
      <c r="C319" s="60"/>
      <c r="D319" s="60"/>
      <c r="E319" s="60"/>
      <c r="F319" s="60"/>
      <c r="G319" s="60"/>
      <c r="J319" s="99"/>
      <c r="K319" s="99"/>
      <c r="L319" s="99"/>
      <c r="M319" s="99"/>
      <c r="N319" s="43">
        <f t="shared" si="4"/>
        <v>0</v>
      </c>
    </row>
    <row r="320" spans="2:14">
      <c r="B320" s="57"/>
      <c r="C320" s="60"/>
      <c r="D320" s="60"/>
      <c r="E320" s="60"/>
      <c r="F320" s="60"/>
      <c r="G320" s="60"/>
      <c r="J320" s="99"/>
      <c r="K320" s="99"/>
      <c r="L320" s="99"/>
      <c r="M320" s="99"/>
      <c r="N320" s="43">
        <f t="shared" si="4"/>
        <v>0</v>
      </c>
    </row>
    <row r="321" spans="2:14">
      <c r="B321" s="57"/>
      <c r="C321" s="60"/>
      <c r="D321" s="60"/>
      <c r="E321" s="60"/>
      <c r="F321" s="60"/>
      <c r="G321" s="60"/>
      <c r="J321" s="99"/>
      <c r="K321" s="99"/>
      <c r="L321" s="99"/>
      <c r="M321" s="99"/>
      <c r="N321" s="43">
        <f t="shared" si="4"/>
        <v>0</v>
      </c>
    </row>
    <row r="322" spans="2:14">
      <c r="B322" s="57"/>
      <c r="C322" s="60"/>
      <c r="D322" s="60"/>
      <c r="E322" s="60"/>
      <c r="F322" s="60"/>
      <c r="G322" s="60"/>
      <c r="J322" s="99"/>
      <c r="K322" s="99"/>
      <c r="L322" s="99"/>
      <c r="M322" s="99"/>
      <c r="N322" s="43">
        <f t="shared" si="4"/>
        <v>0</v>
      </c>
    </row>
    <row r="323" spans="2:14">
      <c r="B323" s="57"/>
      <c r="C323" s="60"/>
      <c r="D323" s="60"/>
      <c r="E323" s="60"/>
      <c r="F323" s="60"/>
      <c r="G323" s="60"/>
      <c r="J323" s="99"/>
      <c r="K323" s="99"/>
      <c r="L323" s="99"/>
      <c r="M323" s="99"/>
      <c r="N323" s="43">
        <f t="shared" si="4"/>
        <v>0</v>
      </c>
    </row>
    <row r="324" spans="2:14">
      <c r="B324" s="57"/>
      <c r="C324" s="60"/>
      <c r="D324" s="60"/>
      <c r="E324" s="60"/>
      <c r="F324" s="60"/>
      <c r="G324" s="60"/>
      <c r="J324" s="99"/>
      <c r="K324" s="99"/>
      <c r="L324" s="99"/>
      <c r="M324" s="99"/>
      <c r="N324" s="43">
        <f t="shared" si="4"/>
        <v>0</v>
      </c>
    </row>
    <row r="325" spans="2:14">
      <c r="B325" s="57"/>
      <c r="C325" s="60"/>
      <c r="D325" s="60"/>
      <c r="E325" s="60"/>
      <c r="F325" s="60"/>
      <c r="G325" s="60"/>
      <c r="J325" s="99"/>
      <c r="K325" s="99"/>
      <c r="L325" s="99"/>
      <c r="M325" s="99"/>
      <c r="N325" s="43">
        <f t="shared" si="4"/>
        <v>0</v>
      </c>
    </row>
    <row r="326" spans="2:14">
      <c r="B326" s="57"/>
      <c r="C326" s="60"/>
      <c r="D326" s="60"/>
      <c r="E326" s="60"/>
      <c r="F326" s="60"/>
      <c r="G326" s="60"/>
      <c r="J326" s="99"/>
      <c r="K326" s="99"/>
      <c r="L326" s="99"/>
      <c r="M326" s="99"/>
      <c r="N326" s="43">
        <f t="shared" si="4"/>
        <v>0</v>
      </c>
    </row>
    <row r="327" spans="2:14">
      <c r="B327" s="57"/>
      <c r="C327" s="60"/>
      <c r="D327" s="60"/>
      <c r="E327" s="60"/>
      <c r="F327" s="60"/>
      <c r="G327" s="60"/>
      <c r="J327" s="99"/>
      <c r="K327" s="99"/>
      <c r="L327" s="99"/>
      <c r="M327" s="99"/>
      <c r="N327" s="43">
        <f t="shared" si="4"/>
        <v>0</v>
      </c>
    </row>
    <row r="328" spans="2:14">
      <c r="B328" s="57"/>
      <c r="C328" s="60"/>
      <c r="D328" s="60"/>
      <c r="E328" s="60"/>
      <c r="F328" s="60"/>
      <c r="G328" s="60"/>
      <c r="J328" s="99"/>
      <c r="K328" s="99"/>
      <c r="L328" s="99"/>
      <c r="M328" s="99"/>
      <c r="N328" s="43">
        <f t="shared" si="4"/>
        <v>0</v>
      </c>
    </row>
    <row r="329" spans="2:14">
      <c r="B329" s="57"/>
      <c r="C329" s="60"/>
      <c r="D329" s="60"/>
      <c r="E329" s="60"/>
      <c r="F329" s="60"/>
      <c r="G329" s="60"/>
      <c r="J329" s="99"/>
      <c r="K329" s="99"/>
      <c r="L329" s="99"/>
      <c r="M329" s="99"/>
      <c r="N329" s="43">
        <f t="shared" si="4"/>
        <v>0</v>
      </c>
    </row>
    <row r="330" spans="2:14">
      <c r="B330" s="57"/>
      <c r="C330" s="60"/>
      <c r="D330" s="60"/>
      <c r="E330" s="60"/>
      <c r="F330" s="60"/>
      <c r="G330" s="60"/>
      <c r="J330" s="99"/>
      <c r="K330" s="99"/>
      <c r="L330" s="99"/>
      <c r="M330" s="99"/>
      <c r="N330" s="43">
        <f t="shared" si="4"/>
        <v>0</v>
      </c>
    </row>
    <row r="331" spans="2:14">
      <c r="B331" s="57"/>
      <c r="C331" s="60"/>
      <c r="D331" s="60"/>
      <c r="E331" s="60"/>
      <c r="F331" s="60"/>
      <c r="G331" s="60"/>
      <c r="J331" s="99"/>
      <c r="K331" s="99"/>
      <c r="L331" s="99"/>
      <c r="M331" s="99"/>
      <c r="N331" s="43">
        <f t="shared" ref="N331:N394" si="5">IF($L$4=$C$10,C331,IF(D331="","",B331))</f>
        <v>0</v>
      </c>
    </row>
    <row r="332" spans="2:14">
      <c r="B332" s="57"/>
      <c r="C332" s="60"/>
      <c r="D332" s="60"/>
      <c r="E332" s="60"/>
      <c r="F332" s="60"/>
      <c r="G332" s="60"/>
      <c r="J332" s="99"/>
      <c r="K332" s="99"/>
      <c r="L332" s="99"/>
      <c r="M332" s="99"/>
      <c r="N332" s="43">
        <f t="shared" si="5"/>
        <v>0</v>
      </c>
    </row>
    <row r="333" spans="2:14">
      <c r="B333" s="57"/>
      <c r="C333" s="60"/>
      <c r="D333" s="60"/>
      <c r="E333" s="60"/>
      <c r="F333" s="60"/>
      <c r="G333" s="60"/>
      <c r="J333" s="99"/>
      <c r="K333" s="99"/>
      <c r="L333" s="99"/>
      <c r="M333" s="99"/>
      <c r="N333" s="43">
        <f t="shared" si="5"/>
        <v>0</v>
      </c>
    </row>
    <row r="334" spans="2:14">
      <c r="B334" s="57"/>
      <c r="C334" s="60"/>
      <c r="D334" s="60"/>
      <c r="E334" s="60"/>
      <c r="F334" s="60"/>
      <c r="G334" s="60"/>
      <c r="J334" s="99"/>
      <c r="K334" s="99"/>
      <c r="L334" s="99"/>
      <c r="M334" s="99"/>
      <c r="N334" s="43">
        <f t="shared" si="5"/>
        <v>0</v>
      </c>
    </row>
    <row r="335" spans="2:14">
      <c r="B335" s="57"/>
      <c r="C335" s="60"/>
      <c r="D335" s="60"/>
      <c r="E335" s="60"/>
      <c r="F335" s="60"/>
      <c r="G335" s="60"/>
      <c r="J335" s="99"/>
      <c r="K335" s="99"/>
      <c r="L335" s="99"/>
      <c r="M335" s="99"/>
      <c r="N335" s="43">
        <f t="shared" si="5"/>
        <v>0</v>
      </c>
    </row>
    <row r="336" spans="2:14">
      <c r="B336" s="57"/>
      <c r="C336" s="60"/>
      <c r="D336" s="60"/>
      <c r="E336" s="60"/>
      <c r="F336" s="60"/>
      <c r="G336" s="60"/>
      <c r="J336" s="99"/>
      <c r="K336" s="99"/>
      <c r="L336" s="99"/>
      <c r="M336" s="99"/>
      <c r="N336" s="43">
        <f t="shared" si="5"/>
        <v>0</v>
      </c>
    </row>
    <row r="337" spans="2:14">
      <c r="B337" s="57"/>
      <c r="C337" s="60"/>
      <c r="D337" s="60"/>
      <c r="E337" s="60"/>
      <c r="F337" s="60"/>
      <c r="G337" s="60"/>
      <c r="J337" s="99"/>
      <c r="K337" s="99"/>
      <c r="L337" s="99"/>
      <c r="M337" s="99"/>
      <c r="N337" s="43">
        <f t="shared" si="5"/>
        <v>0</v>
      </c>
    </row>
    <row r="338" spans="2:14">
      <c r="B338" s="57"/>
      <c r="C338" s="60"/>
      <c r="D338" s="60"/>
      <c r="E338" s="60"/>
      <c r="F338" s="60"/>
      <c r="G338" s="60"/>
      <c r="J338" s="99"/>
      <c r="K338" s="99"/>
      <c r="L338" s="99"/>
      <c r="M338" s="99"/>
      <c r="N338" s="43">
        <f t="shared" si="5"/>
        <v>0</v>
      </c>
    </row>
    <row r="339" spans="2:14">
      <c r="B339" s="57"/>
      <c r="C339" s="60"/>
      <c r="D339" s="60"/>
      <c r="E339" s="60"/>
      <c r="F339" s="60"/>
      <c r="G339" s="60"/>
      <c r="J339" s="99"/>
      <c r="K339" s="99"/>
      <c r="L339" s="99"/>
      <c r="M339" s="99"/>
      <c r="N339" s="43">
        <f t="shared" si="5"/>
        <v>0</v>
      </c>
    </row>
    <row r="340" spans="2:14">
      <c r="B340" s="57"/>
      <c r="C340" s="60"/>
      <c r="D340" s="60"/>
      <c r="E340" s="60"/>
      <c r="F340" s="60"/>
      <c r="G340" s="60"/>
      <c r="J340" s="99"/>
      <c r="K340" s="99"/>
      <c r="L340" s="99"/>
      <c r="M340" s="99"/>
      <c r="N340" s="43">
        <f t="shared" si="5"/>
        <v>0</v>
      </c>
    </row>
    <row r="341" spans="2:14">
      <c r="B341" s="57"/>
      <c r="C341" s="60"/>
      <c r="D341" s="60"/>
      <c r="E341" s="60"/>
      <c r="F341" s="60"/>
      <c r="G341" s="60"/>
      <c r="J341" s="99"/>
      <c r="K341" s="99"/>
      <c r="L341" s="99"/>
      <c r="M341" s="99"/>
      <c r="N341" s="43">
        <f t="shared" si="5"/>
        <v>0</v>
      </c>
    </row>
    <row r="342" spans="2:14">
      <c r="B342" s="57"/>
      <c r="C342" s="60"/>
      <c r="D342" s="60"/>
      <c r="E342" s="60"/>
      <c r="F342" s="60"/>
      <c r="G342" s="60"/>
      <c r="J342" s="99"/>
      <c r="K342" s="99"/>
      <c r="L342" s="99"/>
      <c r="M342" s="99"/>
      <c r="N342" s="43">
        <f t="shared" si="5"/>
        <v>0</v>
      </c>
    </row>
    <row r="343" spans="2:14">
      <c r="B343" s="57"/>
      <c r="C343" s="60"/>
      <c r="D343" s="60"/>
      <c r="E343" s="60"/>
      <c r="F343" s="60"/>
      <c r="G343" s="60"/>
      <c r="J343" s="99"/>
      <c r="K343" s="99"/>
      <c r="L343" s="99"/>
      <c r="M343" s="99"/>
      <c r="N343" s="43">
        <f t="shared" si="5"/>
        <v>0</v>
      </c>
    </row>
    <row r="344" spans="2:14">
      <c r="B344" s="57"/>
      <c r="C344" s="60"/>
      <c r="D344" s="60"/>
      <c r="E344" s="60"/>
      <c r="F344" s="60"/>
      <c r="G344" s="60"/>
      <c r="J344" s="99"/>
      <c r="K344" s="99"/>
      <c r="L344" s="99"/>
      <c r="M344" s="99"/>
      <c r="N344" s="43">
        <f t="shared" si="5"/>
        <v>0</v>
      </c>
    </row>
    <row r="345" spans="2:14">
      <c r="B345" s="57"/>
      <c r="C345" s="60"/>
      <c r="D345" s="60"/>
      <c r="E345" s="60"/>
      <c r="F345" s="60"/>
      <c r="G345" s="60"/>
      <c r="J345" s="99"/>
      <c r="K345" s="99"/>
      <c r="L345" s="99"/>
      <c r="M345" s="99"/>
      <c r="N345" s="43">
        <f t="shared" si="5"/>
        <v>0</v>
      </c>
    </row>
    <row r="346" spans="2:14">
      <c r="B346" s="57"/>
      <c r="C346" s="60"/>
      <c r="D346" s="60"/>
      <c r="E346" s="60"/>
      <c r="F346" s="60"/>
      <c r="G346" s="60"/>
      <c r="J346" s="99"/>
      <c r="K346" s="99"/>
      <c r="L346" s="99"/>
      <c r="M346" s="99"/>
      <c r="N346" s="43">
        <f t="shared" si="5"/>
        <v>0</v>
      </c>
    </row>
    <row r="347" spans="2:14">
      <c r="B347" s="57"/>
      <c r="C347" s="60"/>
      <c r="D347" s="60"/>
      <c r="E347" s="60"/>
      <c r="F347" s="60"/>
      <c r="G347" s="60"/>
      <c r="J347" s="99"/>
      <c r="K347" s="99"/>
      <c r="L347" s="99"/>
      <c r="M347" s="99"/>
      <c r="N347" s="43">
        <f t="shared" si="5"/>
        <v>0</v>
      </c>
    </row>
    <row r="348" spans="2:14">
      <c r="B348" s="57"/>
      <c r="C348" s="60"/>
      <c r="D348" s="60"/>
      <c r="E348" s="60"/>
      <c r="F348" s="60"/>
      <c r="G348" s="60"/>
      <c r="J348" s="99"/>
      <c r="K348" s="99"/>
      <c r="L348" s="99"/>
      <c r="M348" s="99"/>
      <c r="N348" s="43">
        <f t="shared" si="5"/>
        <v>0</v>
      </c>
    </row>
    <row r="349" spans="2:14">
      <c r="B349" s="57"/>
      <c r="C349" s="60"/>
      <c r="D349" s="60"/>
      <c r="E349" s="60"/>
      <c r="F349" s="60"/>
      <c r="G349" s="60"/>
      <c r="J349" s="99"/>
      <c r="K349" s="99"/>
      <c r="L349" s="99"/>
      <c r="M349" s="99"/>
      <c r="N349" s="43">
        <f t="shared" si="5"/>
        <v>0</v>
      </c>
    </row>
    <row r="350" spans="2:14">
      <c r="B350" s="57"/>
      <c r="C350" s="60"/>
      <c r="D350" s="60"/>
      <c r="E350" s="60"/>
      <c r="F350" s="60"/>
      <c r="G350" s="60"/>
      <c r="J350" s="99"/>
      <c r="K350" s="99"/>
      <c r="L350" s="99"/>
      <c r="M350" s="99"/>
      <c r="N350" s="43">
        <f t="shared" si="5"/>
        <v>0</v>
      </c>
    </row>
    <row r="351" spans="2:14">
      <c r="B351" s="57"/>
      <c r="C351" s="60"/>
      <c r="D351" s="60"/>
      <c r="E351" s="60"/>
      <c r="F351" s="60"/>
      <c r="G351" s="60"/>
      <c r="J351" s="99"/>
      <c r="K351" s="99"/>
      <c r="L351" s="99"/>
      <c r="M351" s="99"/>
      <c r="N351" s="43">
        <f t="shared" si="5"/>
        <v>0</v>
      </c>
    </row>
    <row r="352" spans="2:14">
      <c r="B352" s="57"/>
      <c r="C352" s="60"/>
      <c r="D352" s="60"/>
      <c r="E352" s="60"/>
      <c r="F352" s="60"/>
      <c r="G352" s="60"/>
      <c r="J352" s="99"/>
      <c r="K352" s="99"/>
      <c r="L352" s="99"/>
      <c r="M352" s="99"/>
      <c r="N352" s="43">
        <f t="shared" si="5"/>
        <v>0</v>
      </c>
    </row>
    <row r="353" spans="2:14">
      <c r="B353" s="57"/>
      <c r="C353" s="60"/>
      <c r="D353" s="60"/>
      <c r="E353" s="60"/>
      <c r="F353" s="60"/>
      <c r="G353" s="60"/>
      <c r="J353" s="99"/>
      <c r="K353" s="99"/>
      <c r="L353" s="99"/>
      <c r="M353" s="99"/>
      <c r="N353" s="43">
        <f t="shared" si="5"/>
        <v>0</v>
      </c>
    </row>
    <row r="354" spans="2:14">
      <c r="B354" s="57"/>
      <c r="C354" s="60"/>
      <c r="D354" s="60"/>
      <c r="E354" s="60"/>
      <c r="F354" s="60"/>
      <c r="G354" s="60"/>
      <c r="J354" s="99"/>
      <c r="K354" s="99"/>
      <c r="L354" s="99"/>
      <c r="M354" s="99"/>
      <c r="N354" s="43">
        <f t="shared" si="5"/>
        <v>0</v>
      </c>
    </row>
    <row r="355" spans="2:14">
      <c r="B355" s="57"/>
      <c r="C355" s="60"/>
      <c r="D355" s="60"/>
      <c r="E355" s="60"/>
      <c r="F355" s="60"/>
      <c r="G355" s="60"/>
      <c r="J355" s="99"/>
      <c r="K355" s="99"/>
      <c r="L355" s="99"/>
      <c r="M355" s="99"/>
      <c r="N355" s="43">
        <f t="shared" si="5"/>
        <v>0</v>
      </c>
    </row>
    <row r="356" spans="2:14">
      <c r="B356" s="57"/>
      <c r="C356" s="60"/>
      <c r="D356" s="60"/>
      <c r="E356" s="60"/>
      <c r="F356" s="60"/>
      <c r="G356" s="60"/>
      <c r="J356" s="99"/>
      <c r="K356" s="99"/>
      <c r="L356" s="99"/>
      <c r="M356" s="99"/>
      <c r="N356" s="43">
        <f t="shared" si="5"/>
        <v>0</v>
      </c>
    </row>
    <row r="357" spans="2:14">
      <c r="B357" s="57"/>
      <c r="C357" s="60"/>
      <c r="D357" s="60"/>
      <c r="E357" s="60"/>
      <c r="F357" s="60"/>
      <c r="G357" s="60"/>
      <c r="J357" s="99"/>
      <c r="K357" s="99"/>
      <c r="L357" s="99"/>
      <c r="M357" s="99"/>
      <c r="N357" s="43">
        <f t="shared" si="5"/>
        <v>0</v>
      </c>
    </row>
    <row r="358" spans="2:14">
      <c r="B358" s="57"/>
      <c r="C358" s="60"/>
      <c r="D358" s="60"/>
      <c r="E358" s="60"/>
      <c r="F358" s="60"/>
      <c r="G358" s="60"/>
      <c r="J358" s="99"/>
      <c r="K358" s="99"/>
      <c r="L358" s="99"/>
      <c r="M358" s="99"/>
      <c r="N358" s="43">
        <f t="shared" si="5"/>
        <v>0</v>
      </c>
    </row>
    <row r="359" spans="2:14">
      <c r="B359" s="57"/>
      <c r="C359" s="60"/>
      <c r="D359" s="60"/>
      <c r="E359" s="60"/>
      <c r="F359" s="60"/>
      <c r="G359" s="60"/>
      <c r="J359" s="99"/>
      <c r="K359" s="99"/>
      <c r="L359" s="99"/>
      <c r="M359" s="99"/>
      <c r="N359" s="43">
        <f t="shared" si="5"/>
        <v>0</v>
      </c>
    </row>
    <row r="360" spans="2:14">
      <c r="B360" s="57"/>
      <c r="C360" s="60"/>
      <c r="D360" s="60"/>
      <c r="E360" s="60"/>
      <c r="F360" s="60"/>
      <c r="G360" s="60"/>
      <c r="J360" s="99"/>
      <c r="K360" s="99"/>
      <c r="L360" s="99"/>
      <c r="M360" s="99"/>
      <c r="N360" s="43">
        <f t="shared" si="5"/>
        <v>0</v>
      </c>
    </row>
    <row r="361" spans="2:14">
      <c r="B361" s="57"/>
      <c r="C361" s="60"/>
      <c r="D361" s="60"/>
      <c r="E361" s="60"/>
      <c r="F361" s="60"/>
      <c r="G361" s="60"/>
      <c r="J361" s="99"/>
      <c r="K361" s="99"/>
      <c r="L361" s="99"/>
      <c r="M361" s="99"/>
      <c r="N361" s="43">
        <f t="shared" si="5"/>
        <v>0</v>
      </c>
    </row>
    <row r="362" spans="2:14">
      <c r="B362" s="57"/>
      <c r="C362" s="60"/>
      <c r="D362" s="60"/>
      <c r="E362" s="60"/>
      <c r="F362" s="60"/>
      <c r="G362" s="60"/>
      <c r="J362" s="99"/>
      <c r="K362" s="99"/>
      <c r="L362" s="99"/>
      <c r="M362" s="99"/>
      <c r="N362" s="43">
        <f t="shared" si="5"/>
        <v>0</v>
      </c>
    </row>
    <row r="363" spans="2:14">
      <c r="B363" s="57"/>
      <c r="C363" s="60"/>
      <c r="D363" s="60"/>
      <c r="E363" s="60"/>
      <c r="F363" s="60"/>
      <c r="G363" s="60"/>
      <c r="J363" s="99"/>
      <c r="K363" s="99"/>
      <c r="L363" s="99"/>
      <c r="M363" s="99"/>
      <c r="N363" s="43">
        <f t="shared" si="5"/>
        <v>0</v>
      </c>
    </row>
    <row r="364" spans="2:14">
      <c r="B364" s="57"/>
      <c r="C364" s="60"/>
      <c r="D364" s="60"/>
      <c r="E364" s="60"/>
      <c r="F364" s="60"/>
      <c r="G364" s="60"/>
      <c r="J364" s="99"/>
      <c r="K364" s="99"/>
      <c r="L364" s="99"/>
      <c r="M364" s="99"/>
      <c r="N364" s="43">
        <f t="shared" si="5"/>
        <v>0</v>
      </c>
    </row>
    <row r="365" spans="2:14">
      <c r="B365" s="57"/>
      <c r="C365" s="60"/>
      <c r="D365" s="60"/>
      <c r="E365" s="60"/>
      <c r="F365" s="60"/>
      <c r="G365" s="60"/>
      <c r="J365" s="99"/>
      <c r="K365" s="99"/>
      <c r="L365" s="99"/>
      <c r="M365" s="99"/>
      <c r="N365" s="43">
        <f t="shared" si="5"/>
        <v>0</v>
      </c>
    </row>
    <row r="366" spans="2:14">
      <c r="B366" s="57"/>
      <c r="C366" s="60"/>
      <c r="D366" s="60"/>
      <c r="E366" s="60"/>
      <c r="F366" s="60"/>
      <c r="G366" s="60"/>
      <c r="J366" s="99"/>
      <c r="K366" s="99"/>
      <c r="L366" s="99"/>
      <c r="M366" s="99"/>
      <c r="N366" s="43">
        <f t="shared" si="5"/>
        <v>0</v>
      </c>
    </row>
    <row r="367" spans="2:14">
      <c r="B367" s="57"/>
      <c r="C367" s="60"/>
      <c r="D367" s="60"/>
      <c r="E367" s="60"/>
      <c r="F367" s="60"/>
      <c r="G367" s="60"/>
      <c r="J367" s="99"/>
      <c r="K367" s="99"/>
      <c r="L367" s="99"/>
      <c r="M367" s="99"/>
      <c r="N367" s="43">
        <f t="shared" si="5"/>
        <v>0</v>
      </c>
    </row>
    <row r="368" spans="2:14">
      <c r="B368" s="57"/>
      <c r="C368" s="60"/>
      <c r="D368" s="60"/>
      <c r="E368" s="60"/>
      <c r="F368" s="60"/>
      <c r="G368" s="60"/>
      <c r="J368" s="99"/>
      <c r="K368" s="99"/>
      <c r="L368" s="99"/>
      <c r="M368" s="99"/>
      <c r="N368" s="43">
        <f t="shared" si="5"/>
        <v>0</v>
      </c>
    </row>
    <row r="369" spans="2:14">
      <c r="B369" s="57"/>
      <c r="C369" s="60"/>
      <c r="D369" s="60"/>
      <c r="E369" s="60"/>
      <c r="F369" s="60"/>
      <c r="G369" s="60"/>
      <c r="J369" s="99"/>
      <c r="K369" s="99"/>
      <c r="L369" s="99"/>
      <c r="M369" s="99"/>
      <c r="N369" s="43">
        <f t="shared" si="5"/>
        <v>0</v>
      </c>
    </row>
    <row r="370" spans="2:14">
      <c r="B370" s="57"/>
      <c r="C370" s="60"/>
      <c r="D370" s="60"/>
      <c r="E370" s="60"/>
      <c r="F370" s="60"/>
      <c r="G370" s="60"/>
      <c r="J370" s="99"/>
      <c r="K370" s="99"/>
      <c r="L370" s="99"/>
      <c r="M370" s="99"/>
      <c r="N370" s="43">
        <f t="shared" si="5"/>
        <v>0</v>
      </c>
    </row>
    <row r="371" spans="2:14">
      <c r="B371" s="57"/>
      <c r="C371" s="60"/>
      <c r="D371" s="60"/>
      <c r="E371" s="60"/>
      <c r="F371" s="60"/>
      <c r="G371" s="60"/>
      <c r="J371" s="99"/>
      <c r="K371" s="99"/>
      <c r="L371" s="99"/>
      <c r="M371" s="99"/>
      <c r="N371" s="43">
        <f t="shared" si="5"/>
        <v>0</v>
      </c>
    </row>
    <row r="372" spans="2:14">
      <c r="B372" s="57"/>
      <c r="C372" s="60"/>
      <c r="D372" s="60"/>
      <c r="E372" s="60"/>
      <c r="F372" s="60"/>
      <c r="G372" s="60"/>
      <c r="J372" s="99"/>
      <c r="K372" s="99"/>
      <c r="L372" s="99"/>
      <c r="M372" s="99"/>
      <c r="N372" s="43">
        <f t="shared" si="5"/>
        <v>0</v>
      </c>
    </row>
    <row r="373" spans="2:14">
      <c r="B373" s="57"/>
      <c r="C373" s="60"/>
      <c r="D373" s="60"/>
      <c r="E373" s="60"/>
      <c r="F373" s="60"/>
      <c r="G373" s="60"/>
      <c r="J373" s="99"/>
      <c r="K373" s="99"/>
      <c r="L373" s="99"/>
      <c r="M373" s="99"/>
      <c r="N373" s="43">
        <f t="shared" si="5"/>
        <v>0</v>
      </c>
    </row>
    <row r="374" spans="2:14">
      <c r="B374" s="57"/>
      <c r="C374" s="60"/>
      <c r="D374" s="60"/>
      <c r="E374" s="60"/>
      <c r="F374" s="60"/>
      <c r="G374" s="60"/>
      <c r="J374" s="99"/>
      <c r="K374" s="99"/>
      <c r="L374" s="99"/>
      <c r="M374" s="99"/>
      <c r="N374" s="43">
        <f t="shared" si="5"/>
        <v>0</v>
      </c>
    </row>
    <row r="375" spans="2:14">
      <c r="B375" s="57"/>
      <c r="C375" s="60"/>
      <c r="D375" s="60"/>
      <c r="E375" s="60"/>
      <c r="F375" s="60"/>
      <c r="G375" s="60"/>
      <c r="J375" s="99"/>
      <c r="K375" s="99"/>
      <c r="L375" s="99"/>
      <c r="M375" s="99"/>
      <c r="N375" s="43">
        <f t="shared" si="5"/>
        <v>0</v>
      </c>
    </row>
    <row r="376" spans="2:14">
      <c r="B376" s="57"/>
      <c r="C376" s="60"/>
      <c r="D376" s="60"/>
      <c r="E376" s="60"/>
      <c r="F376" s="60"/>
      <c r="G376" s="60"/>
      <c r="J376" s="99"/>
      <c r="K376" s="99"/>
      <c r="L376" s="99"/>
      <c r="M376" s="99"/>
      <c r="N376" s="43">
        <f t="shared" si="5"/>
        <v>0</v>
      </c>
    </row>
    <row r="377" spans="2:14">
      <c r="B377" s="57"/>
      <c r="C377" s="60"/>
      <c r="D377" s="60"/>
      <c r="E377" s="60"/>
      <c r="F377" s="60"/>
      <c r="G377" s="60"/>
      <c r="J377" s="99"/>
      <c r="K377" s="99"/>
      <c r="L377" s="99"/>
      <c r="M377" s="99"/>
      <c r="N377" s="43">
        <f t="shared" si="5"/>
        <v>0</v>
      </c>
    </row>
    <row r="378" spans="2:14">
      <c r="B378" s="57"/>
      <c r="C378" s="60"/>
      <c r="D378" s="60"/>
      <c r="E378" s="60"/>
      <c r="F378" s="60"/>
      <c r="G378" s="60"/>
      <c r="J378" s="99"/>
      <c r="K378" s="99"/>
      <c r="L378" s="99"/>
      <c r="M378" s="99"/>
      <c r="N378" s="43">
        <f t="shared" si="5"/>
        <v>0</v>
      </c>
    </row>
    <row r="379" spans="2:14">
      <c r="B379" s="57"/>
      <c r="C379" s="60"/>
      <c r="D379" s="60"/>
      <c r="E379" s="60"/>
      <c r="F379" s="60"/>
      <c r="G379" s="60"/>
      <c r="J379" s="99"/>
      <c r="K379" s="99"/>
      <c r="L379" s="99"/>
      <c r="M379" s="99"/>
      <c r="N379" s="43">
        <f t="shared" si="5"/>
        <v>0</v>
      </c>
    </row>
    <row r="380" spans="2:14">
      <c r="B380" s="57"/>
      <c r="C380" s="60"/>
      <c r="D380" s="60"/>
      <c r="E380" s="60"/>
      <c r="F380" s="60"/>
      <c r="G380" s="60"/>
      <c r="J380" s="99"/>
      <c r="K380" s="99"/>
      <c r="L380" s="99"/>
      <c r="M380" s="99"/>
      <c r="N380" s="43">
        <f t="shared" si="5"/>
        <v>0</v>
      </c>
    </row>
    <row r="381" spans="2:14">
      <c r="B381" s="57"/>
      <c r="C381" s="60"/>
      <c r="D381" s="60"/>
      <c r="E381" s="60"/>
      <c r="F381" s="60"/>
      <c r="G381" s="60"/>
      <c r="J381" s="99"/>
      <c r="K381" s="99"/>
      <c r="L381" s="99"/>
      <c r="M381" s="99"/>
      <c r="N381" s="43">
        <f t="shared" si="5"/>
        <v>0</v>
      </c>
    </row>
    <row r="382" spans="2:14">
      <c r="B382" s="57"/>
      <c r="C382" s="60"/>
      <c r="D382" s="60"/>
      <c r="E382" s="60"/>
      <c r="F382" s="60"/>
      <c r="G382" s="60"/>
      <c r="J382" s="99"/>
      <c r="K382" s="99"/>
      <c r="L382" s="99"/>
      <c r="M382" s="99"/>
      <c r="N382" s="43">
        <f t="shared" si="5"/>
        <v>0</v>
      </c>
    </row>
    <row r="383" spans="2:14">
      <c r="B383" s="57"/>
      <c r="C383" s="60"/>
      <c r="D383" s="60"/>
      <c r="E383" s="60"/>
      <c r="F383" s="60"/>
      <c r="G383" s="60"/>
      <c r="J383" s="99"/>
      <c r="K383" s="99"/>
      <c r="L383" s="99"/>
      <c r="M383" s="99"/>
      <c r="N383" s="43">
        <f t="shared" si="5"/>
        <v>0</v>
      </c>
    </row>
    <row r="384" spans="2:14">
      <c r="B384" s="57"/>
      <c r="C384" s="60"/>
      <c r="D384" s="60"/>
      <c r="E384" s="60"/>
      <c r="F384" s="60"/>
      <c r="G384" s="60"/>
      <c r="J384" s="99"/>
      <c r="K384" s="99"/>
      <c r="L384" s="99"/>
      <c r="M384" s="99"/>
      <c r="N384" s="43">
        <f t="shared" si="5"/>
        <v>0</v>
      </c>
    </row>
    <row r="385" spans="2:14">
      <c r="B385" s="57"/>
      <c r="C385" s="60"/>
      <c r="D385" s="60"/>
      <c r="E385" s="60"/>
      <c r="F385" s="60"/>
      <c r="G385" s="60"/>
      <c r="J385" s="99"/>
      <c r="K385" s="99"/>
      <c r="L385" s="99"/>
      <c r="M385" s="99"/>
      <c r="N385" s="43">
        <f t="shared" si="5"/>
        <v>0</v>
      </c>
    </row>
    <row r="386" spans="2:14">
      <c r="B386" s="57"/>
      <c r="C386" s="60"/>
      <c r="D386" s="60"/>
      <c r="E386" s="60"/>
      <c r="F386" s="60"/>
      <c r="G386" s="60"/>
      <c r="J386" s="99"/>
      <c r="K386" s="99"/>
      <c r="L386" s="99"/>
      <c r="M386" s="99"/>
      <c r="N386" s="43">
        <f t="shared" si="5"/>
        <v>0</v>
      </c>
    </row>
    <row r="387" spans="2:14">
      <c r="B387" s="57"/>
      <c r="C387" s="60"/>
      <c r="D387" s="60"/>
      <c r="E387" s="60"/>
      <c r="F387" s="60"/>
      <c r="G387" s="60"/>
      <c r="J387" s="99"/>
      <c r="K387" s="99"/>
      <c r="L387" s="99"/>
      <c r="M387" s="99"/>
      <c r="N387" s="43">
        <f t="shared" si="5"/>
        <v>0</v>
      </c>
    </row>
    <row r="388" spans="2:14">
      <c r="B388" s="57"/>
      <c r="C388" s="60"/>
      <c r="D388" s="60"/>
      <c r="E388" s="60"/>
      <c r="F388" s="60"/>
      <c r="G388" s="60"/>
      <c r="J388" s="99"/>
      <c r="K388" s="99"/>
      <c r="L388" s="99"/>
      <c r="M388" s="99"/>
      <c r="N388" s="43">
        <f t="shared" si="5"/>
        <v>0</v>
      </c>
    </row>
    <row r="389" spans="2:14">
      <c r="B389" s="57"/>
      <c r="C389" s="60"/>
      <c r="D389" s="60"/>
      <c r="E389" s="60"/>
      <c r="F389" s="60"/>
      <c r="G389" s="60"/>
      <c r="J389" s="99"/>
      <c r="K389" s="99"/>
      <c r="L389" s="99"/>
      <c r="M389" s="99"/>
      <c r="N389" s="43">
        <f t="shared" si="5"/>
        <v>0</v>
      </c>
    </row>
    <row r="390" spans="2:14">
      <c r="B390" s="57"/>
      <c r="C390" s="60"/>
      <c r="D390" s="60"/>
      <c r="E390" s="60"/>
      <c r="F390" s="60"/>
      <c r="G390" s="60"/>
      <c r="J390" s="99"/>
      <c r="K390" s="99"/>
      <c r="L390" s="99"/>
      <c r="M390" s="99"/>
      <c r="N390" s="43">
        <f t="shared" si="5"/>
        <v>0</v>
      </c>
    </row>
    <row r="391" spans="2:14">
      <c r="B391" s="57"/>
      <c r="C391" s="60"/>
      <c r="D391" s="60"/>
      <c r="E391" s="60"/>
      <c r="F391" s="60"/>
      <c r="G391" s="60"/>
      <c r="J391" s="99"/>
      <c r="K391" s="99"/>
      <c r="L391" s="99"/>
      <c r="M391" s="99"/>
      <c r="N391" s="43">
        <f t="shared" si="5"/>
        <v>0</v>
      </c>
    </row>
    <row r="392" spans="2:14">
      <c r="B392" s="57"/>
      <c r="C392" s="60"/>
      <c r="D392" s="60"/>
      <c r="E392" s="60"/>
      <c r="F392" s="60"/>
      <c r="G392" s="60"/>
      <c r="J392" s="99"/>
      <c r="K392" s="99"/>
      <c r="L392" s="99"/>
      <c r="M392" s="99"/>
      <c r="N392" s="43">
        <f t="shared" si="5"/>
        <v>0</v>
      </c>
    </row>
    <row r="393" spans="2:14">
      <c r="B393" s="57"/>
      <c r="C393" s="60"/>
      <c r="D393" s="60"/>
      <c r="E393" s="60"/>
      <c r="F393" s="60"/>
      <c r="G393" s="60"/>
      <c r="J393" s="99"/>
      <c r="K393" s="99"/>
      <c r="L393" s="99"/>
      <c r="M393" s="99"/>
      <c r="N393" s="43">
        <f t="shared" si="5"/>
        <v>0</v>
      </c>
    </row>
    <row r="394" spans="2:14">
      <c r="B394" s="57"/>
      <c r="C394" s="60"/>
      <c r="D394" s="60"/>
      <c r="E394" s="60"/>
      <c r="F394" s="60"/>
      <c r="G394" s="60"/>
      <c r="J394" s="99"/>
      <c r="K394" s="99"/>
      <c r="L394" s="99"/>
      <c r="M394" s="99"/>
      <c r="N394" s="43">
        <f t="shared" si="5"/>
        <v>0</v>
      </c>
    </row>
    <row r="395" spans="2:14">
      <c r="B395" s="57"/>
      <c r="C395" s="60"/>
      <c r="D395" s="60"/>
      <c r="E395" s="60"/>
      <c r="F395" s="60"/>
      <c r="G395" s="60"/>
      <c r="J395" s="99"/>
      <c r="K395" s="99"/>
      <c r="L395" s="99"/>
      <c r="M395" s="99"/>
      <c r="N395" s="43">
        <f t="shared" ref="N395:N458" si="6">IF($L$4=$C$10,C395,IF(D395="","",B395))</f>
        <v>0</v>
      </c>
    </row>
    <row r="396" spans="2:14">
      <c r="B396" s="57"/>
      <c r="C396" s="60"/>
      <c r="D396" s="60"/>
      <c r="E396" s="60"/>
      <c r="F396" s="60"/>
      <c r="G396" s="60"/>
      <c r="J396" s="99"/>
      <c r="K396" s="99"/>
      <c r="L396" s="99"/>
      <c r="M396" s="99"/>
      <c r="N396" s="43">
        <f t="shared" si="6"/>
        <v>0</v>
      </c>
    </row>
    <row r="397" spans="2:14">
      <c r="B397" s="57"/>
      <c r="C397" s="60"/>
      <c r="D397" s="60"/>
      <c r="E397" s="60"/>
      <c r="F397" s="60"/>
      <c r="G397" s="60"/>
      <c r="J397" s="99"/>
      <c r="K397" s="99"/>
      <c r="L397" s="99"/>
      <c r="M397" s="99"/>
      <c r="N397" s="43">
        <f t="shared" si="6"/>
        <v>0</v>
      </c>
    </row>
    <row r="398" spans="2:14">
      <c r="B398" s="57"/>
      <c r="C398" s="60"/>
      <c r="D398" s="60"/>
      <c r="E398" s="60"/>
      <c r="F398" s="60"/>
      <c r="G398" s="60"/>
      <c r="J398" s="99"/>
      <c r="K398" s="99"/>
      <c r="L398" s="99"/>
      <c r="M398" s="99"/>
      <c r="N398" s="43">
        <f t="shared" si="6"/>
        <v>0</v>
      </c>
    </row>
    <row r="399" spans="2:14">
      <c r="B399" s="57"/>
      <c r="C399" s="60"/>
      <c r="D399" s="60"/>
      <c r="E399" s="60"/>
      <c r="F399" s="60"/>
      <c r="G399" s="60"/>
      <c r="J399" s="99"/>
      <c r="K399" s="99"/>
      <c r="L399" s="99"/>
      <c r="M399" s="99"/>
      <c r="N399" s="43">
        <f t="shared" si="6"/>
        <v>0</v>
      </c>
    </row>
    <row r="400" spans="2:14">
      <c r="B400" s="57"/>
      <c r="C400" s="60"/>
      <c r="D400" s="60"/>
      <c r="E400" s="60"/>
      <c r="F400" s="60"/>
      <c r="G400" s="60"/>
      <c r="J400" s="99"/>
      <c r="K400" s="99"/>
      <c r="L400" s="99"/>
      <c r="M400" s="99"/>
      <c r="N400" s="43">
        <f t="shared" si="6"/>
        <v>0</v>
      </c>
    </row>
    <row r="401" spans="2:14">
      <c r="B401" s="57"/>
      <c r="C401" s="60"/>
      <c r="D401" s="60"/>
      <c r="E401" s="60"/>
      <c r="F401" s="60"/>
      <c r="G401" s="60"/>
      <c r="J401" s="99"/>
      <c r="K401" s="99"/>
      <c r="L401" s="99"/>
      <c r="M401" s="99"/>
      <c r="N401" s="43">
        <f t="shared" si="6"/>
        <v>0</v>
      </c>
    </row>
    <row r="402" spans="2:14">
      <c r="B402" s="57"/>
      <c r="C402" s="60"/>
      <c r="D402" s="60"/>
      <c r="E402" s="60"/>
      <c r="F402" s="60"/>
      <c r="G402" s="60"/>
      <c r="J402" s="99"/>
      <c r="K402" s="99"/>
      <c r="L402" s="99"/>
      <c r="M402" s="99"/>
      <c r="N402" s="43">
        <f t="shared" si="6"/>
        <v>0</v>
      </c>
    </row>
    <row r="403" spans="2:14">
      <c r="B403" s="57"/>
      <c r="C403" s="60"/>
      <c r="D403" s="60"/>
      <c r="E403" s="60"/>
      <c r="F403" s="60"/>
      <c r="G403" s="60"/>
      <c r="J403" s="99"/>
      <c r="K403" s="99"/>
      <c r="L403" s="99"/>
      <c r="M403" s="99"/>
      <c r="N403" s="43">
        <f t="shared" si="6"/>
        <v>0</v>
      </c>
    </row>
    <row r="404" spans="2:14">
      <c r="B404" s="57"/>
      <c r="C404" s="60"/>
      <c r="D404" s="60"/>
      <c r="E404" s="60"/>
      <c r="F404" s="60"/>
      <c r="G404" s="60"/>
      <c r="J404" s="99"/>
      <c r="K404" s="99"/>
      <c r="L404" s="99"/>
      <c r="M404" s="99"/>
      <c r="N404" s="43">
        <f t="shared" si="6"/>
        <v>0</v>
      </c>
    </row>
    <row r="405" spans="2:14">
      <c r="B405" s="57"/>
      <c r="C405" s="60"/>
      <c r="D405" s="60"/>
      <c r="E405" s="60"/>
      <c r="F405" s="60"/>
      <c r="G405" s="60"/>
      <c r="J405" s="99"/>
      <c r="K405" s="99"/>
      <c r="L405" s="99"/>
      <c r="M405" s="99"/>
      <c r="N405" s="43">
        <f t="shared" si="6"/>
        <v>0</v>
      </c>
    </row>
    <row r="406" spans="2:14">
      <c r="B406" s="57"/>
      <c r="C406" s="60"/>
      <c r="D406" s="60"/>
      <c r="E406" s="60"/>
      <c r="F406" s="60"/>
      <c r="G406" s="60"/>
      <c r="J406" s="99"/>
      <c r="K406" s="99"/>
      <c r="L406" s="99"/>
      <c r="M406" s="99"/>
      <c r="N406" s="43">
        <f t="shared" si="6"/>
        <v>0</v>
      </c>
    </row>
    <row r="407" spans="2:14">
      <c r="B407" s="57"/>
      <c r="C407" s="60"/>
      <c r="D407" s="60"/>
      <c r="E407" s="60"/>
      <c r="F407" s="60"/>
      <c r="G407" s="60"/>
      <c r="J407" s="99"/>
      <c r="K407" s="99"/>
      <c r="L407" s="99"/>
      <c r="M407" s="99"/>
      <c r="N407" s="43">
        <f t="shared" si="6"/>
        <v>0</v>
      </c>
    </row>
    <row r="408" spans="2:14">
      <c r="B408" s="57"/>
      <c r="C408" s="60"/>
      <c r="D408" s="60"/>
      <c r="E408" s="60"/>
      <c r="F408" s="60"/>
      <c r="G408" s="60"/>
      <c r="J408" s="99"/>
      <c r="K408" s="99"/>
      <c r="L408" s="99"/>
      <c r="M408" s="99"/>
      <c r="N408" s="43">
        <f t="shared" si="6"/>
        <v>0</v>
      </c>
    </row>
    <row r="409" spans="2:14">
      <c r="B409" s="57"/>
      <c r="C409" s="60"/>
      <c r="D409" s="60"/>
      <c r="E409" s="60"/>
      <c r="F409" s="60"/>
      <c r="G409" s="60"/>
      <c r="J409" s="99"/>
      <c r="K409" s="99"/>
      <c r="L409" s="99"/>
      <c r="M409" s="99"/>
      <c r="N409" s="43">
        <f t="shared" si="6"/>
        <v>0</v>
      </c>
    </row>
    <row r="410" spans="2:14">
      <c r="B410" s="57"/>
      <c r="C410" s="60"/>
      <c r="D410" s="60"/>
      <c r="E410" s="60"/>
      <c r="F410" s="60"/>
      <c r="G410" s="60"/>
      <c r="J410" s="99"/>
      <c r="K410" s="99"/>
      <c r="L410" s="99"/>
      <c r="M410" s="99"/>
      <c r="N410" s="43">
        <f t="shared" si="6"/>
        <v>0</v>
      </c>
    </row>
    <row r="411" spans="2:14">
      <c r="B411" s="57"/>
      <c r="C411" s="60"/>
      <c r="D411" s="60"/>
      <c r="E411" s="60"/>
      <c r="F411" s="60"/>
      <c r="G411" s="60"/>
      <c r="J411" s="99"/>
      <c r="K411" s="99"/>
      <c r="L411" s="99"/>
      <c r="M411" s="99"/>
      <c r="N411" s="43">
        <f t="shared" si="6"/>
        <v>0</v>
      </c>
    </row>
    <row r="412" spans="2:14">
      <c r="B412" s="57"/>
      <c r="C412" s="60"/>
      <c r="D412" s="60"/>
      <c r="E412" s="60"/>
      <c r="F412" s="60"/>
      <c r="G412" s="60"/>
      <c r="J412" s="99"/>
      <c r="K412" s="99"/>
      <c r="L412" s="99"/>
      <c r="M412" s="99"/>
      <c r="N412" s="43">
        <f t="shared" si="6"/>
        <v>0</v>
      </c>
    </row>
    <row r="413" spans="2:14">
      <c r="B413" s="57"/>
      <c r="C413" s="60"/>
      <c r="D413" s="60"/>
      <c r="E413" s="60"/>
      <c r="F413" s="60"/>
      <c r="G413" s="60"/>
      <c r="J413" s="99"/>
      <c r="K413" s="99"/>
      <c r="L413" s="99"/>
      <c r="M413" s="99"/>
      <c r="N413" s="43">
        <f t="shared" si="6"/>
        <v>0</v>
      </c>
    </row>
    <row r="414" spans="2:14">
      <c r="B414" s="57"/>
      <c r="C414" s="60"/>
      <c r="D414" s="60"/>
      <c r="E414" s="60"/>
      <c r="F414" s="60"/>
      <c r="G414" s="60"/>
      <c r="J414" s="99"/>
      <c r="K414" s="99"/>
      <c r="L414" s="99"/>
      <c r="M414" s="99"/>
      <c r="N414" s="43">
        <f t="shared" si="6"/>
        <v>0</v>
      </c>
    </row>
    <row r="415" spans="2:14">
      <c r="B415" s="57"/>
      <c r="C415" s="60"/>
      <c r="D415" s="60"/>
      <c r="E415" s="60"/>
      <c r="F415" s="60"/>
      <c r="G415" s="60"/>
      <c r="J415" s="99"/>
      <c r="K415" s="99"/>
      <c r="L415" s="99"/>
      <c r="M415" s="99"/>
      <c r="N415" s="43">
        <f t="shared" si="6"/>
        <v>0</v>
      </c>
    </row>
    <row r="416" spans="2:14">
      <c r="B416" s="57"/>
      <c r="C416" s="60"/>
      <c r="D416" s="60"/>
      <c r="E416" s="60"/>
      <c r="F416" s="60"/>
      <c r="G416" s="60"/>
      <c r="J416" s="99"/>
      <c r="K416" s="99"/>
      <c r="L416" s="99"/>
      <c r="M416" s="99"/>
      <c r="N416" s="43">
        <f t="shared" si="6"/>
        <v>0</v>
      </c>
    </row>
    <row r="417" spans="2:14">
      <c r="B417" s="57"/>
      <c r="C417" s="60"/>
      <c r="D417" s="60"/>
      <c r="E417" s="60"/>
      <c r="F417" s="60"/>
      <c r="G417" s="60"/>
      <c r="J417" s="99"/>
      <c r="K417" s="99"/>
      <c r="L417" s="99"/>
      <c r="M417" s="99"/>
      <c r="N417" s="43">
        <f t="shared" si="6"/>
        <v>0</v>
      </c>
    </row>
    <row r="418" spans="2:14">
      <c r="B418" s="57"/>
      <c r="C418" s="60"/>
      <c r="D418" s="60"/>
      <c r="E418" s="60"/>
      <c r="F418" s="60"/>
      <c r="G418" s="60"/>
      <c r="J418" s="99"/>
      <c r="K418" s="99"/>
      <c r="L418" s="99"/>
      <c r="M418" s="99"/>
      <c r="N418" s="43">
        <f t="shared" si="6"/>
        <v>0</v>
      </c>
    </row>
    <row r="419" spans="2:14">
      <c r="B419" s="57"/>
      <c r="C419" s="60"/>
      <c r="D419" s="60"/>
      <c r="E419" s="60"/>
      <c r="F419" s="60"/>
      <c r="G419" s="60"/>
      <c r="J419" s="99"/>
      <c r="K419" s="99"/>
      <c r="L419" s="99"/>
      <c r="M419" s="99"/>
      <c r="N419" s="43">
        <f t="shared" si="6"/>
        <v>0</v>
      </c>
    </row>
    <row r="420" spans="2:14">
      <c r="B420" s="57"/>
      <c r="C420" s="60"/>
      <c r="D420" s="60"/>
      <c r="E420" s="60"/>
      <c r="F420" s="60"/>
      <c r="G420" s="60"/>
      <c r="J420" s="99"/>
      <c r="K420" s="99"/>
      <c r="L420" s="99"/>
      <c r="M420" s="99"/>
      <c r="N420" s="43">
        <f t="shared" si="6"/>
        <v>0</v>
      </c>
    </row>
    <row r="421" spans="2:14">
      <c r="B421" s="57"/>
      <c r="C421" s="60"/>
      <c r="D421" s="60"/>
      <c r="E421" s="60"/>
      <c r="F421" s="60"/>
      <c r="G421" s="60"/>
      <c r="J421" s="99"/>
      <c r="K421" s="99"/>
      <c r="L421" s="99"/>
      <c r="M421" s="99"/>
      <c r="N421" s="43">
        <f t="shared" si="6"/>
        <v>0</v>
      </c>
    </row>
    <row r="422" spans="2:14">
      <c r="B422" s="57"/>
      <c r="C422" s="60"/>
      <c r="D422" s="60"/>
      <c r="E422" s="60"/>
      <c r="F422" s="60"/>
      <c r="G422" s="60"/>
      <c r="J422" s="99"/>
      <c r="K422" s="99"/>
      <c r="L422" s="99"/>
      <c r="M422" s="99"/>
      <c r="N422" s="43">
        <f t="shared" si="6"/>
        <v>0</v>
      </c>
    </row>
    <row r="423" spans="2:14">
      <c r="B423" s="57"/>
      <c r="C423" s="60"/>
      <c r="D423" s="60"/>
      <c r="E423" s="60"/>
      <c r="F423" s="60"/>
      <c r="G423" s="60"/>
      <c r="J423" s="99"/>
      <c r="K423" s="99"/>
      <c r="L423" s="99"/>
      <c r="M423" s="99"/>
      <c r="N423" s="43">
        <f t="shared" si="6"/>
        <v>0</v>
      </c>
    </row>
    <row r="424" spans="2:14">
      <c r="B424" s="57"/>
      <c r="C424" s="60"/>
      <c r="D424" s="60"/>
      <c r="E424" s="60"/>
      <c r="F424" s="60"/>
      <c r="G424" s="60"/>
      <c r="J424" s="99"/>
      <c r="K424" s="99"/>
      <c r="L424" s="99"/>
      <c r="M424" s="99"/>
      <c r="N424" s="43">
        <f t="shared" si="6"/>
        <v>0</v>
      </c>
    </row>
    <row r="425" spans="2:14">
      <c r="B425" s="57"/>
      <c r="C425" s="60"/>
      <c r="D425" s="60"/>
      <c r="E425" s="60"/>
      <c r="F425" s="60"/>
      <c r="G425" s="60"/>
      <c r="J425" s="99"/>
      <c r="K425" s="99"/>
      <c r="L425" s="99"/>
      <c r="M425" s="99"/>
      <c r="N425" s="43">
        <f t="shared" si="6"/>
        <v>0</v>
      </c>
    </row>
    <row r="426" spans="2:14">
      <c r="B426" s="57"/>
      <c r="C426" s="60"/>
      <c r="D426" s="60"/>
      <c r="E426" s="60"/>
      <c r="F426" s="60"/>
      <c r="G426" s="60"/>
      <c r="J426" s="99"/>
      <c r="K426" s="99"/>
      <c r="L426" s="99"/>
      <c r="M426" s="99"/>
      <c r="N426" s="43">
        <f t="shared" si="6"/>
        <v>0</v>
      </c>
    </row>
    <row r="427" spans="2:14">
      <c r="B427" s="57"/>
      <c r="C427" s="60"/>
      <c r="D427" s="60"/>
      <c r="E427" s="60"/>
      <c r="F427" s="60"/>
      <c r="G427" s="60"/>
      <c r="J427" s="99"/>
      <c r="K427" s="99"/>
      <c r="L427" s="99"/>
      <c r="M427" s="99"/>
      <c r="N427" s="43">
        <f t="shared" si="6"/>
        <v>0</v>
      </c>
    </row>
    <row r="428" spans="2:14">
      <c r="B428" s="57"/>
      <c r="C428" s="60"/>
      <c r="D428" s="60"/>
      <c r="E428" s="60"/>
      <c r="F428" s="60"/>
      <c r="G428" s="60"/>
      <c r="J428" s="99"/>
      <c r="K428" s="99"/>
      <c r="L428" s="99"/>
      <c r="M428" s="99"/>
      <c r="N428" s="43">
        <f t="shared" si="6"/>
        <v>0</v>
      </c>
    </row>
    <row r="429" spans="2:14" ht="1.5" customHeight="1">
      <c r="B429" s="57"/>
      <c r="C429" s="60"/>
      <c r="D429" s="60"/>
      <c r="E429" s="60"/>
      <c r="F429" s="60"/>
      <c r="G429" s="60"/>
      <c r="J429" s="99"/>
      <c r="K429" s="99"/>
      <c r="L429" s="99"/>
      <c r="M429" s="99"/>
      <c r="N429" s="43">
        <f t="shared" si="6"/>
        <v>0</v>
      </c>
    </row>
    <row r="430" spans="2:14" ht="1.5" customHeight="1">
      <c r="B430" s="57"/>
      <c r="C430" s="60"/>
      <c r="D430" s="60"/>
      <c r="E430" s="60"/>
      <c r="F430" s="60"/>
      <c r="G430" s="60"/>
      <c r="J430" s="99"/>
      <c r="K430" s="99"/>
      <c r="L430" s="99"/>
      <c r="M430" s="99"/>
      <c r="N430" s="43">
        <f t="shared" si="6"/>
        <v>0</v>
      </c>
    </row>
    <row r="431" spans="2:14" ht="1.5" customHeight="1">
      <c r="B431" s="57"/>
      <c r="C431" s="60"/>
      <c r="D431" s="60"/>
      <c r="E431" s="60"/>
      <c r="F431" s="60"/>
      <c r="G431" s="60"/>
      <c r="J431" s="99"/>
      <c r="K431" s="99"/>
      <c r="L431" s="99"/>
      <c r="M431" s="99"/>
      <c r="N431" s="43">
        <f t="shared" si="6"/>
        <v>0</v>
      </c>
    </row>
    <row r="432" spans="2:14" ht="1.5" customHeight="1">
      <c r="B432" s="57"/>
      <c r="C432" s="60"/>
      <c r="D432" s="60"/>
      <c r="E432" s="60"/>
      <c r="F432" s="60"/>
      <c r="G432" s="60"/>
      <c r="J432" s="99"/>
      <c r="K432" s="99"/>
      <c r="L432" s="99"/>
      <c r="M432" s="99"/>
      <c r="N432" s="43">
        <f t="shared" si="6"/>
        <v>0</v>
      </c>
    </row>
    <row r="433" spans="2:14" ht="1.5" customHeight="1">
      <c r="B433" s="57"/>
      <c r="C433" s="60"/>
      <c r="D433" s="60"/>
      <c r="E433" s="60"/>
      <c r="F433" s="60"/>
      <c r="G433" s="60"/>
      <c r="J433" s="99"/>
      <c r="K433" s="99"/>
      <c r="L433" s="99"/>
      <c r="M433" s="99"/>
      <c r="N433" s="43">
        <f t="shared" si="6"/>
        <v>0</v>
      </c>
    </row>
    <row r="434" spans="2:14" ht="1.5" customHeight="1">
      <c r="B434" s="57"/>
      <c r="C434" s="60"/>
      <c r="D434" s="60"/>
      <c r="E434" s="60"/>
      <c r="F434" s="60"/>
      <c r="G434" s="60"/>
      <c r="J434" s="99"/>
      <c r="K434" s="99"/>
      <c r="L434" s="99"/>
      <c r="M434" s="99"/>
      <c r="N434" s="43">
        <f t="shared" si="6"/>
        <v>0</v>
      </c>
    </row>
    <row r="435" spans="2:14" ht="1.5" customHeight="1">
      <c r="B435" s="57"/>
      <c r="C435" s="60"/>
      <c r="D435" s="60"/>
      <c r="E435" s="60"/>
      <c r="F435" s="60"/>
      <c r="G435" s="60"/>
      <c r="J435" s="99"/>
      <c r="K435" s="99"/>
      <c r="L435" s="99"/>
      <c r="M435" s="99"/>
      <c r="N435" s="43">
        <f t="shared" si="6"/>
        <v>0</v>
      </c>
    </row>
    <row r="436" spans="2:14" ht="1.5" customHeight="1">
      <c r="B436" s="57"/>
      <c r="C436" s="60"/>
      <c r="D436" s="60"/>
      <c r="E436" s="60"/>
      <c r="F436" s="60"/>
      <c r="G436" s="60"/>
      <c r="J436" s="99"/>
      <c r="K436" s="99"/>
      <c r="L436" s="99"/>
      <c r="M436" s="99"/>
      <c r="N436" s="43">
        <f t="shared" si="6"/>
        <v>0</v>
      </c>
    </row>
    <row r="437" spans="2:14" ht="1.5" customHeight="1">
      <c r="B437" s="57"/>
      <c r="C437" s="60"/>
      <c r="D437" s="60"/>
      <c r="E437" s="60"/>
      <c r="F437" s="60"/>
      <c r="G437" s="60"/>
      <c r="J437" s="99"/>
      <c r="K437" s="99"/>
      <c r="L437" s="99"/>
      <c r="M437" s="99"/>
      <c r="N437" s="43">
        <f t="shared" si="6"/>
        <v>0</v>
      </c>
    </row>
    <row r="438" spans="2:14" ht="1.5" customHeight="1">
      <c r="B438" s="57"/>
      <c r="C438" s="60"/>
      <c r="D438" s="60"/>
      <c r="E438" s="60"/>
      <c r="F438" s="60"/>
      <c r="G438" s="60"/>
      <c r="J438" s="99"/>
      <c r="K438" s="99"/>
      <c r="L438" s="99"/>
      <c r="M438" s="99"/>
      <c r="N438" s="43">
        <f t="shared" si="6"/>
        <v>0</v>
      </c>
    </row>
    <row r="439" spans="2:14" ht="1.5" customHeight="1">
      <c r="B439" s="57"/>
      <c r="C439" s="60"/>
      <c r="D439" s="60"/>
      <c r="E439" s="60"/>
      <c r="F439" s="60"/>
      <c r="G439" s="60"/>
      <c r="J439" s="99"/>
      <c r="K439" s="99"/>
      <c r="L439" s="99"/>
      <c r="M439" s="99"/>
      <c r="N439" s="43">
        <f t="shared" si="6"/>
        <v>0</v>
      </c>
    </row>
    <row r="440" spans="2:14" ht="1.5" customHeight="1">
      <c r="B440" s="57"/>
      <c r="C440" s="60"/>
      <c r="D440" s="60"/>
      <c r="E440" s="60"/>
      <c r="F440" s="60"/>
      <c r="G440" s="60"/>
      <c r="J440" s="99"/>
      <c r="K440" s="99"/>
      <c r="L440" s="99"/>
      <c r="M440" s="99"/>
      <c r="N440" s="43">
        <f t="shared" si="6"/>
        <v>0</v>
      </c>
    </row>
    <row r="441" spans="2:14" ht="1.5" customHeight="1">
      <c r="B441" s="57"/>
      <c r="C441" s="60"/>
      <c r="D441" s="60"/>
      <c r="E441" s="60"/>
      <c r="F441" s="60"/>
      <c r="G441" s="60"/>
      <c r="J441" s="99"/>
      <c r="K441" s="99"/>
      <c r="L441" s="99"/>
      <c r="M441" s="99"/>
      <c r="N441" s="43">
        <f t="shared" si="6"/>
        <v>0</v>
      </c>
    </row>
    <row r="442" spans="2:14" ht="1.5" customHeight="1">
      <c r="B442" s="57"/>
      <c r="C442" s="60"/>
      <c r="D442" s="60"/>
      <c r="E442" s="60"/>
      <c r="F442" s="60"/>
      <c r="G442" s="60"/>
      <c r="J442" s="99"/>
      <c r="K442" s="99"/>
      <c r="L442" s="99"/>
      <c r="M442" s="99"/>
      <c r="N442" s="43">
        <f t="shared" si="6"/>
        <v>0</v>
      </c>
    </row>
    <row r="443" spans="2:14" ht="1.5" customHeight="1">
      <c r="B443" s="57"/>
      <c r="C443" s="60"/>
      <c r="D443" s="60"/>
      <c r="E443" s="60"/>
      <c r="F443" s="60"/>
      <c r="G443" s="60"/>
      <c r="J443" s="99"/>
      <c r="K443" s="99"/>
      <c r="L443" s="99"/>
      <c r="M443" s="99"/>
      <c r="N443" s="43">
        <f t="shared" si="6"/>
        <v>0</v>
      </c>
    </row>
    <row r="444" spans="2:14" ht="1.5" customHeight="1">
      <c r="B444" s="57"/>
      <c r="C444" s="60"/>
      <c r="D444" s="60"/>
      <c r="E444" s="60"/>
      <c r="F444" s="60"/>
      <c r="G444" s="60"/>
      <c r="J444" s="99"/>
      <c r="K444" s="99"/>
      <c r="L444" s="99"/>
      <c r="M444" s="99"/>
      <c r="N444" s="43">
        <f t="shared" si="6"/>
        <v>0</v>
      </c>
    </row>
    <row r="445" spans="2:14" ht="1.5" customHeight="1">
      <c r="B445" s="57"/>
      <c r="C445" s="60"/>
      <c r="D445" s="60"/>
      <c r="E445" s="60"/>
      <c r="F445" s="60"/>
      <c r="G445" s="60"/>
      <c r="J445" s="99"/>
      <c r="K445" s="99"/>
      <c r="L445" s="99"/>
      <c r="M445" s="99"/>
      <c r="N445" s="43">
        <f t="shared" si="6"/>
        <v>0</v>
      </c>
    </row>
    <row r="446" spans="2:14" ht="1.5" customHeight="1">
      <c r="B446" s="57"/>
      <c r="C446" s="60"/>
      <c r="D446" s="60"/>
      <c r="E446" s="60"/>
      <c r="F446" s="60"/>
      <c r="G446" s="60"/>
      <c r="J446" s="99"/>
      <c r="K446" s="99"/>
      <c r="L446" s="99"/>
      <c r="M446" s="99"/>
      <c r="N446" s="43">
        <f t="shared" si="6"/>
        <v>0</v>
      </c>
    </row>
    <row r="447" spans="2:14" ht="1.5" customHeight="1">
      <c r="B447" s="57"/>
      <c r="C447" s="60"/>
      <c r="D447" s="60"/>
      <c r="E447" s="60"/>
      <c r="F447" s="60"/>
      <c r="G447" s="60"/>
      <c r="J447" s="99"/>
      <c r="K447" s="99"/>
      <c r="L447" s="99"/>
      <c r="M447" s="99"/>
      <c r="N447" s="43">
        <f t="shared" si="6"/>
        <v>0</v>
      </c>
    </row>
    <row r="448" spans="2:14" ht="1.5" customHeight="1">
      <c r="B448" s="57"/>
      <c r="C448" s="60"/>
      <c r="D448" s="60"/>
      <c r="E448" s="60"/>
      <c r="F448" s="60"/>
      <c r="G448" s="60"/>
      <c r="J448" s="99"/>
      <c r="K448" s="99"/>
      <c r="L448" s="99"/>
      <c r="M448" s="99"/>
      <c r="N448" s="43">
        <f t="shared" si="6"/>
        <v>0</v>
      </c>
    </row>
    <row r="449" spans="2:14" ht="1.5" customHeight="1">
      <c r="B449" s="57"/>
      <c r="C449" s="60"/>
      <c r="D449" s="60"/>
      <c r="E449" s="60"/>
      <c r="F449" s="60"/>
      <c r="G449" s="60"/>
      <c r="J449" s="99"/>
      <c r="K449" s="99"/>
      <c r="L449" s="99"/>
      <c r="M449" s="99"/>
      <c r="N449" s="43">
        <f t="shared" si="6"/>
        <v>0</v>
      </c>
    </row>
    <row r="450" spans="2:14" ht="1.5" customHeight="1">
      <c r="B450" s="57"/>
      <c r="C450" s="60"/>
      <c r="D450" s="60"/>
      <c r="E450" s="60"/>
      <c r="F450" s="60"/>
      <c r="G450" s="60"/>
      <c r="J450" s="99"/>
      <c r="K450" s="99"/>
      <c r="L450" s="99"/>
      <c r="M450" s="99"/>
      <c r="N450" s="43">
        <f t="shared" si="6"/>
        <v>0</v>
      </c>
    </row>
    <row r="451" spans="2:14" ht="1.5" customHeight="1">
      <c r="B451" s="57"/>
      <c r="C451" s="60"/>
      <c r="D451" s="60"/>
      <c r="E451" s="60"/>
      <c r="F451" s="60"/>
      <c r="G451" s="60"/>
      <c r="J451" s="99"/>
      <c r="K451" s="99"/>
      <c r="L451" s="99"/>
      <c r="M451" s="99"/>
      <c r="N451" s="43">
        <f t="shared" si="6"/>
        <v>0</v>
      </c>
    </row>
    <row r="452" spans="2:14" ht="1.5" customHeight="1">
      <c r="B452" s="57"/>
      <c r="C452" s="60"/>
      <c r="D452" s="60"/>
      <c r="E452" s="60"/>
      <c r="F452" s="60"/>
      <c r="G452" s="60"/>
      <c r="J452" s="99"/>
      <c r="K452" s="99"/>
      <c r="L452" s="99"/>
      <c r="M452" s="99"/>
      <c r="N452" s="43">
        <f t="shared" si="6"/>
        <v>0</v>
      </c>
    </row>
    <row r="453" spans="2:14" ht="1.5" customHeight="1">
      <c r="B453" s="57"/>
      <c r="C453" s="60"/>
      <c r="D453" s="60"/>
      <c r="E453" s="60"/>
      <c r="F453" s="60"/>
      <c r="G453" s="60"/>
      <c r="J453" s="99"/>
      <c r="K453" s="99"/>
      <c r="L453" s="99"/>
      <c r="M453" s="99"/>
      <c r="N453" s="43">
        <f t="shared" si="6"/>
        <v>0</v>
      </c>
    </row>
    <row r="454" spans="2:14" ht="1.5" customHeight="1">
      <c r="B454" s="57"/>
      <c r="C454" s="60"/>
      <c r="D454" s="60"/>
      <c r="E454" s="60"/>
      <c r="F454" s="60"/>
      <c r="G454" s="60"/>
      <c r="J454" s="99"/>
      <c r="K454" s="99"/>
      <c r="L454" s="99"/>
      <c r="M454" s="99"/>
      <c r="N454" s="43">
        <f t="shared" si="6"/>
        <v>0</v>
      </c>
    </row>
    <row r="455" spans="2:14" ht="1.5" customHeight="1">
      <c r="B455" s="57"/>
      <c r="C455" s="60"/>
      <c r="D455" s="60"/>
      <c r="E455" s="60"/>
      <c r="F455" s="60"/>
      <c r="G455" s="60"/>
      <c r="J455" s="99"/>
      <c r="K455" s="99"/>
      <c r="L455" s="99"/>
      <c r="M455" s="99"/>
      <c r="N455" s="43">
        <f t="shared" si="6"/>
        <v>0</v>
      </c>
    </row>
    <row r="456" spans="2:14" ht="1.5" customHeight="1">
      <c r="B456" s="57"/>
      <c r="C456" s="60"/>
      <c r="D456" s="60"/>
      <c r="E456" s="60"/>
      <c r="F456" s="60"/>
      <c r="G456" s="60"/>
      <c r="J456" s="99"/>
      <c r="K456" s="99"/>
      <c r="L456" s="99"/>
      <c r="M456" s="99"/>
      <c r="N456" s="43">
        <f t="shared" si="6"/>
        <v>0</v>
      </c>
    </row>
    <row r="457" spans="2:14" ht="1.5" customHeight="1">
      <c r="B457" s="57"/>
      <c r="C457" s="60"/>
      <c r="D457" s="60"/>
      <c r="E457" s="60"/>
      <c r="F457" s="60"/>
      <c r="G457" s="60"/>
      <c r="J457" s="99"/>
      <c r="K457" s="99"/>
      <c r="L457" s="99"/>
      <c r="M457" s="99"/>
      <c r="N457" s="43">
        <f t="shared" si="6"/>
        <v>0</v>
      </c>
    </row>
    <row r="458" spans="2:14" ht="1.5" customHeight="1">
      <c r="B458" s="57"/>
      <c r="C458" s="60"/>
      <c r="D458" s="60"/>
      <c r="E458" s="60"/>
      <c r="F458" s="60"/>
      <c r="G458" s="60"/>
      <c r="J458" s="99"/>
      <c r="K458" s="99"/>
      <c r="L458" s="99"/>
      <c r="M458" s="99"/>
      <c r="N458" s="43">
        <f t="shared" si="6"/>
        <v>0</v>
      </c>
    </row>
    <row r="459" spans="2:14" ht="1.5" customHeight="1">
      <c r="B459" s="57"/>
      <c r="C459" s="60"/>
      <c r="D459" s="60"/>
      <c r="E459" s="60"/>
      <c r="F459" s="60"/>
      <c r="G459" s="60"/>
      <c r="J459" s="99"/>
      <c r="K459" s="99"/>
      <c r="L459" s="99"/>
      <c r="M459" s="99"/>
      <c r="N459" s="43">
        <f t="shared" ref="N459:N522" si="7">IF($L$4=$C$10,C459,IF(D459="","",B459))</f>
        <v>0</v>
      </c>
    </row>
    <row r="460" spans="2:14" ht="1.5" customHeight="1">
      <c r="B460" s="57"/>
      <c r="C460" s="60"/>
      <c r="D460" s="60"/>
      <c r="E460" s="60"/>
      <c r="F460" s="60"/>
      <c r="G460" s="60"/>
      <c r="J460" s="99"/>
      <c r="K460" s="99"/>
      <c r="L460" s="99"/>
      <c r="M460" s="99"/>
      <c r="N460" s="43">
        <f t="shared" si="7"/>
        <v>0</v>
      </c>
    </row>
    <row r="461" spans="2:14" ht="1.5" customHeight="1">
      <c r="B461" s="57"/>
      <c r="C461" s="60"/>
      <c r="D461" s="60"/>
      <c r="E461" s="60"/>
      <c r="F461" s="60"/>
      <c r="G461" s="60"/>
      <c r="J461" s="99"/>
      <c r="K461" s="99"/>
      <c r="L461" s="99"/>
      <c r="M461" s="99"/>
      <c r="N461" s="43">
        <f t="shared" si="7"/>
        <v>0</v>
      </c>
    </row>
    <row r="462" spans="2:14" ht="1.5" customHeight="1">
      <c r="B462" s="57"/>
      <c r="C462" s="60"/>
      <c r="D462" s="60"/>
      <c r="E462" s="60"/>
      <c r="F462" s="60"/>
      <c r="G462" s="60"/>
      <c r="J462" s="99"/>
      <c r="K462" s="99"/>
      <c r="L462" s="99"/>
      <c r="M462" s="99"/>
      <c r="N462" s="43">
        <f t="shared" si="7"/>
        <v>0</v>
      </c>
    </row>
    <row r="463" spans="2:14" ht="1.5" customHeight="1">
      <c r="B463" s="57"/>
      <c r="C463" s="60"/>
      <c r="D463" s="60"/>
      <c r="E463" s="60"/>
      <c r="F463" s="60"/>
      <c r="G463" s="60"/>
      <c r="J463" s="99"/>
      <c r="K463" s="99"/>
      <c r="L463" s="99"/>
      <c r="M463" s="99"/>
      <c r="N463" s="43">
        <f t="shared" si="7"/>
        <v>0</v>
      </c>
    </row>
    <row r="464" spans="2:14" ht="1.5" customHeight="1">
      <c r="B464" s="57"/>
      <c r="C464" s="60"/>
      <c r="D464" s="60"/>
      <c r="E464" s="60"/>
      <c r="F464" s="60"/>
      <c r="G464" s="60"/>
      <c r="J464" s="99"/>
      <c r="K464" s="99"/>
      <c r="L464" s="99"/>
      <c r="M464" s="99"/>
      <c r="N464" s="43">
        <f t="shared" si="7"/>
        <v>0</v>
      </c>
    </row>
    <row r="465" spans="2:14" ht="1.5" customHeight="1">
      <c r="B465" s="57"/>
      <c r="C465" s="60"/>
      <c r="D465" s="60"/>
      <c r="E465" s="60"/>
      <c r="F465" s="60"/>
      <c r="G465" s="60"/>
      <c r="J465" s="99"/>
      <c r="K465" s="99"/>
      <c r="L465" s="99"/>
      <c r="M465" s="99"/>
      <c r="N465" s="43">
        <f t="shared" si="7"/>
        <v>0</v>
      </c>
    </row>
    <row r="466" spans="2:14" ht="1.5" customHeight="1">
      <c r="B466" s="57"/>
      <c r="C466" s="60"/>
      <c r="D466" s="60"/>
      <c r="E466" s="60"/>
      <c r="F466" s="60"/>
      <c r="G466" s="60"/>
      <c r="J466" s="99"/>
      <c r="K466" s="99"/>
      <c r="L466" s="99"/>
      <c r="M466" s="99"/>
      <c r="N466" s="43">
        <f t="shared" si="7"/>
        <v>0</v>
      </c>
    </row>
    <row r="467" spans="2:14" ht="1.5" customHeight="1">
      <c r="B467" s="57"/>
      <c r="C467" s="60"/>
      <c r="D467" s="60"/>
      <c r="E467" s="60"/>
      <c r="F467" s="60"/>
      <c r="G467" s="60"/>
      <c r="J467" s="99"/>
      <c r="K467" s="99"/>
      <c r="L467" s="99"/>
      <c r="M467" s="99"/>
      <c r="N467" s="43">
        <f t="shared" si="7"/>
        <v>0</v>
      </c>
    </row>
    <row r="468" spans="2:14" ht="1.5" customHeight="1">
      <c r="B468" s="57"/>
      <c r="C468" s="60"/>
      <c r="D468" s="60"/>
      <c r="E468" s="60"/>
      <c r="F468" s="60"/>
      <c r="G468" s="60"/>
      <c r="J468" s="99"/>
      <c r="K468" s="99"/>
      <c r="L468" s="99"/>
      <c r="M468" s="99"/>
      <c r="N468" s="43">
        <f t="shared" si="7"/>
        <v>0</v>
      </c>
    </row>
    <row r="469" spans="2:14" ht="1.5" customHeight="1">
      <c r="B469" s="57"/>
      <c r="C469" s="60"/>
      <c r="D469" s="60"/>
      <c r="E469" s="60"/>
      <c r="F469" s="60"/>
      <c r="G469" s="60"/>
      <c r="J469" s="99"/>
      <c r="K469" s="99"/>
      <c r="L469" s="99"/>
      <c r="M469" s="99"/>
      <c r="N469" s="43">
        <f t="shared" si="7"/>
        <v>0</v>
      </c>
    </row>
    <row r="470" spans="2:14" ht="1.5" customHeight="1">
      <c r="B470" s="57"/>
      <c r="C470" s="60"/>
      <c r="D470" s="60"/>
      <c r="E470" s="60"/>
      <c r="F470" s="60"/>
      <c r="G470" s="60"/>
      <c r="J470" s="99"/>
      <c r="K470" s="99"/>
      <c r="L470" s="99"/>
      <c r="M470" s="99"/>
      <c r="N470" s="43">
        <f t="shared" si="7"/>
        <v>0</v>
      </c>
    </row>
    <row r="471" spans="2:14" ht="1.5" customHeight="1">
      <c r="B471" s="57"/>
      <c r="C471" s="60"/>
      <c r="D471" s="60"/>
      <c r="E471" s="60"/>
      <c r="F471" s="60"/>
      <c r="G471" s="60"/>
      <c r="J471" s="99"/>
      <c r="K471" s="99"/>
      <c r="L471" s="99"/>
      <c r="M471" s="99"/>
      <c r="N471" s="43">
        <f t="shared" si="7"/>
        <v>0</v>
      </c>
    </row>
    <row r="472" spans="2:14" ht="1.5" customHeight="1">
      <c r="B472" s="57"/>
      <c r="C472" s="60"/>
      <c r="D472" s="60"/>
      <c r="E472" s="60"/>
      <c r="F472" s="60"/>
      <c r="G472" s="60"/>
      <c r="J472" s="99"/>
      <c r="K472" s="99"/>
      <c r="L472" s="99"/>
      <c r="M472" s="99"/>
      <c r="N472" s="43">
        <f t="shared" si="7"/>
        <v>0</v>
      </c>
    </row>
    <row r="473" spans="2:14" ht="1.5" customHeight="1">
      <c r="B473" s="57"/>
      <c r="C473" s="60"/>
      <c r="D473" s="60"/>
      <c r="E473" s="60"/>
      <c r="F473" s="60"/>
      <c r="G473" s="60"/>
      <c r="J473" s="99"/>
      <c r="K473" s="99"/>
      <c r="L473" s="99"/>
      <c r="M473" s="99"/>
      <c r="N473" s="43">
        <f t="shared" si="7"/>
        <v>0</v>
      </c>
    </row>
    <row r="474" spans="2:14" ht="1.5" customHeight="1">
      <c r="B474" s="57"/>
      <c r="C474" s="60"/>
      <c r="D474" s="60"/>
      <c r="E474" s="60"/>
      <c r="F474" s="60"/>
      <c r="G474" s="60"/>
      <c r="J474" s="99"/>
      <c r="K474" s="99"/>
      <c r="L474" s="99"/>
      <c r="M474" s="99"/>
      <c r="N474" s="43">
        <f t="shared" si="7"/>
        <v>0</v>
      </c>
    </row>
    <row r="475" spans="2:14" ht="1.5" customHeight="1">
      <c r="B475" s="57"/>
      <c r="C475" s="60"/>
      <c r="D475" s="60"/>
      <c r="E475" s="60"/>
      <c r="F475" s="60"/>
      <c r="G475" s="60"/>
      <c r="J475" s="99"/>
      <c r="K475" s="99"/>
      <c r="L475" s="99"/>
      <c r="M475" s="99"/>
      <c r="N475" s="43">
        <f t="shared" si="7"/>
        <v>0</v>
      </c>
    </row>
    <row r="476" spans="2:14" ht="1.5" customHeight="1">
      <c r="B476" s="57"/>
      <c r="C476" s="60"/>
      <c r="D476" s="60"/>
      <c r="E476" s="60"/>
      <c r="F476" s="60"/>
      <c r="G476" s="60"/>
      <c r="J476" s="99"/>
      <c r="K476" s="99"/>
      <c r="L476" s="99"/>
      <c r="M476" s="99"/>
      <c r="N476" s="43">
        <f t="shared" si="7"/>
        <v>0</v>
      </c>
    </row>
    <row r="477" spans="2:14" ht="1.5" customHeight="1">
      <c r="B477" s="57"/>
      <c r="C477" s="60"/>
      <c r="D477" s="60"/>
      <c r="E477" s="60"/>
      <c r="F477" s="60"/>
      <c r="G477" s="60"/>
      <c r="J477" s="99"/>
      <c r="K477" s="99"/>
      <c r="L477" s="99"/>
      <c r="M477" s="99"/>
      <c r="N477" s="43">
        <f t="shared" si="7"/>
        <v>0</v>
      </c>
    </row>
    <row r="478" spans="2:14" ht="1.5" customHeight="1">
      <c r="B478" s="57"/>
      <c r="C478" s="60"/>
      <c r="D478" s="60"/>
      <c r="E478" s="60"/>
      <c r="F478" s="60"/>
      <c r="G478" s="60"/>
      <c r="J478" s="99"/>
      <c r="K478" s="99"/>
      <c r="L478" s="99"/>
      <c r="M478" s="99"/>
      <c r="N478" s="43">
        <f t="shared" si="7"/>
        <v>0</v>
      </c>
    </row>
    <row r="479" spans="2:14" ht="1.5" customHeight="1">
      <c r="B479" s="57"/>
      <c r="C479" s="60"/>
      <c r="D479" s="60"/>
      <c r="E479" s="60"/>
      <c r="F479" s="60"/>
      <c r="G479" s="60"/>
      <c r="J479" s="99"/>
      <c r="K479" s="99"/>
      <c r="L479" s="99"/>
      <c r="M479" s="99"/>
      <c r="N479" s="43">
        <f t="shared" si="7"/>
        <v>0</v>
      </c>
    </row>
    <row r="480" spans="2:14" ht="1.5" customHeight="1">
      <c r="B480" s="57"/>
      <c r="C480" s="60"/>
      <c r="D480" s="60"/>
      <c r="E480" s="60"/>
      <c r="F480" s="60"/>
      <c r="G480" s="60"/>
      <c r="J480" s="99"/>
      <c r="K480" s="99"/>
      <c r="L480" s="99"/>
      <c r="M480" s="99"/>
      <c r="N480" s="43">
        <f t="shared" si="7"/>
        <v>0</v>
      </c>
    </row>
    <row r="481" spans="2:14" ht="1.5" customHeight="1">
      <c r="B481" s="57"/>
      <c r="C481" s="60"/>
      <c r="D481" s="60"/>
      <c r="E481" s="60"/>
      <c r="F481" s="60"/>
      <c r="G481" s="60"/>
      <c r="J481" s="99"/>
      <c r="K481" s="99"/>
      <c r="L481" s="99"/>
      <c r="M481" s="99"/>
      <c r="N481" s="43">
        <f t="shared" si="7"/>
        <v>0</v>
      </c>
    </row>
    <row r="482" spans="2:14" ht="1.5" customHeight="1">
      <c r="B482" s="57"/>
      <c r="C482" s="60"/>
      <c r="D482" s="60"/>
      <c r="E482" s="60"/>
      <c r="F482" s="60"/>
      <c r="G482" s="60"/>
      <c r="J482" s="99"/>
      <c r="K482" s="99"/>
      <c r="L482" s="99"/>
      <c r="M482" s="99"/>
      <c r="N482" s="43">
        <f t="shared" si="7"/>
        <v>0</v>
      </c>
    </row>
    <row r="483" spans="2:14" ht="1.5" customHeight="1">
      <c r="B483" s="57"/>
      <c r="C483" s="60"/>
      <c r="D483" s="60"/>
      <c r="E483" s="60"/>
      <c r="F483" s="60"/>
      <c r="G483" s="60"/>
      <c r="J483" s="99"/>
      <c r="K483" s="99"/>
      <c r="L483" s="99"/>
      <c r="M483" s="99"/>
      <c r="N483" s="43">
        <f t="shared" si="7"/>
        <v>0</v>
      </c>
    </row>
    <row r="484" spans="2:14" ht="1.5" customHeight="1">
      <c r="B484" s="57"/>
      <c r="C484" s="60"/>
      <c r="D484" s="60"/>
      <c r="E484" s="60"/>
      <c r="F484" s="60"/>
      <c r="G484" s="60"/>
      <c r="J484" s="99"/>
      <c r="K484" s="99"/>
      <c r="L484" s="99"/>
      <c r="M484" s="99"/>
      <c r="N484" s="43">
        <f t="shared" si="7"/>
        <v>0</v>
      </c>
    </row>
    <row r="485" spans="2:14" ht="1.5" customHeight="1">
      <c r="B485" s="57"/>
      <c r="C485" s="60"/>
      <c r="D485" s="60"/>
      <c r="E485" s="60"/>
      <c r="F485" s="60"/>
      <c r="G485" s="60"/>
      <c r="J485" s="99"/>
      <c r="K485" s="99"/>
      <c r="L485" s="99"/>
      <c r="M485" s="99"/>
      <c r="N485" s="43">
        <f t="shared" si="7"/>
        <v>0</v>
      </c>
    </row>
    <row r="486" spans="2:14" ht="1.5" customHeight="1">
      <c r="B486" s="57"/>
      <c r="C486" s="60"/>
      <c r="D486" s="60"/>
      <c r="E486" s="60"/>
      <c r="F486" s="60"/>
      <c r="G486" s="60"/>
      <c r="J486" s="99"/>
      <c r="K486" s="99"/>
      <c r="L486" s="99"/>
      <c r="M486" s="99"/>
      <c r="N486" s="43">
        <f t="shared" si="7"/>
        <v>0</v>
      </c>
    </row>
    <row r="487" spans="2:14" ht="1.5" customHeight="1">
      <c r="B487" s="57"/>
      <c r="C487" s="60"/>
      <c r="D487" s="60"/>
      <c r="E487" s="60"/>
      <c r="F487" s="60"/>
      <c r="G487" s="60"/>
      <c r="J487" s="99"/>
      <c r="K487" s="99"/>
      <c r="L487" s="99"/>
      <c r="M487" s="99"/>
      <c r="N487" s="43">
        <f t="shared" si="7"/>
        <v>0</v>
      </c>
    </row>
    <row r="488" spans="2:14" ht="1.5" customHeight="1">
      <c r="B488" s="57"/>
      <c r="C488" s="60"/>
      <c r="D488" s="60"/>
      <c r="E488" s="60"/>
      <c r="F488" s="60"/>
      <c r="G488" s="60"/>
      <c r="J488" s="99"/>
      <c r="K488" s="99"/>
      <c r="L488" s="99"/>
      <c r="M488" s="99"/>
      <c r="N488" s="43">
        <f t="shared" si="7"/>
        <v>0</v>
      </c>
    </row>
    <row r="489" spans="2:14" ht="1.5" customHeight="1">
      <c r="B489" s="57"/>
      <c r="C489" s="60"/>
      <c r="D489" s="60"/>
      <c r="E489" s="60"/>
      <c r="F489" s="60"/>
      <c r="G489" s="60"/>
      <c r="J489" s="99"/>
      <c r="K489" s="99"/>
      <c r="L489" s="99"/>
      <c r="M489" s="99"/>
      <c r="N489" s="43">
        <f t="shared" si="7"/>
        <v>0</v>
      </c>
    </row>
    <row r="490" spans="2:14" ht="1.5" customHeight="1">
      <c r="B490" s="57"/>
      <c r="C490" s="60"/>
      <c r="D490" s="60"/>
      <c r="E490" s="60"/>
      <c r="F490" s="60"/>
      <c r="G490" s="60"/>
      <c r="J490" s="99"/>
      <c r="K490" s="99"/>
      <c r="L490" s="99"/>
      <c r="M490" s="99"/>
      <c r="N490" s="43">
        <f t="shared" si="7"/>
        <v>0</v>
      </c>
    </row>
    <row r="491" spans="2:14" ht="1.5" customHeight="1">
      <c r="B491" s="57"/>
      <c r="C491" s="60"/>
      <c r="D491" s="60"/>
      <c r="E491" s="60"/>
      <c r="F491" s="60"/>
      <c r="G491" s="60"/>
      <c r="J491" s="99"/>
      <c r="K491" s="99"/>
      <c r="L491" s="99"/>
      <c r="M491" s="99"/>
      <c r="N491" s="43">
        <f t="shared" si="7"/>
        <v>0</v>
      </c>
    </row>
    <row r="492" spans="2:14" ht="1.5" customHeight="1">
      <c r="B492" s="57"/>
      <c r="C492" s="60"/>
      <c r="D492" s="60"/>
      <c r="E492" s="60"/>
      <c r="F492" s="60"/>
      <c r="G492" s="60"/>
      <c r="J492" s="99"/>
      <c r="K492" s="99"/>
      <c r="L492" s="99"/>
      <c r="M492" s="99"/>
      <c r="N492" s="43">
        <f t="shared" si="7"/>
        <v>0</v>
      </c>
    </row>
    <row r="493" spans="2:14" ht="1.5" customHeight="1">
      <c r="B493" s="57"/>
      <c r="C493" s="60"/>
      <c r="D493" s="60"/>
      <c r="E493" s="60"/>
      <c r="F493" s="60"/>
      <c r="G493" s="60"/>
      <c r="J493" s="99"/>
      <c r="K493" s="99"/>
      <c r="L493" s="99"/>
      <c r="M493" s="99"/>
      <c r="N493" s="43">
        <f t="shared" si="7"/>
        <v>0</v>
      </c>
    </row>
    <row r="494" spans="2:14" ht="1.5" customHeight="1">
      <c r="B494" s="57"/>
      <c r="C494" s="60"/>
      <c r="D494" s="60"/>
      <c r="E494" s="60"/>
      <c r="F494" s="60"/>
      <c r="G494" s="60"/>
      <c r="J494" s="99"/>
      <c r="K494" s="99"/>
      <c r="L494" s="99"/>
      <c r="M494" s="99"/>
      <c r="N494" s="43">
        <f t="shared" si="7"/>
        <v>0</v>
      </c>
    </row>
    <row r="495" spans="2:14" ht="1.5" customHeight="1">
      <c r="B495" s="57"/>
      <c r="C495" s="60"/>
      <c r="D495" s="60"/>
      <c r="E495" s="60"/>
      <c r="F495" s="60"/>
      <c r="G495" s="60"/>
      <c r="J495" s="99"/>
      <c r="K495" s="99"/>
      <c r="L495" s="99"/>
      <c r="M495" s="99"/>
      <c r="N495" s="43">
        <f t="shared" si="7"/>
        <v>0</v>
      </c>
    </row>
    <row r="496" spans="2:14" ht="1.5" customHeight="1">
      <c r="B496" s="57"/>
      <c r="C496" s="60"/>
      <c r="D496" s="60"/>
      <c r="E496" s="60"/>
      <c r="F496" s="60"/>
      <c r="G496" s="60"/>
      <c r="J496" s="99"/>
      <c r="K496" s="99"/>
      <c r="L496" s="99"/>
      <c r="M496" s="99"/>
      <c r="N496" s="43">
        <f t="shared" si="7"/>
        <v>0</v>
      </c>
    </row>
    <row r="497" spans="2:14" ht="1.5" customHeight="1">
      <c r="B497" s="57"/>
      <c r="C497" s="60"/>
      <c r="D497" s="60"/>
      <c r="E497" s="60"/>
      <c r="F497" s="60"/>
      <c r="G497" s="60"/>
      <c r="J497" s="99"/>
      <c r="K497" s="99"/>
      <c r="L497" s="99"/>
      <c r="M497" s="99"/>
      <c r="N497" s="43">
        <f t="shared" si="7"/>
        <v>0</v>
      </c>
    </row>
    <row r="498" spans="2:14" ht="1.5" customHeight="1">
      <c r="B498" s="57"/>
      <c r="C498" s="60"/>
      <c r="D498" s="60"/>
      <c r="E498" s="60"/>
      <c r="F498" s="60"/>
      <c r="G498" s="60"/>
      <c r="J498" s="99"/>
      <c r="K498" s="99"/>
      <c r="L498" s="99"/>
      <c r="M498" s="99"/>
      <c r="N498" s="43">
        <f t="shared" si="7"/>
        <v>0</v>
      </c>
    </row>
    <row r="499" spans="2:14" ht="1.5" customHeight="1">
      <c r="B499" s="57"/>
      <c r="C499" s="60"/>
      <c r="D499" s="60"/>
      <c r="E499" s="60"/>
      <c r="F499" s="60"/>
      <c r="G499" s="60"/>
      <c r="J499" s="99"/>
      <c r="K499" s="99"/>
      <c r="L499" s="99"/>
      <c r="M499" s="99"/>
      <c r="N499" s="43">
        <f t="shared" si="7"/>
        <v>0</v>
      </c>
    </row>
    <row r="500" spans="2:14" ht="1.5" customHeight="1">
      <c r="B500" s="57"/>
      <c r="C500" s="60"/>
      <c r="D500" s="60"/>
      <c r="E500" s="60"/>
      <c r="F500" s="60"/>
      <c r="G500" s="60"/>
      <c r="J500" s="99"/>
      <c r="K500" s="99"/>
      <c r="L500" s="99"/>
      <c r="M500" s="99"/>
      <c r="N500" s="43">
        <f t="shared" si="7"/>
        <v>0</v>
      </c>
    </row>
    <row r="501" spans="2:14" ht="1.5" customHeight="1">
      <c r="B501" s="57"/>
      <c r="C501" s="60"/>
      <c r="D501" s="60"/>
      <c r="E501" s="60"/>
      <c r="F501" s="60"/>
      <c r="G501" s="60"/>
      <c r="J501" s="99"/>
      <c r="K501" s="99"/>
      <c r="L501" s="99"/>
      <c r="M501" s="99"/>
      <c r="N501" s="43">
        <f t="shared" si="7"/>
        <v>0</v>
      </c>
    </row>
    <row r="502" spans="2:14" ht="1.5" customHeight="1">
      <c r="B502" s="57"/>
      <c r="C502" s="60"/>
      <c r="D502" s="60"/>
      <c r="E502" s="60"/>
      <c r="F502" s="60"/>
      <c r="G502" s="60"/>
      <c r="J502" s="99"/>
      <c r="K502" s="99"/>
      <c r="L502" s="99"/>
      <c r="M502" s="99"/>
      <c r="N502" s="43">
        <f t="shared" si="7"/>
        <v>0</v>
      </c>
    </row>
    <row r="503" spans="2:14" ht="1.5" customHeight="1">
      <c r="B503" s="57"/>
      <c r="C503" s="60"/>
      <c r="D503" s="60"/>
      <c r="E503" s="60"/>
      <c r="F503" s="60"/>
      <c r="G503" s="60"/>
      <c r="J503" s="99"/>
      <c r="K503" s="99"/>
      <c r="L503" s="99"/>
      <c r="M503" s="99"/>
      <c r="N503" s="43">
        <f t="shared" si="7"/>
        <v>0</v>
      </c>
    </row>
    <row r="504" spans="2:14" ht="1.5" customHeight="1">
      <c r="B504" s="57"/>
      <c r="C504" s="60"/>
      <c r="D504" s="60"/>
      <c r="E504" s="60"/>
      <c r="F504" s="60"/>
      <c r="G504" s="60"/>
      <c r="J504" s="99"/>
      <c r="K504" s="99"/>
      <c r="L504" s="99"/>
      <c r="M504" s="99"/>
      <c r="N504" s="43">
        <f t="shared" si="7"/>
        <v>0</v>
      </c>
    </row>
    <row r="505" spans="2:14" ht="1.5" customHeight="1">
      <c r="B505" s="57"/>
      <c r="C505" s="60"/>
      <c r="D505" s="60"/>
      <c r="E505" s="60"/>
      <c r="F505" s="60"/>
      <c r="G505" s="60"/>
      <c r="J505" s="99"/>
      <c r="K505" s="99"/>
      <c r="L505" s="99"/>
      <c r="M505" s="99"/>
      <c r="N505" s="43">
        <f t="shared" si="7"/>
        <v>0</v>
      </c>
    </row>
    <row r="506" spans="2:14" ht="1.5" customHeight="1">
      <c r="B506" s="57"/>
      <c r="C506" s="60"/>
      <c r="D506" s="60"/>
      <c r="E506" s="60"/>
      <c r="F506" s="60"/>
      <c r="G506" s="60"/>
      <c r="J506" s="99"/>
      <c r="K506" s="99"/>
      <c r="L506" s="99"/>
      <c r="M506" s="99"/>
      <c r="N506" s="43">
        <f t="shared" si="7"/>
        <v>0</v>
      </c>
    </row>
    <row r="507" spans="2:14" ht="1.5" customHeight="1">
      <c r="B507" s="57"/>
      <c r="C507" s="60"/>
      <c r="D507" s="60"/>
      <c r="E507" s="60"/>
      <c r="F507" s="60"/>
      <c r="G507" s="60"/>
      <c r="J507" s="99"/>
      <c r="K507" s="99"/>
      <c r="L507" s="99"/>
      <c r="M507" s="99"/>
      <c r="N507" s="43">
        <f t="shared" si="7"/>
        <v>0</v>
      </c>
    </row>
    <row r="508" spans="2:14" ht="1.5" customHeight="1">
      <c r="B508" s="57"/>
      <c r="C508" s="60"/>
      <c r="D508" s="60"/>
      <c r="E508" s="60"/>
      <c r="F508" s="60"/>
      <c r="G508" s="60"/>
      <c r="J508" s="99"/>
      <c r="K508" s="99"/>
      <c r="L508" s="99"/>
      <c r="M508" s="99"/>
      <c r="N508" s="43">
        <f t="shared" si="7"/>
        <v>0</v>
      </c>
    </row>
    <row r="509" spans="2:14" ht="1.5" customHeight="1">
      <c r="B509" s="57"/>
      <c r="C509" s="60"/>
      <c r="D509" s="60"/>
      <c r="E509" s="60"/>
      <c r="F509" s="60"/>
      <c r="G509" s="60"/>
      <c r="J509" s="99"/>
      <c r="K509" s="99"/>
      <c r="L509" s="99"/>
      <c r="M509" s="99"/>
      <c r="N509" s="43">
        <f t="shared" si="7"/>
        <v>0</v>
      </c>
    </row>
    <row r="510" spans="2:14" ht="1.5" customHeight="1">
      <c r="B510" s="57"/>
      <c r="C510" s="60"/>
      <c r="D510" s="60"/>
      <c r="E510" s="60"/>
      <c r="F510" s="60"/>
      <c r="G510" s="60"/>
      <c r="J510" s="99"/>
      <c r="K510" s="99"/>
      <c r="L510" s="99"/>
      <c r="M510" s="99"/>
      <c r="N510" s="43">
        <f t="shared" si="7"/>
        <v>0</v>
      </c>
    </row>
    <row r="511" spans="2:14" ht="1.5" customHeight="1">
      <c r="B511" s="57"/>
      <c r="C511" s="60"/>
      <c r="D511" s="60"/>
      <c r="E511" s="60"/>
      <c r="F511" s="60"/>
      <c r="G511" s="60"/>
      <c r="J511" s="99"/>
      <c r="K511" s="99"/>
      <c r="L511" s="99"/>
      <c r="M511" s="99"/>
      <c r="N511" s="43">
        <f t="shared" si="7"/>
        <v>0</v>
      </c>
    </row>
    <row r="512" spans="2:14" ht="1.5" customHeight="1">
      <c r="B512" s="57"/>
      <c r="C512" s="60"/>
      <c r="D512" s="60"/>
      <c r="E512" s="60"/>
      <c r="F512" s="60"/>
      <c r="G512" s="60"/>
      <c r="J512" s="99"/>
      <c r="K512" s="99"/>
      <c r="L512" s="99"/>
      <c r="M512" s="99"/>
      <c r="N512" s="43">
        <f t="shared" si="7"/>
        <v>0</v>
      </c>
    </row>
    <row r="513" spans="2:14" ht="1.5" customHeight="1">
      <c r="B513" s="57"/>
      <c r="C513" s="60"/>
      <c r="D513" s="60"/>
      <c r="E513" s="60"/>
      <c r="F513" s="60"/>
      <c r="G513" s="60"/>
      <c r="J513" s="99"/>
      <c r="K513" s="99"/>
      <c r="L513" s="99"/>
      <c r="M513" s="99"/>
      <c r="N513" s="43">
        <f t="shared" si="7"/>
        <v>0</v>
      </c>
    </row>
    <row r="514" spans="2:14" ht="1.5" customHeight="1">
      <c r="B514" s="57"/>
      <c r="C514" s="60"/>
      <c r="D514" s="60"/>
      <c r="E514" s="60"/>
      <c r="F514" s="60"/>
      <c r="G514" s="60"/>
      <c r="J514" s="99"/>
      <c r="K514" s="99"/>
      <c r="L514" s="99"/>
      <c r="M514" s="99"/>
      <c r="N514" s="43">
        <f t="shared" si="7"/>
        <v>0</v>
      </c>
    </row>
    <row r="515" spans="2:14" ht="1.5" customHeight="1">
      <c r="B515" s="57"/>
      <c r="C515" s="60"/>
      <c r="D515" s="60"/>
      <c r="E515" s="60"/>
      <c r="F515" s="60"/>
      <c r="G515" s="60"/>
      <c r="J515" s="99"/>
      <c r="K515" s="99"/>
      <c r="L515" s="99"/>
      <c r="M515" s="99"/>
      <c r="N515" s="43">
        <f t="shared" si="7"/>
        <v>0</v>
      </c>
    </row>
    <row r="516" spans="2:14" ht="1.5" customHeight="1">
      <c r="B516" s="57"/>
      <c r="C516" s="60"/>
      <c r="D516" s="60"/>
      <c r="E516" s="60"/>
      <c r="F516" s="60"/>
      <c r="G516" s="60"/>
      <c r="J516" s="99"/>
      <c r="K516" s="99"/>
      <c r="L516" s="99"/>
      <c r="M516" s="99"/>
      <c r="N516" s="43">
        <f t="shared" si="7"/>
        <v>0</v>
      </c>
    </row>
    <row r="517" spans="2:14" ht="1.5" customHeight="1">
      <c r="B517" s="57"/>
      <c r="C517" s="60"/>
      <c r="D517" s="60"/>
      <c r="E517" s="60"/>
      <c r="F517" s="60"/>
      <c r="G517" s="60"/>
      <c r="J517" s="99"/>
      <c r="K517" s="99"/>
      <c r="L517" s="99"/>
      <c r="M517" s="99"/>
      <c r="N517" s="43">
        <f t="shared" si="7"/>
        <v>0</v>
      </c>
    </row>
    <row r="518" spans="2:14" ht="1.5" customHeight="1">
      <c r="B518" s="57"/>
      <c r="C518" s="60"/>
      <c r="D518" s="60"/>
      <c r="E518" s="60"/>
      <c r="F518" s="60"/>
      <c r="G518" s="60"/>
      <c r="J518" s="99"/>
      <c r="K518" s="99"/>
      <c r="L518" s="99"/>
      <c r="M518" s="99"/>
      <c r="N518" s="43">
        <f t="shared" si="7"/>
        <v>0</v>
      </c>
    </row>
    <row r="519" spans="2:14" ht="1.5" customHeight="1">
      <c r="B519" s="57"/>
      <c r="C519" s="60"/>
      <c r="D519" s="60"/>
      <c r="E519" s="60"/>
      <c r="F519" s="60"/>
      <c r="G519" s="60"/>
      <c r="J519" s="99"/>
      <c r="K519" s="99"/>
      <c r="L519" s="99"/>
      <c r="M519" s="99"/>
      <c r="N519" s="43">
        <f t="shared" si="7"/>
        <v>0</v>
      </c>
    </row>
    <row r="520" spans="2:14" ht="1.5" customHeight="1">
      <c r="B520" s="57"/>
      <c r="C520" s="60"/>
      <c r="D520" s="60"/>
      <c r="E520" s="60"/>
      <c r="F520" s="60"/>
      <c r="G520" s="60"/>
      <c r="J520" s="99"/>
      <c r="K520" s="99"/>
      <c r="L520" s="99"/>
      <c r="M520" s="99"/>
      <c r="N520" s="43">
        <f t="shared" si="7"/>
        <v>0</v>
      </c>
    </row>
    <row r="521" spans="2:14" ht="1.5" customHeight="1">
      <c r="B521" s="57"/>
      <c r="C521" s="60"/>
      <c r="D521" s="60"/>
      <c r="E521" s="60"/>
      <c r="F521" s="60"/>
      <c r="G521" s="60"/>
      <c r="J521" s="99"/>
      <c r="K521" s="99"/>
      <c r="L521" s="99"/>
      <c r="M521" s="99"/>
      <c r="N521" s="43">
        <f t="shared" si="7"/>
        <v>0</v>
      </c>
    </row>
    <row r="522" spans="2:14" ht="1.5" customHeight="1">
      <c r="B522" s="57"/>
      <c r="C522" s="60"/>
      <c r="D522" s="60"/>
      <c r="E522" s="60"/>
      <c r="F522" s="60"/>
      <c r="G522" s="60"/>
      <c r="J522" s="99"/>
      <c r="K522" s="99"/>
      <c r="L522" s="99"/>
      <c r="M522" s="99"/>
      <c r="N522" s="43">
        <f t="shared" si="7"/>
        <v>0</v>
      </c>
    </row>
    <row r="523" spans="2:14" ht="1.5" customHeight="1">
      <c r="B523" s="57"/>
      <c r="C523" s="60"/>
      <c r="D523" s="60"/>
      <c r="E523" s="60"/>
      <c r="F523" s="60"/>
      <c r="G523" s="60"/>
      <c r="J523" s="99"/>
      <c r="K523" s="99"/>
      <c r="L523" s="99"/>
      <c r="M523" s="99"/>
      <c r="N523" s="43">
        <f t="shared" ref="N523:N586" si="8">IF($L$4=$C$10,C523,IF(D523="","",B523))</f>
        <v>0</v>
      </c>
    </row>
    <row r="524" spans="2:14" ht="1.5" customHeight="1">
      <c r="B524" s="57"/>
      <c r="C524" s="60"/>
      <c r="D524" s="60"/>
      <c r="E524" s="60"/>
      <c r="F524" s="60"/>
      <c r="G524" s="60"/>
      <c r="J524" s="99"/>
      <c r="K524" s="99"/>
      <c r="L524" s="99"/>
      <c r="M524" s="99"/>
      <c r="N524" s="43">
        <f t="shared" si="8"/>
        <v>0</v>
      </c>
    </row>
    <row r="525" spans="2:14" ht="1.5" customHeight="1">
      <c r="B525" s="57"/>
      <c r="C525" s="60"/>
      <c r="D525" s="60"/>
      <c r="E525" s="60"/>
      <c r="F525" s="60"/>
      <c r="G525" s="60"/>
      <c r="J525" s="99"/>
      <c r="K525" s="99"/>
      <c r="L525" s="99"/>
      <c r="M525" s="99"/>
      <c r="N525" s="43">
        <f t="shared" si="8"/>
        <v>0</v>
      </c>
    </row>
    <row r="526" spans="2:14" ht="1.5" customHeight="1">
      <c r="B526" s="57"/>
      <c r="C526" s="60"/>
      <c r="D526" s="60"/>
      <c r="E526" s="60"/>
      <c r="F526" s="60"/>
      <c r="G526" s="60"/>
      <c r="J526" s="99"/>
      <c r="K526" s="99"/>
      <c r="L526" s="99"/>
      <c r="M526" s="99"/>
      <c r="N526" s="43">
        <f t="shared" si="8"/>
        <v>0</v>
      </c>
    </row>
    <row r="527" spans="2:14" ht="1.5" customHeight="1">
      <c r="B527" s="57"/>
      <c r="C527" s="60"/>
      <c r="D527" s="60"/>
      <c r="E527" s="60"/>
      <c r="F527" s="60"/>
      <c r="G527" s="60"/>
      <c r="J527" s="99"/>
      <c r="K527" s="99"/>
      <c r="L527" s="99"/>
      <c r="M527" s="99"/>
      <c r="N527" s="43">
        <f t="shared" si="8"/>
        <v>0</v>
      </c>
    </row>
    <row r="528" spans="2:14" ht="1.5" customHeight="1">
      <c r="B528" s="57"/>
      <c r="C528" s="60"/>
      <c r="D528" s="60"/>
      <c r="E528" s="60"/>
      <c r="F528" s="60"/>
      <c r="G528" s="60"/>
      <c r="J528" s="99"/>
      <c r="K528" s="99"/>
      <c r="L528" s="99"/>
      <c r="M528" s="99"/>
      <c r="N528" s="43">
        <f t="shared" si="8"/>
        <v>0</v>
      </c>
    </row>
    <row r="529" spans="2:14" ht="1.5" customHeight="1">
      <c r="B529" s="57"/>
      <c r="C529" s="60"/>
      <c r="D529" s="60"/>
      <c r="E529" s="60"/>
      <c r="F529" s="60"/>
      <c r="G529" s="60"/>
      <c r="J529" s="99"/>
      <c r="K529" s="99"/>
      <c r="L529" s="99"/>
      <c r="M529" s="99"/>
      <c r="N529" s="43">
        <f t="shared" si="8"/>
        <v>0</v>
      </c>
    </row>
    <row r="530" spans="2:14" ht="1.5" customHeight="1">
      <c r="B530" s="57"/>
      <c r="C530" s="60"/>
      <c r="D530" s="60"/>
      <c r="E530" s="60"/>
      <c r="F530" s="60"/>
      <c r="G530" s="60"/>
      <c r="J530" s="99"/>
      <c r="K530" s="99"/>
      <c r="L530" s="99"/>
      <c r="M530" s="99"/>
      <c r="N530" s="43">
        <f t="shared" si="8"/>
        <v>0</v>
      </c>
    </row>
    <row r="531" spans="2:14" ht="1.5" customHeight="1">
      <c r="B531" s="57"/>
      <c r="C531" s="60"/>
      <c r="D531" s="60"/>
      <c r="E531" s="60"/>
      <c r="F531" s="60"/>
      <c r="G531" s="60"/>
      <c r="J531" s="99"/>
      <c r="K531" s="99"/>
      <c r="L531" s="99"/>
      <c r="M531" s="99"/>
      <c r="N531" s="43">
        <f t="shared" si="8"/>
        <v>0</v>
      </c>
    </row>
    <row r="532" spans="2:14" ht="1.5" customHeight="1">
      <c r="B532" s="57"/>
      <c r="C532" s="60"/>
      <c r="D532" s="60"/>
      <c r="E532" s="60"/>
      <c r="F532" s="60"/>
      <c r="G532" s="60"/>
      <c r="J532" s="99"/>
      <c r="K532" s="99"/>
      <c r="L532" s="99"/>
      <c r="M532" s="99"/>
      <c r="N532" s="43">
        <f t="shared" si="8"/>
        <v>0</v>
      </c>
    </row>
    <row r="533" spans="2:14" ht="1.5" customHeight="1">
      <c r="B533" s="57"/>
      <c r="C533" s="60"/>
      <c r="D533" s="60"/>
      <c r="E533" s="60"/>
      <c r="F533" s="60"/>
      <c r="G533" s="60"/>
      <c r="J533" s="99"/>
      <c r="K533" s="99"/>
      <c r="L533" s="99"/>
      <c r="M533" s="99"/>
      <c r="N533" s="43">
        <f t="shared" si="8"/>
        <v>0</v>
      </c>
    </row>
    <row r="534" spans="2:14" ht="1.5" customHeight="1">
      <c r="B534" s="57"/>
      <c r="C534" s="60"/>
      <c r="D534" s="60"/>
      <c r="E534" s="60"/>
      <c r="F534" s="60"/>
      <c r="G534" s="60"/>
      <c r="J534" s="99"/>
      <c r="K534" s="99"/>
      <c r="L534" s="99"/>
      <c r="M534" s="99"/>
      <c r="N534" s="43">
        <f t="shared" si="8"/>
        <v>0</v>
      </c>
    </row>
    <row r="535" spans="2:14" ht="1.5" customHeight="1">
      <c r="B535" s="57"/>
      <c r="C535" s="60"/>
      <c r="D535" s="60"/>
      <c r="E535" s="60"/>
      <c r="F535" s="60"/>
      <c r="G535" s="60"/>
      <c r="J535" s="99"/>
      <c r="K535" s="99"/>
      <c r="L535" s="99"/>
      <c r="M535" s="99"/>
      <c r="N535" s="43">
        <f t="shared" si="8"/>
        <v>0</v>
      </c>
    </row>
    <row r="536" spans="2:14" ht="1.5" customHeight="1">
      <c r="B536" s="57"/>
      <c r="C536" s="60"/>
      <c r="D536" s="60"/>
      <c r="E536" s="60"/>
      <c r="F536" s="60"/>
      <c r="G536" s="60"/>
      <c r="J536" s="99"/>
      <c r="K536" s="99"/>
      <c r="L536" s="99"/>
      <c r="M536" s="99"/>
      <c r="N536" s="43">
        <f t="shared" si="8"/>
        <v>0</v>
      </c>
    </row>
    <row r="537" spans="2:14" ht="1.5" customHeight="1">
      <c r="B537" s="57"/>
      <c r="C537" s="60"/>
      <c r="D537" s="60"/>
      <c r="E537" s="60"/>
      <c r="F537" s="60"/>
      <c r="G537" s="60"/>
      <c r="J537" s="99"/>
      <c r="K537" s="99"/>
      <c r="L537" s="99"/>
      <c r="M537" s="99"/>
      <c r="N537" s="43">
        <f t="shared" si="8"/>
        <v>0</v>
      </c>
    </row>
    <row r="538" spans="2:14" ht="1.5" customHeight="1">
      <c r="B538" s="57"/>
      <c r="C538" s="60"/>
      <c r="D538" s="60"/>
      <c r="E538" s="60"/>
      <c r="F538" s="60"/>
      <c r="G538" s="60"/>
      <c r="J538" s="99"/>
      <c r="K538" s="99"/>
      <c r="L538" s="99"/>
      <c r="M538" s="99"/>
      <c r="N538" s="43">
        <f t="shared" si="8"/>
        <v>0</v>
      </c>
    </row>
    <row r="539" spans="2:14" ht="1.5" customHeight="1">
      <c r="B539" s="57"/>
      <c r="C539" s="60"/>
      <c r="D539" s="60"/>
      <c r="E539" s="60"/>
      <c r="F539" s="60"/>
      <c r="G539" s="60"/>
      <c r="J539" s="99"/>
      <c r="K539" s="99"/>
      <c r="L539" s="99"/>
      <c r="M539" s="99"/>
      <c r="N539" s="43">
        <f t="shared" si="8"/>
        <v>0</v>
      </c>
    </row>
    <row r="540" spans="2:14" ht="1.5" customHeight="1">
      <c r="B540" s="57"/>
      <c r="C540" s="60"/>
      <c r="D540" s="60"/>
      <c r="E540" s="60"/>
      <c r="F540" s="60"/>
      <c r="G540" s="60"/>
      <c r="J540" s="99"/>
      <c r="K540" s="99"/>
      <c r="L540" s="99"/>
      <c r="M540" s="99"/>
      <c r="N540" s="43">
        <f t="shared" si="8"/>
        <v>0</v>
      </c>
    </row>
    <row r="541" spans="2:14" ht="1.5" customHeight="1">
      <c r="B541" s="57"/>
      <c r="C541" s="60"/>
      <c r="D541" s="60"/>
      <c r="E541" s="60"/>
      <c r="F541" s="60"/>
      <c r="G541" s="60"/>
      <c r="J541" s="99"/>
      <c r="K541" s="99"/>
      <c r="L541" s="99"/>
      <c r="M541" s="99"/>
      <c r="N541" s="43">
        <f t="shared" si="8"/>
        <v>0</v>
      </c>
    </row>
    <row r="542" spans="2:14" ht="1.5" customHeight="1">
      <c r="B542" s="57"/>
      <c r="C542" s="60"/>
      <c r="D542" s="60"/>
      <c r="E542" s="60"/>
      <c r="F542" s="60"/>
      <c r="G542" s="60"/>
      <c r="J542" s="99"/>
      <c r="K542" s="99"/>
      <c r="L542" s="99"/>
      <c r="M542" s="99"/>
      <c r="N542" s="43">
        <f t="shared" si="8"/>
        <v>0</v>
      </c>
    </row>
    <row r="543" spans="2:14" ht="1.5" customHeight="1">
      <c r="B543" s="57"/>
      <c r="C543" s="60"/>
      <c r="D543" s="60"/>
      <c r="E543" s="60"/>
      <c r="F543" s="60"/>
      <c r="G543" s="60"/>
      <c r="J543" s="99"/>
      <c r="K543" s="99"/>
      <c r="L543" s="99"/>
      <c r="M543" s="99"/>
      <c r="N543" s="43">
        <f t="shared" si="8"/>
        <v>0</v>
      </c>
    </row>
    <row r="544" spans="2:14" ht="1.5" customHeight="1">
      <c r="B544" s="57"/>
      <c r="C544" s="60"/>
      <c r="D544" s="60"/>
      <c r="E544" s="60"/>
      <c r="F544" s="60"/>
      <c r="G544" s="60"/>
      <c r="J544" s="99"/>
      <c r="K544" s="99"/>
      <c r="L544" s="99"/>
      <c r="M544" s="99"/>
      <c r="N544" s="43">
        <f t="shared" si="8"/>
        <v>0</v>
      </c>
    </row>
    <row r="545" spans="2:14" ht="1.5" customHeight="1">
      <c r="B545" s="57"/>
      <c r="C545" s="60"/>
      <c r="D545" s="60"/>
      <c r="E545" s="60"/>
      <c r="F545" s="60"/>
      <c r="G545" s="60"/>
      <c r="J545" s="99"/>
      <c r="K545" s="99"/>
      <c r="L545" s="99"/>
      <c r="M545" s="99"/>
      <c r="N545" s="43">
        <f t="shared" si="8"/>
        <v>0</v>
      </c>
    </row>
    <row r="546" spans="2:14" ht="1.5" customHeight="1">
      <c r="B546" s="57"/>
      <c r="C546" s="60"/>
      <c r="D546" s="60"/>
      <c r="E546" s="60"/>
      <c r="F546" s="60"/>
      <c r="G546" s="60"/>
      <c r="J546" s="99"/>
      <c r="K546" s="99"/>
      <c r="L546" s="99"/>
      <c r="M546" s="99"/>
      <c r="N546" s="43">
        <f t="shared" si="8"/>
        <v>0</v>
      </c>
    </row>
    <row r="547" spans="2:14" ht="1.5" customHeight="1">
      <c r="B547" s="57"/>
      <c r="C547" s="60"/>
      <c r="D547" s="60"/>
      <c r="E547" s="60"/>
      <c r="F547" s="60"/>
      <c r="G547" s="60"/>
      <c r="J547" s="99"/>
      <c r="K547" s="99"/>
      <c r="L547" s="99"/>
      <c r="M547" s="99"/>
      <c r="N547" s="43">
        <f t="shared" si="8"/>
        <v>0</v>
      </c>
    </row>
    <row r="548" spans="2:14" ht="1.5" customHeight="1">
      <c r="B548" s="57"/>
      <c r="C548" s="60"/>
      <c r="D548" s="60"/>
      <c r="E548" s="60"/>
      <c r="F548" s="60"/>
      <c r="G548" s="60"/>
      <c r="J548" s="99"/>
      <c r="K548" s="99"/>
      <c r="L548" s="99"/>
      <c r="M548" s="99"/>
      <c r="N548" s="43">
        <f t="shared" si="8"/>
        <v>0</v>
      </c>
    </row>
    <row r="549" spans="2:14" ht="1.5" customHeight="1">
      <c r="B549" s="57"/>
      <c r="C549" s="60"/>
      <c r="D549" s="60"/>
      <c r="E549" s="60"/>
      <c r="F549" s="60"/>
      <c r="G549" s="60"/>
      <c r="J549" s="99"/>
      <c r="K549" s="99"/>
      <c r="L549" s="99"/>
      <c r="M549" s="99"/>
      <c r="N549" s="43">
        <f t="shared" si="8"/>
        <v>0</v>
      </c>
    </row>
    <row r="550" spans="2:14" ht="1.5" customHeight="1">
      <c r="B550" s="57"/>
      <c r="C550" s="60"/>
      <c r="D550" s="60"/>
      <c r="E550" s="60"/>
      <c r="F550" s="60"/>
      <c r="G550" s="60"/>
      <c r="J550" s="99"/>
      <c r="K550" s="99"/>
      <c r="L550" s="99"/>
      <c r="M550" s="99"/>
      <c r="N550" s="43">
        <f t="shared" si="8"/>
        <v>0</v>
      </c>
    </row>
    <row r="551" spans="2:14" ht="1.5" customHeight="1">
      <c r="B551" s="57"/>
      <c r="C551" s="60"/>
      <c r="D551" s="60"/>
      <c r="E551" s="60"/>
      <c r="F551" s="60"/>
      <c r="G551" s="60"/>
      <c r="J551" s="99"/>
      <c r="K551" s="99"/>
      <c r="L551" s="99"/>
      <c r="M551" s="99"/>
      <c r="N551" s="43">
        <f t="shared" si="8"/>
        <v>0</v>
      </c>
    </row>
    <row r="552" spans="2:14" ht="1.5" customHeight="1">
      <c r="B552" s="57"/>
      <c r="C552" s="60"/>
      <c r="D552" s="60"/>
      <c r="E552" s="60"/>
      <c r="F552" s="60"/>
      <c r="G552" s="60"/>
      <c r="J552" s="99"/>
      <c r="K552" s="99"/>
      <c r="L552" s="99"/>
      <c r="M552" s="99"/>
      <c r="N552" s="43">
        <f t="shared" si="8"/>
        <v>0</v>
      </c>
    </row>
    <row r="553" spans="2:14" ht="1.5" customHeight="1">
      <c r="B553" s="57"/>
      <c r="C553" s="60"/>
      <c r="D553" s="60"/>
      <c r="E553" s="60"/>
      <c r="F553" s="60"/>
      <c r="G553" s="60"/>
      <c r="J553" s="99"/>
      <c r="K553" s="99"/>
      <c r="L553" s="99"/>
      <c r="M553" s="99"/>
      <c r="N553" s="43">
        <f t="shared" si="8"/>
        <v>0</v>
      </c>
    </row>
    <row r="554" spans="2:14" ht="1.5" customHeight="1">
      <c r="B554" s="57"/>
      <c r="C554" s="60"/>
      <c r="D554" s="60"/>
      <c r="E554" s="60"/>
      <c r="F554" s="60"/>
      <c r="G554" s="60"/>
      <c r="J554" s="99"/>
      <c r="K554" s="99"/>
      <c r="L554" s="99"/>
      <c r="M554" s="99"/>
      <c r="N554" s="43">
        <f t="shared" si="8"/>
        <v>0</v>
      </c>
    </row>
    <row r="555" spans="2:14" ht="1.5" customHeight="1">
      <c r="B555" s="57"/>
      <c r="C555" s="60"/>
      <c r="D555" s="60"/>
      <c r="E555" s="60"/>
      <c r="F555" s="60"/>
      <c r="G555" s="60"/>
      <c r="J555" s="99"/>
      <c r="K555" s="99"/>
      <c r="L555" s="99"/>
      <c r="M555" s="99"/>
      <c r="N555" s="43">
        <f t="shared" si="8"/>
        <v>0</v>
      </c>
    </row>
    <row r="556" spans="2:14" ht="1.5" customHeight="1">
      <c r="B556" s="57"/>
      <c r="C556" s="60"/>
      <c r="D556" s="60"/>
      <c r="E556" s="60"/>
      <c r="F556" s="60"/>
      <c r="G556" s="60"/>
      <c r="J556" s="99"/>
      <c r="K556" s="99"/>
      <c r="L556" s="99"/>
      <c r="M556" s="99"/>
      <c r="N556" s="43">
        <f t="shared" si="8"/>
        <v>0</v>
      </c>
    </row>
    <row r="557" spans="2:14" ht="1.5" customHeight="1">
      <c r="B557" s="57"/>
      <c r="C557" s="60"/>
      <c r="D557" s="60"/>
      <c r="E557" s="60"/>
      <c r="F557" s="60"/>
      <c r="G557" s="60"/>
      <c r="J557" s="99"/>
      <c r="K557" s="99"/>
      <c r="L557" s="99"/>
      <c r="M557" s="99"/>
      <c r="N557" s="43">
        <f t="shared" si="8"/>
        <v>0</v>
      </c>
    </row>
    <row r="558" spans="2:14" ht="1.5" customHeight="1">
      <c r="B558" s="57"/>
      <c r="C558" s="60"/>
      <c r="D558" s="60"/>
      <c r="E558" s="60"/>
      <c r="F558" s="60"/>
      <c r="G558" s="60"/>
      <c r="J558" s="99"/>
      <c r="K558" s="99"/>
      <c r="L558" s="99"/>
      <c r="M558" s="99"/>
      <c r="N558" s="43">
        <f t="shared" si="8"/>
        <v>0</v>
      </c>
    </row>
    <row r="559" spans="2:14" ht="1.5" customHeight="1">
      <c r="B559" s="57"/>
      <c r="C559" s="60"/>
      <c r="D559" s="60"/>
      <c r="E559" s="60"/>
      <c r="F559" s="60"/>
      <c r="G559" s="60"/>
      <c r="J559" s="99"/>
      <c r="K559" s="99"/>
      <c r="L559" s="99"/>
      <c r="M559" s="99"/>
      <c r="N559" s="43">
        <f t="shared" si="8"/>
        <v>0</v>
      </c>
    </row>
    <row r="560" spans="2:14" ht="1.5" customHeight="1">
      <c r="B560" s="57"/>
      <c r="C560" s="60"/>
      <c r="D560" s="60"/>
      <c r="E560" s="60"/>
      <c r="F560" s="60"/>
      <c r="G560" s="60"/>
      <c r="J560" s="99"/>
      <c r="K560" s="99"/>
      <c r="L560" s="99"/>
      <c r="M560" s="99"/>
      <c r="N560" s="43">
        <f t="shared" si="8"/>
        <v>0</v>
      </c>
    </row>
    <row r="561" spans="2:14" ht="1.5" customHeight="1">
      <c r="B561" s="57"/>
      <c r="C561" s="60"/>
      <c r="D561" s="60"/>
      <c r="E561" s="60"/>
      <c r="F561" s="60"/>
      <c r="G561" s="60"/>
      <c r="J561" s="99"/>
      <c r="K561" s="99"/>
      <c r="L561" s="99"/>
      <c r="M561" s="99"/>
      <c r="N561" s="43">
        <f t="shared" si="8"/>
        <v>0</v>
      </c>
    </row>
    <row r="562" spans="2:14" ht="1.5" customHeight="1">
      <c r="B562" s="57"/>
      <c r="C562" s="60"/>
      <c r="D562" s="60"/>
      <c r="E562" s="60"/>
      <c r="F562" s="60"/>
      <c r="G562" s="60"/>
      <c r="J562" s="99"/>
      <c r="K562" s="99"/>
      <c r="L562" s="99"/>
      <c r="M562" s="99"/>
      <c r="N562" s="43">
        <f t="shared" si="8"/>
        <v>0</v>
      </c>
    </row>
    <row r="563" spans="2:14" ht="1.5" customHeight="1">
      <c r="B563" s="57"/>
      <c r="C563" s="60"/>
      <c r="D563" s="60"/>
      <c r="E563" s="60"/>
      <c r="F563" s="60"/>
      <c r="G563" s="60"/>
      <c r="J563" s="99"/>
      <c r="K563" s="99"/>
      <c r="L563" s="99"/>
      <c r="M563" s="99"/>
      <c r="N563" s="43">
        <f t="shared" si="8"/>
        <v>0</v>
      </c>
    </row>
    <row r="564" spans="2:14" ht="1.5" customHeight="1">
      <c r="B564" s="57"/>
      <c r="C564" s="60"/>
      <c r="D564" s="60"/>
      <c r="E564" s="60"/>
      <c r="F564" s="60"/>
      <c r="G564" s="60"/>
      <c r="J564" s="99"/>
      <c r="K564" s="99"/>
      <c r="L564" s="99"/>
      <c r="M564" s="99"/>
      <c r="N564" s="43">
        <f t="shared" si="8"/>
        <v>0</v>
      </c>
    </row>
    <row r="565" spans="2:14" ht="1.5" customHeight="1">
      <c r="B565" s="57"/>
      <c r="C565" s="60"/>
      <c r="D565" s="60"/>
      <c r="E565" s="60"/>
      <c r="F565" s="60"/>
      <c r="G565" s="60"/>
      <c r="J565" s="99"/>
      <c r="K565" s="99"/>
      <c r="L565" s="99"/>
      <c r="M565" s="99"/>
      <c r="N565" s="43">
        <f t="shared" si="8"/>
        <v>0</v>
      </c>
    </row>
    <row r="566" spans="2:14" ht="1.5" customHeight="1">
      <c r="B566" s="57"/>
      <c r="C566" s="60"/>
      <c r="D566" s="60"/>
      <c r="E566" s="60"/>
      <c r="F566" s="60"/>
      <c r="G566" s="60"/>
      <c r="J566" s="99"/>
      <c r="K566" s="99"/>
      <c r="L566" s="99"/>
      <c r="M566" s="99"/>
      <c r="N566" s="43">
        <f t="shared" si="8"/>
        <v>0</v>
      </c>
    </row>
    <row r="567" spans="2:14" ht="1.5" customHeight="1">
      <c r="B567" s="57"/>
      <c r="C567" s="60"/>
      <c r="D567" s="60"/>
      <c r="E567" s="60"/>
      <c r="F567" s="60"/>
      <c r="G567" s="60"/>
      <c r="J567" s="99"/>
      <c r="K567" s="99"/>
      <c r="L567" s="99"/>
      <c r="M567" s="99"/>
      <c r="N567" s="43">
        <f t="shared" si="8"/>
        <v>0</v>
      </c>
    </row>
    <row r="568" spans="2:14" ht="1.5" customHeight="1">
      <c r="B568" s="57"/>
      <c r="C568" s="60"/>
      <c r="D568" s="60"/>
      <c r="E568" s="60"/>
      <c r="F568" s="60"/>
      <c r="G568" s="60"/>
      <c r="J568" s="99"/>
      <c r="K568" s="99"/>
      <c r="L568" s="99"/>
      <c r="M568" s="99"/>
      <c r="N568" s="43">
        <f t="shared" si="8"/>
        <v>0</v>
      </c>
    </row>
    <row r="569" spans="2:14" ht="1.5" customHeight="1">
      <c r="B569" s="57"/>
      <c r="C569" s="60"/>
      <c r="D569" s="60"/>
      <c r="E569" s="60"/>
      <c r="F569" s="60"/>
      <c r="G569" s="60"/>
      <c r="J569" s="99"/>
      <c r="K569" s="99"/>
      <c r="L569" s="99"/>
      <c r="M569" s="99"/>
      <c r="N569" s="43">
        <f t="shared" si="8"/>
        <v>0</v>
      </c>
    </row>
    <row r="570" spans="2:14" ht="1.5" customHeight="1">
      <c r="B570" s="57"/>
      <c r="C570" s="60"/>
      <c r="D570" s="60"/>
      <c r="E570" s="60"/>
      <c r="F570" s="60"/>
      <c r="G570" s="60"/>
      <c r="J570" s="99"/>
      <c r="K570" s="99"/>
      <c r="L570" s="99"/>
      <c r="M570" s="99"/>
      <c r="N570" s="43">
        <f t="shared" si="8"/>
        <v>0</v>
      </c>
    </row>
    <row r="571" spans="2:14" ht="1.5" customHeight="1">
      <c r="B571" s="57"/>
      <c r="C571" s="60"/>
      <c r="D571" s="60"/>
      <c r="E571" s="60"/>
      <c r="F571" s="60"/>
      <c r="G571" s="60"/>
      <c r="J571" s="99"/>
      <c r="K571" s="99"/>
      <c r="L571" s="99"/>
      <c r="M571" s="99"/>
      <c r="N571" s="43">
        <f t="shared" si="8"/>
        <v>0</v>
      </c>
    </row>
    <row r="572" spans="2:14" ht="1.5" customHeight="1">
      <c r="B572" s="57"/>
      <c r="C572" s="60"/>
      <c r="D572" s="60"/>
      <c r="E572" s="60"/>
      <c r="F572" s="60"/>
      <c r="G572" s="60"/>
      <c r="J572" s="99"/>
      <c r="K572" s="99"/>
      <c r="L572" s="99"/>
      <c r="M572" s="99"/>
      <c r="N572" s="43">
        <f t="shared" si="8"/>
        <v>0</v>
      </c>
    </row>
    <row r="573" spans="2:14" ht="1.5" customHeight="1">
      <c r="B573" s="57"/>
      <c r="C573" s="60"/>
      <c r="D573" s="60"/>
      <c r="E573" s="60"/>
      <c r="F573" s="60"/>
      <c r="G573" s="60"/>
      <c r="J573" s="99"/>
      <c r="K573" s="99"/>
      <c r="L573" s="99"/>
      <c r="M573" s="99"/>
      <c r="N573" s="43">
        <f t="shared" si="8"/>
        <v>0</v>
      </c>
    </row>
    <row r="574" spans="2:14" ht="1.5" customHeight="1">
      <c r="B574" s="57"/>
      <c r="C574" s="60"/>
      <c r="D574" s="60"/>
      <c r="E574" s="60"/>
      <c r="F574" s="60"/>
      <c r="G574" s="60"/>
      <c r="J574" s="99"/>
      <c r="K574" s="99"/>
      <c r="L574" s="99"/>
      <c r="M574" s="99"/>
      <c r="N574" s="43">
        <f t="shared" si="8"/>
        <v>0</v>
      </c>
    </row>
    <row r="575" spans="2:14" ht="1.5" customHeight="1">
      <c r="B575" s="57"/>
      <c r="C575" s="60"/>
      <c r="D575" s="60"/>
      <c r="E575" s="60"/>
      <c r="F575" s="60"/>
      <c r="G575" s="60"/>
      <c r="J575" s="99"/>
      <c r="K575" s="99"/>
      <c r="L575" s="99"/>
      <c r="M575" s="99"/>
      <c r="N575" s="43">
        <f t="shared" si="8"/>
        <v>0</v>
      </c>
    </row>
    <row r="576" spans="2:14" ht="1.5" customHeight="1">
      <c r="B576" s="57"/>
      <c r="C576" s="60"/>
      <c r="D576" s="60"/>
      <c r="E576" s="60"/>
      <c r="F576" s="60"/>
      <c r="G576" s="60"/>
      <c r="J576" s="99"/>
      <c r="K576" s="99"/>
      <c r="L576" s="99"/>
      <c r="M576" s="99"/>
      <c r="N576" s="43">
        <f t="shared" si="8"/>
        <v>0</v>
      </c>
    </row>
    <row r="577" spans="2:14" ht="1.5" customHeight="1">
      <c r="B577" s="57"/>
      <c r="C577" s="60"/>
      <c r="D577" s="60"/>
      <c r="E577" s="60"/>
      <c r="F577" s="60"/>
      <c r="G577" s="60"/>
      <c r="J577" s="99"/>
      <c r="K577" s="99"/>
      <c r="L577" s="99"/>
      <c r="M577" s="99"/>
      <c r="N577" s="43">
        <f t="shared" si="8"/>
        <v>0</v>
      </c>
    </row>
    <row r="578" spans="2:14" ht="1.5" customHeight="1">
      <c r="B578" s="57"/>
      <c r="C578" s="60"/>
      <c r="D578" s="60"/>
      <c r="E578" s="60"/>
      <c r="F578" s="60"/>
      <c r="G578" s="60"/>
      <c r="J578" s="99"/>
      <c r="K578" s="99"/>
      <c r="L578" s="99"/>
      <c r="M578" s="99"/>
      <c r="N578" s="43">
        <f t="shared" si="8"/>
        <v>0</v>
      </c>
    </row>
    <row r="579" spans="2:14" ht="1.5" customHeight="1">
      <c r="B579" s="57"/>
      <c r="C579" s="60"/>
      <c r="D579" s="60"/>
      <c r="E579" s="60"/>
      <c r="F579" s="60"/>
      <c r="G579" s="60"/>
      <c r="J579" s="99"/>
      <c r="K579" s="99"/>
      <c r="L579" s="99"/>
      <c r="M579" s="99"/>
      <c r="N579" s="43">
        <f t="shared" si="8"/>
        <v>0</v>
      </c>
    </row>
    <row r="580" spans="2:14" ht="1.5" customHeight="1">
      <c r="B580" s="57"/>
      <c r="C580" s="60"/>
      <c r="D580" s="60"/>
      <c r="E580" s="60"/>
      <c r="F580" s="60"/>
      <c r="G580" s="60"/>
      <c r="J580" s="99"/>
      <c r="K580" s="99"/>
      <c r="L580" s="99"/>
      <c r="M580" s="99"/>
      <c r="N580" s="43">
        <f t="shared" si="8"/>
        <v>0</v>
      </c>
    </row>
    <row r="581" spans="2:14" ht="1.5" customHeight="1">
      <c r="B581" s="57"/>
      <c r="C581" s="60"/>
      <c r="D581" s="60"/>
      <c r="E581" s="60"/>
      <c r="F581" s="60"/>
      <c r="G581" s="60"/>
      <c r="J581" s="99"/>
      <c r="K581" s="99"/>
      <c r="L581" s="99"/>
      <c r="M581" s="99"/>
      <c r="N581" s="43">
        <f t="shared" si="8"/>
        <v>0</v>
      </c>
    </row>
    <row r="582" spans="2:14" ht="1.5" customHeight="1">
      <c r="B582" s="57"/>
      <c r="C582" s="60"/>
      <c r="D582" s="60"/>
      <c r="E582" s="60"/>
      <c r="F582" s="60"/>
      <c r="G582" s="60"/>
      <c r="J582" s="99"/>
      <c r="K582" s="99"/>
      <c r="L582" s="99"/>
      <c r="M582" s="99"/>
      <c r="N582" s="43">
        <f t="shared" si="8"/>
        <v>0</v>
      </c>
    </row>
    <row r="583" spans="2:14" ht="1.5" customHeight="1">
      <c r="B583" s="57"/>
      <c r="C583" s="60"/>
      <c r="D583" s="60"/>
      <c r="E583" s="60"/>
      <c r="F583" s="60"/>
      <c r="G583" s="60"/>
      <c r="J583" s="99"/>
      <c r="K583" s="99"/>
      <c r="L583" s="99"/>
      <c r="M583" s="99"/>
      <c r="N583" s="43">
        <f t="shared" si="8"/>
        <v>0</v>
      </c>
    </row>
    <row r="584" spans="2:14" ht="1.5" customHeight="1">
      <c r="B584" s="57"/>
      <c r="C584" s="60"/>
      <c r="D584" s="60"/>
      <c r="E584" s="60"/>
      <c r="F584" s="60"/>
      <c r="G584" s="60"/>
      <c r="J584" s="99"/>
      <c r="K584" s="99"/>
      <c r="L584" s="99"/>
      <c r="M584" s="99"/>
      <c r="N584" s="43">
        <f t="shared" si="8"/>
        <v>0</v>
      </c>
    </row>
    <row r="585" spans="2:14" ht="1.5" customHeight="1">
      <c r="B585" s="57"/>
      <c r="C585" s="60"/>
      <c r="D585" s="60"/>
      <c r="E585" s="60"/>
      <c r="F585" s="60"/>
      <c r="G585" s="60"/>
      <c r="J585" s="99"/>
      <c r="K585" s="99"/>
      <c r="L585" s="99"/>
      <c r="M585" s="99"/>
      <c r="N585" s="43">
        <f t="shared" si="8"/>
        <v>0</v>
      </c>
    </row>
    <row r="586" spans="2:14" ht="1.5" customHeight="1">
      <c r="B586" s="57"/>
      <c r="C586" s="60"/>
      <c r="D586" s="60"/>
      <c r="E586" s="60"/>
      <c r="F586" s="60"/>
      <c r="G586" s="60"/>
      <c r="J586" s="99"/>
      <c r="K586" s="99"/>
      <c r="L586" s="99"/>
      <c r="M586" s="99"/>
      <c r="N586" s="43">
        <f t="shared" si="8"/>
        <v>0</v>
      </c>
    </row>
    <row r="587" spans="2:14" ht="1.5" customHeight="1">
      <c r="B587" s="57"/>
      <c r="C587" s="60"/>
      <c r="D587" s="60"/>
      <c r="E587" s="60"/>
      <c r="F587" s="60"/>
      <c r="G587" s="60"/>
      <c r="J587" s="99"/>
      <c r="K587" s="99"/>
      <c r="L587" s="99"/>
      <c r="M587" s="99"/>
      <c r="N587" s="43">
        <f t="shared" ref="N587:N650" si="9">IF($L$4=$C$10,C587,IF(D587="","",B587))</f>
        <v>0</v>
      </c>
    </row>
    <row r="588" spans="2:14" ht="1.5" customHeight="1">
      <c r="B588" s="57"/>
      <c r="C588" s="60"/>
      <c r="D588" s="60"/>
      <c r="E588" s="60"/>
      <c r="F588" s="60"/>
      <c r="G588" s="60"/>
      <c r="J588" s="99"/>
      <c r="K588" s="99"/>
      <c r="L588" s="99"/>
      <c r="M588" s="99"/>
      <c r="N588" s="43">
        <f t="shared" si="9"/>
        <v>0</v>
      </c>
    </row>
    <row r="589" spans="2:14" ht="1.5" customHeight="1">
      <c r="B589" s="57"/>
      <c r="C589" s="60"/>
      <c r="D589" s="60"/>
      <c r="E589" s="60"/>
      <c r="F589" s="60"/>
      <c r="G589" s="60"/>
      <c r="J589" s="99"/>
      <c r="K589" s="99"/>
      <c r="L589" s="99"/>
      <c r="M589" s="99"/>
      <c r="N589" s="43">
        <f t="shared" si="9"/>
        <v>0</v>
      </c>
    </row>
    <row r="590" spans="2:14" ht="1.5" customHeight="1">
      <c r="B590" s="57"/>
      <c r="C590" s="60"/>
      <c r="D590" s="60"/>
      <c r="E590" s="60"/>
      <c r="F590" s="60"/>
      <c r="G590" s="60"/>
      <c r="J590" s="99"/>
      <c r="K590" s="99"/>
      <c r="L590" s="99"/>
      <c r="M590" s="99"/>
      <c r="N590" s="43">
        <f t="shared" si="9"/>
        <v>0</v>
      </c>
    </row>
    <row r="591" spans="2:14" ht="1.5" customHeight="1">
      <c r="B591" s="57"/>
      <c r="C591" s="60"/>
      <c r="D591" s="60"/>
      <c r="E591" s="60"/>
      <c r="F591" s="60"/>
      <c r="G591" s="60"/>
      <c r="J591" s="99"/>
      <c r="K591" s="99"/>
      <c r="L591" s="99"/>
      <c r="M591" s="99"/>
      <c r="N591" s="43">
        <f t="shared" si="9"/>
        <v>0</v>
      </c>
    </row>
    <row r="592" spans="2:14" ht="1.5" customHeight="1">
      <c r="B592" s="57"/>
      <c r="C592" s="60"/>
      <c r="D592" s="60"/>
      <c r="E592" s="60"/>
      <c r="F592" s="60"/>
      <c r="G592" s="60"/>
      <c r="J592" s="99"/>
      <c r="K592" s="99"/>
      <c r="L592" s="99"/>
      <c r="M592" s="99"/>
      <c r="N592" s="43">
        <f t="shared" si="9"/>
        <v>0</v>
      </c>
    </row>
    <row r="593" spans="2:14" ht="1.5" customHeight="1">
      <c r="B593" s="57"/>
      <c r="C593" s="60"/>
      <c r="D593" s="60"/>
      <c r="E593" s="60"/>
      <c r="F593" s="60"/>
      <c r="G593" s="60"/>
      <c r="J593" s="99"/>
      <c r="K593" s="99"/>
      <c r="L593" s="99"/>
      <c r="M593" s="99"/>
      <c r="N593" s="43">
        <f t="shared" si="9"/>
        <v>0</v>
      </c>
    </row>
    <row r="594" spans="2:14" ht="1.5" customHeight="1">
      <c r="B594" s="57"/>
      <c r="C594" s="60"/>
      <c r="D594" s="60"/>
      <c r="E594" s="60"/>
      <c r="F594" s="60"/>
      <c r="G594" s="60"/>
      <c r="J594" s="99"/>
      <c r="K594" s="99"/>
      <c r="L594" s="99"/>
      <c r="M594" s="99"/>
      <c r="N594" s="43">
        <f t="shared" si="9"/>
        <v>0</v>
      </c>
    </row>
    <row r="595" spans="2:14" ht="1.5" customHeight="1">
      <c r="B595" s="57"/>
      <c r="C595" s="60"/>
      <c r="D595" s="60"/>
      <c r="E595" s="60"/>
      <c r="F595" s="60"/>
      <c r="G595" s="60"/>
      <c r="J595" s="99"/>
      <c r="K595" s="99"/>
      <c r="L595" s="99"/>
      <c r="M595" s="99"/>
      <c r="N595" s="43">
        <f t="shared" si="9"/>
        <v>0</v>
      </c>
    </row>
    <row r="596" spans="2:14" ht="1.5" customHeight="1">
      <c r="B596" s="57"/>
      <c r="C596" s="60"/>
      <c r="D596" s="60"/>
      <c r="E596" s="60"/>
      <c r="F596" s="60"/>
      <c r="G596" s="60"/>
      <c r="J596" s="99"/>
      <c r="K596" s="99"/>
      <c r="L596" s="99"/>
      <c r="M596" s="99"/>
      <c r="N596" s="43">
        <f t="shared" si="9"/>
        <v>0</v>
      </c>
    </row>
    <row r="597" spans="2:14" ht="1.5" customHeight="1">
      <c r="B597" s="57"/>
      <c r="C597" s="60"/>
      <c r="D597" s="60"/>
      <c r="E597" s="60"/>
      <c r="F597" s="60"/>
      <c r="G597" s="60"/>
      <c r="J597" s="99"/>
      <c r="K597" s="99"/>
      <c r="L597" s="99"/>
      <c r="M597" s="99"/>
      <c r="N597" s="43">
        <f t="shared" si="9"/>
        <v>0</v>
      </c>
    </row>
    <row r="598" spans="2:14" ht="1.5" customHeight="1">
      <c r="B598" s="57"/>
      <c r="C598" s="60"/>
      <c r="D598" s="60"/>
      <c r="E598" s="60"/>
      <c r="F598" s="60"/>
      <c r="G598" s="60"/>
      <c r="J598" s="99"/>
      <c r="K598" s="99"/>
      <c r="L598" s="99"/>
      <c r="M598" s="99"/>
      <c r="N598" s="43">
        <f t="shared" si="9"/>
        <v>0</v>
      </c>
    </row>
    <row r="599" spans="2:14" ht="1.5" customHeight="1">
      <c r="B599" s="57"/>
      <c r="C599" s="60"/>
      <c r="D599" s="60"/>
      <c r="E599" s="60"/>
      <c r="F599" s="60"/>
      <c r="G599" s="60"/>
      <c r="J599" s="99"/>
      <c r="K599" s="99"/>
      <c r="L599" s="99"/>
      <c r="M599" s="99"/>
      <c r="N599" s="43">
        <f t="shared" si="9"/>
        <v>0</v>
      </c>
    </row>
    <row r="600" spans="2:14" ht="1.5" customHeight="1">
      <c r="B600" s="57"/>
      <c r="C600" s="60"/>
      <c r="D600" s="60"/>
      <c r="E600" s="60"/>
      <c r="F600" s="60"/>
      <c r="G600" s="60"/>
      <c r="J600" s="99"/>
      <c r="K600" s="99"/>
      <c r="L600" s="99"/>
      <c r="M600" s="99"/>
      <c r="N600" s="43">
        <f t="shared" si="9"/>
        <v>0</v>
      </c>
    </row>
    <row r="601" spans="2:14" ht="1.5" customHeight="1">
      <c r="B601" s="57"/>
      <c r="C601" s="60"/>
      <c r="D601" s="60"/>
      <c r="E601" s="60"/>
      <c r="F601" s="60"/>
      <c r="G601" s="60"/>
      <c r="J601" s="99"/>
      <c r="K601" s="99"/>
      <c r="L601" s="99"/>
      <c r="M601" s="99"/>
      <c r="N601" s="43">
        <f t="shared" si="9"/>
        <v>0</v>
      </c>
    </row>
    <row r="602" spans="2:14" ht="1.5" customHeight="1">
      <c r="B602" s="57"/>
      <c r="C602" s="60"/>
      <c r="D602" s="60"/>
      <c r="E602" s="60"/>
      <c r="F602" s="60"/>
      <c r="G602" s="60"/>
      <c r="J602" s="99"/>
      <c r="K602" s="99"/>
      <c r="L602" s="99"/>
      <c r="M602" s="99"/>
      <c r="N602" s="43">
        <f t="shared" si="9"/>
        <v>0</v>
      </c>
    </row>
    <row r="603" spans="2:14" ht="1.5" customHeight="1">
      <c r="B603" s="57"/>
      <c r="C603" s="60"/>
      <c r="D603" s="60"/>
      <c r="E603" s="60"/>
      <c r="F603" s="60"/>
      <c r="G603" s="60"/>
      <c r="J603" s="99"/>
      <c r="K603" s="99"/>
      <c r="L603" s="99"/>
      <c r="M603" s="99"/>
      <c r="N603" s="43">
        <f t="shared" si="9"/>
        <v>0</v>
      </c>
    </row>
    <row r="604" spans="2:14" ht="1.5" customHeight="1">
      <c r="B604" s="57"/>
      <c r="C604" s="60"/>
      <c r="D604" s="60"/>
      <c r="E604" s="60"/>
      <c r="F604" s="60"/>
      <c r="G604" s="60"/>
      <c r="J604" s="99"/>
      <c r="K604" s="99"/>
      <c r="L604" s="99"/>
      <c r="M604" s="99"/>
      <c r="N604" s="43">
        <f t="shared" si="9"/>
        <v>0</v>
      </c>
    </row>
    <row r="605" spans="2:14" ht="1.5" customHeight="1">
      <c r="B605" s="57"/>
      <c r="C605" s="60"/>
      <c r="D605" s="60"/>
      <c r="E605" s="60"/>
      <c r="F605" s="60"/>
      <c r="G605" s="60"/>
      <c r="J605" s="99"/>
      <c r="K605" s="99"/>
      <c r="L605" s="99"/>
      <c r="M605" s="99"/>
      <c r="N605" s="43">
        <f t="shared" si="9"/>
        <v>0</v>
      </c>
    </row>
    <row r="606" spans="2:14" ht="1.5" customHeight="1">
      <c r="B606" s="57"/>
      <c r="C606" s="60"/>
      <c r="D606" s="60"/>
      <c r="E606" s="60"/>
      <c r="F606" s="60"/>
      <c r="G606" s="60"/>
      <c r="J606" s="99"/>
      <c r="K606" s="99"/>
      <c r="L606" s="99"/>
      <c r="M606" s="99"/>
      <c r="N606" s="43">
        <f t="shared" si="9"/>
        <v>0</v>
      </c>
    </row>
    <row r="607" spans="2:14" ht="1.5" customHeight="1">
      <c r="B607" s="57"/>
      <c r="C607" s="60"/>
      <c r="D607" s="60"/>
      <c r="E607" s="60"/>
      <c r="F607" s="60"/>
      <c r="G607" s="60"/>
      <c r="J607" s="99"/>
      <c r="K607" s="99"/>
      <c r="L607" s="99"/>
      <c r="M607" s="99"/>
      <c r="N607" s="43">
        <f t="shared" si="9"/>
        <v>0</v>
      </c>
    </row>
    <row r="608" spans="2:14" ht="1.5" customHeight="1">
      <c r="B608" s="57"/>
      <c r="C608" s="60"/>
      <c r="D608" s="60"/>
      <c r="E608" s="60"/>
      <c r="F608" s="60"/>
      <c r="G608" s="60"/>
      <c r="J608" s="99"/>
      <c r="K608" s="99"/>
      <c r="L608" s="99"/>
      <c r="M608" s="99"/>
      <c r="N608" s="43">
        <f t="shared" si="9"/>
        <v>0</v>
      </c>
    </row>
    <row r="609" spans="2:14" ht="1.5" customHeight="1">
      <c r="B609" s="57"/>
      <c r="C609" s="60"/>
      <c r="D609" s="60"/>
      <c r="E609" s="60"/>
      <c r="F609" s="60"/>
      <c r="G609" s="60"/>
      <c r="J609" s="99"/>
      <c r="K609" s="99"/>
      <c r="L609" s="99"/>
      <c r="M609" s="99"/>
      <c r="N609" s="43">
        <f t="shared" si="9"/>
        <v>0</v>
      </c>
    </row>
    <row r="610" spans="2:14" ht="1.5" customHeight="1">
      <c r="B610" s="57"/>
      <c r="C610" s="60"/>
      <c r="D610" s="60"/>
      <c r="E610" s="60"/>
      <c r="F610" s="60"/>
      <c r="G610" s="60"/>
      <c r="J610" s="99"/>
      <c r="K610" s="99"/>
      <c r="L610" s="99"/>
      <c r="M610" s="99"/>
      <c r="N610" s="43">
        <f t="shared" si="9"/>
        <v>0</v>
      </c>
    </row>
    <row r="611" spans="2:14" ht="1.5" customHeight="1">
      <c r="B611" s="57"/>
      <c r="C611" s="60"/>
      <c r="D611" s="60"/>
      <c r="E611" s="60"/>
      <c r="F611" s="60"/>
      <c r="G611" s="60"/>
      <c r="J611" s="99"/>
      <c r="K611" s="99"/>
      <c r="L611" s="99"/>
      <c r="M611" s="99"/>
      <c r="N611" s="43">
        <f t="shared" si="9"/>
        <v>0</v>
      </c>
    </row>
    <row r="612" spans="2:14" ht="1.5" customHeight="1">
      <c r="B612" s="57"/>
      <c r="C612" s="60"/>
      <c r="D612" s="60"/>
      <c r="E612" s="60"/>
      <c r="F612" s="60"/>
      <c r="G612" s="60"/>
      <c r="J612" s="99"/>
      <c r="K612" s="99"/>
      <c r="L612" s="99"/>
      <c r="M612" s="99"/>
      <c r="N612" s="43">
        <f t="shared" si="9"/>
        <v>0</v>
      </c>
    </row>
    <row r="613" spans="2:14" ht="1.5" customHeight="1">
      <c r="B613" s="57"/>
      <c r="C613" s="60"/>
      <c r="D613" s="60"/>
      <c r="E613" s="60"/>
      <c r="F613" s="60"/>
      <c r="G613" s="60"/>
      <c r="J613" s="99"/>
      <c r="K613" s="99"/>
      <c r="L613" s="99"/>
      <c r="M613" s="99"/>
      <c r="N613" s="43">
        <f t="shared" si="9"/>
        <v>0</v>
      </c>
    </row>
    <row r="614" spans="2:14" ht="1.5" customHeight="1">
      <c r="B614" s="57"/>
      <c r="C614" s="60"/>
      <c r="D614" s="60"/>
      <c r="E614" s="60"/>
      <c r="F614" s="60"/>
      <c r="G614" s="60"/>
      <c r="J614" s="99"/>
      <c r="K614" s="99"/>
      <c r="L614" s="99"/>
      <c r="M614" s="99"/>
      <c r="N614" s="43">
        <f t="shared" si="9"/>
        <v>0</v>
      </c>
    </row>
    <row r="615" spans="2:14" ht="1.5" customHeight="1">
      <c r="B615" s="57"/>
      <c r="C615" s="60"/>
      <c r="D615" s="60"/>
      <c r="E615" s="60"/>
      <c r="F615" s="60"/>
      <c r="G615" s="60"/>
      <c r="J615" s="99"/>
      <c r="K615" s="99"/>
      <c r="L615" s="99"/>
      <c r="M615" s="99"/>
      <c r="N615" s="43">
        <f t="shared" si="9"/>
        <v>0</v>
      </c>
    </row>
    <row r="616" spans="2:14" ht="1.5" customHeight="1">
      <c r="B616" s="57"/>
      <c r="C616" s="60"/>
      <c r="D616" s="60"/>
      <c r="E616" s="60"/>
      <c r="F616" s="60"/>
      <c r="G616" s="60"/>
      <c r="J616" s="99"/>
      <c r="K616" s="99"/>
      <c r="L616" s="99"/>
      <c r="M616" s="99"/>
      <c r="N616" s="43">
        <f t="shared" si="9"/>
        <v>0</v>
      </c>
    </row>
    <row r="617" spans="2:14" ht="1.5" customHeight="1">
      <c r="B617" s="57"/>
      <c r="C617" s="60"/>
      <c r="D617" s="60"/>
      <c r="E617" s="60"/>
      <c r="F617" s="60"/>
      <c r="G617" s="60"/>
      <c r="J617" s="99"/>
      <c r="K617" s="99"/>
      <c r="L617" s="99"/>
      <c r="M617" s="99"/>
      <c r="N617" s="43">
        <f t="shared" si="9"/>
        <v>0</v>
      </c>
    </row>
    <row r="618" spans="2:14" ht="1.5" customHeight="1">
      <c r="B618" s="57"/>
      <c r="C618" s="60"/>
      <c r="D618" s="60"/>
      <c r="E618" s="60"/>
      <c r="F618" s="60"/>
      <c r="G618" s="60"/>
      <c r="J618" s="99"/>
      <c r="K618" s="99"/>
      <c r="L618" s="99"/>
      <c r="M618" s="99"/>
      <c r="N618" s="43">
        <f t="shared" si="9"/>
        <v>0</v>
      </c>
    </row>
    <row r="619" spans="2:14" ht="1.5" customHeight="1">
      <c r="B619" s="57"/>
      <c r="C619" s="60"/>
      <c r="D619" s="60"/>
      <c r="E619" s="60"/>
      <c r="F619" s="60"/>
      <c r="G619" s="60"/>
      <c r="J619" s="99"/>
      <c r="K619" s="99"/>
      <c r="L619" s="99"/>
      <c r="M619" s="99"/>
      <c r="N619" s="43">
        <f t="shared" si="9"/>
        <v>0</v>
      </c>
    </row>
    <row r="620" spans="2:14" ht="1.5" customHeight="1">
      <c r="B620" s="57"/>
      <c r="C620" s="60"/>
      <c r="D620" s="60"/>
      <c r="E620" s="60"/>
      <c r="F620" s="60"/>
      <c r="G620" s="60"/>
      <c r="J620" s="99"/>
      <c r="K620" s="99"/>
      <c r="L620" s="99"/>
      <c r="M620" s="99"/>
      <c r="N620" s="43">
        <f t="shared" si="9"/>
        <v>0</v>
      </c>
    </row>
    <row r="621" spans="2:14" ht="1.5" customHeight="1">
      <c r="B621" s="57"/>
      <c r="C621" s="60"/>
      <c r="D621" s="60"/>
      <c r="E621" s="60"/>
      <c r="F621" s="60"/>
      <c r="G621" s="60"/>
      <c r="J621" s="99"/>
      <c r="K621" s="99"/>
      <c r="L621" s="99"/>
      <c r="M621" s="99"/>
      <c r="N621" s="43">
        <f t="shared" si="9"/>
        <v>0</v>
      </c>
    </row>
    <row r="622" spans="2:14" ht="1.5" customHeight="1">
      <c r="B622" s="57"/>
      <c r="C622" s="60"/>
      <c r="D622" s="60"/>
      <c r="E622" s="60"/>
      <c r="F622" s="60"/>
      <c r="G622" s="60"/>
      <c r="J622" s="99"/>
      <c r="K622" s="99"/>
      <c r="L622" s="99"/>
      <c r="M622" s="99"/>
      <c r="N622" s="43">
        <f t="shared" si="9"/>
        <v>0</v>
      </c>
    </row>
    <row r="623" spans="2:14" ht="1.5" customHeight="1">
      <c r="B623" s="57"/>
      <c r="C623" s="60"/>
      <c r="D623" s="60"/>
      <c r="E623" s="60"/>
      <c r="F623" s="60"/>
      <c r="G623" s="60"/>
      <c r="J623" s="99"/>
      <c r="K623" s="99"/>
      <c r="L623" s="99"/>
      <c r="M623" s="99"/>
      <c r="N623" s="43">
        <f t="shared" si="9"/>
        <v>0</v>
      </c>
    </row>
    <row r="624" spans="2:14" ht="1.5" customHeight="1">
      <c r="B624" s="57"/>
      <c r="C624" s="60"/>
      <c r="D624" s="60"/>
      <c r="E624" s="60"/>
      <c r="F624" s="60"/>
      <c r="G624" s="60"/>
      <c r="J624" s="99"/>
      <c r="K624" s="99"/>
      <c r="L624" s="99"/>
      <c r="M624" s="99"/>
      <c r="N624" s="43">
        <f t="shared" si="9"/>
        <v>0</v>
      </c>
    </row>
    <row r="625" spans="2:14" ht="1.5" customHeight="1">
      <c r="B625" s="57"/>
      <c r="C625" s="60"/>
      <c r="D625" s="60"/>
      <c r="E625" s="60"/>
      <c r="F625" s="60"/>
      <c r="G625" s="60"/>
      <c r="J625" s="99"/>
      <c r="K625" s="99"/>
      <c r="L625" s="99"/>
      <c r="M625" s="99"/>
      <c r="N625" s="43">
        <f t="shared" si="9"/>
        <v>0</v>
      </c>
    </row>
    <row r="626" spans="2:14" ht="1.5" customHeight="1">
      <c r="B626" s="57"/>
      <c r="C626" s="60"/>
      <c r="D626" s="60"/>
      <c r="E626" s="60"/>
      <c r="F626" s="60"/>
      <c r="G626" s="60"/>
      <c r="J626" s="99"/>
      <c r="K626" s="99"/>
      <c r="L626" s="99"/>
      <c r="M626" s="99"/>
      <c r="N626" s="43">
        <f t="shared" si="9"/>
        <v>0</v>
      </c>
    </row>
    <row r="627" spans="2:14" ht="1.5" customHeight="1">
      <c r="B627" s="57"/>
      <c r="C627" s="60"/>
      <c r="D627" s="60"/>
      <c r="E627" s="60"/>
      <c r="F627" s="60"/>
      <c r="G627" s="60"/>
      <c r="J627" s="99"/>
      <c r="K627" s="99"/>
      <c r="L627" s="99"/>
      <c r="M627" s="99"/>
      <c r="N627" s="43">
        <f t="shared" si="9"/>
        <v>0</v>
      </c>
    </row>
    <row r="628" spans="2:14" ht="1.5" customHeight="1">
      <c r="B628" s="57"/>
      <c r="C628" s="60"/>
      <c r="D628" s="60"/>
      <c r="E628" s="60"/>
      <c r="F628" s="60"/>
      <c r="G628" s="60"/>
      <c r="J628" s="99"/>
      <c r="K628" s="99"/>
      <c r="L628" s="99"/>
      <c r="M628" s="99"/>
      <c r="N628" s="43">
        <f t="shared" si="9"/>
        <v>0</v>
      </c>
    </row>
    <row r="629" spans="2:14" ht="1.5" customHeight="1">
      <c r="B629" s="57"/>
      <c r="C629" s="60"/>
      <c r="D629" s="60"/>
      <c r="E629" s="60"/>
      <c r="F629" s="60"/>
      <c r="G629" s="60"/>
      <c r="J629" s="99"/>
      <c r="K629" s="99"/>
      <c r="L629" s="99"/>
      <c r="M629" s="99"/>
      <c r="N629" s="43">
        <f t="shared" si="9"/>
        <v>0</v>
      </c>
    </row>
    <row r="630" spans="2:14" ht="1.5" customHeight="1">
      <c r="B630" s="57"/>
      <c r="C630" s="60"/>
      <c r="D630" s="60"/>
      <c r="E630" s="60"/>
      <c r="F630" s="60"/>
      <c r="G630" s="60"/>
      <c r="J630" s="99"/>
      <c r="K630" s="99"/>
      <c r="L630" s="99"/>
      <c r="M630" s="99"/>
      <c r="N630" s="43">
        <f t="shared" si="9"/>
        <v>0</v>
      </c>
    </row>
    <row r="631" spans="2:14" ht="1.5" customHeight="1">
      <c r="B631" s="57"/>
      <c r="C631" s="60"/>
      <c r="D631" s="60"/>
      <c r="E631" s="60"/>
      <c r="F631" s="60"/>
      <c r="G631" s="60"/>
      <c r="J631" s="99"/>
      <c r="K631" s="99"/>
      <c r="L631" s="99"/>
      <c r="M631" s="99"/>
      <c r="N631" s="43">
        <f t="shared" si="9"/>
        <v>0</v>
      </c>
    </row>
    <row r="632" spans="2:14" ht="1.5" customHeight="1">
      <c r="B632" s="57"/>
      <c r="C632" s="60"/>
      <c r="D632" s="60"/>
      <c r="E632" s="60"/>
      <c r="F632" s="60"/>
      <c r="G632" s="60"/>
      <c r="J632" s="99"/>
      <c r="K632" s="99"/>
      <c r="L632" s="99"/>
      <c r="M632" s="99"/>
      <c r="N632" s="43">
        <f t="shared" si="9"/>
        <v>0</v>
      </c>
    </row>
    <row r="633" spans="2:14" ht="1.5" customHeight="1">
      <c r="B633" s="57"/>
      <c r="C633" s="60"/>
      <c r="D633" s="60"/>
      <c r="E633" s="60"/>
      <c r="F633" s="60"/>
      <c r="G633" s="60"/>
      <c r="J633" s="99"/>
      <c r="K633" s="99"/>
      <c r="L633" s="99"/>
      <c r="M633" s="99"/>
      <c r="N633" s="43">
        <f t="shared" si="9"/>
        <v>0</v>
      </c>
    </row>
    <row r="634" spans="2:14" ht="1.5" customHeight="1">
      <c r="B634" s="57"/>
      <c r="C634" s="60"/>
      <c r="D634" s="60"/>
      <c r="E634" s="60"/>
      <c r="F634" s="60"/>
      <c r="G634" s="60"/>
      <c r="J634" s="99"/>
      <c r="K634" s="99"/>
      <c r="L634" s="99"/>
      <c r="M634" s="99"/>
      <c r="N634" s="43">
        <f t="shared" si="9"/>
        <v>0</v>
      </c>
    </row>
    <row r="635" spans="2:14" ht="1.5" customHeight="1">
      <c r="B635" s="57"/>
      <c r="C635" s="60"/>
      <c r="D635" s="60"/>
      <c r="E635" s="60"/>
      <c r="F635" s="60"/>
      <c r="G635" s="60"/>
      <c r="J635" s="99"/>
      <c r="K635" s="99"/>
      <c r="L635" s="99"/>
      <c r="M635" s="99"/>
      <c r="N635" s="43">
        <f t="shared" si="9"/>
        <v>0</v>
      </c>
    </row>
    <row r="636" spans="2:14" ht="1.5" customHeight="1">
      <c r="B636" s="57"/>
      <c r="C636" s="60"/>
      <c r="D636" s="60"/>
      <c r="E636" s="60"/>
      <c r="F636" s="60"/>
      <c r="G636" s="60"/>
      <c r="J636" s="99"/>
      <c r="K636" s="99"/>
      <c r="L636" s="99"/>
      <c r="M636" s="99"/>
      <c r="N636" s="43">
        <f t="shared" si="9"/>
        <v>0</v>
      </c>
    </row>
    <row r="637" spans="2:14" ht="1.5" customHeight="1">
      <c r="B637" s="57"/>
      <c r="C637" s="60"/>
      <c r="D637" s="60"/>
      <c r="E637" s="60"/>
      <c r="F637" s="60"/>
      <c r="G637" s="60"/>
      <c r="J637" s="99"/>
      <c r="K637" s="99"/>
      <c r="L637" s="99"/>
      <c r="M637" s="99"/>
      <c r="N637" s="43">
        <f t="shared" si="9"/>
        <v>0</v>
      </c>
    </row>
    <row r="638" spans="2:14" ht="1.5" customHeight="1">
      <c r="B638" s="57"/>
      <c r="C638" s="60"/>
      <c r="D638" s="60"/>
      <c r="E638" s="60"/>
      <c r="F638" s="60"/>
      <c r="G638" s="60"/>
      <c r="J638" s="99"/>
      <c r="K638" s="99"/>
      <c r="L638" s="99"/>
      <c r="M638" s="99"/>
      <c r="N638" s="43">
        <f t="shared" si="9"/>
        <v>0</v>
      </c>
    </row>
    <row r="639" spans="2:14" ht="1.5" customHeight="1">
      <c r="B639" s="57"/>
      <c r="C639" s="60"/>
      <c r="D639" s="60"/>
      <c r="E639" s="60"/>
      <c r="F639" s="60"/>
      <c r="G639" s="60"/>
      <c r="J639" s="99"/>
      <c r="K639" s="99"/>
      <c r="L639" s="99"/>
      <c r="M639" s="99"/>
      <c r="N639" s="43">
        <f t="shared" si="9"/>
        <v>0</v>
      </c>
    </row>
    <row r="640" spans="2:14" ht="1.5" customHeight="1">
      <c r="B640" s="57"/>
      <c r="C640" s="60"/>
      <c r="D640" s="60"/>
      <c r="E640" s="60"/>
      <c r="F640" s="60"/>
      <c r="G640" s="60"/>
      <c r="J640" s="99"/>
      <c r="K640" s="99"/>
      <c r="L640" s="99"/>
      <c r="M640" s="99"/>
      <c r="N640" s="43">
        <f t="shared" si="9"/>
        <v>0</v>
      </c>
    </row>
    <row r="641" spans="2:14" ht="1.5" customHeight="1">
      <c r="B641" s="57"/>
      <c r="C641" s="60"/>
      <c r="D641" s="60"/>
      <c r="E641" s="60"/>
      <c r="F641" s="60"/>
      <c r="G641" s="60"/>
      <c r="J641" s="99"/>
      <c r="K641" s="99"/>
      <c r="L641" s="99"/>
      <c r="M641" s="99"/>
      <c r="N641" s="43">
        <f t="shared" si="9"/>
        <v>0</v>
      </c>
    </row>
    <row r="642" spans="2:14" ht="1.5" customHeight="1">
      <c r="B642" s="57"/>
      <c r="C642" s="60"/>
      <c r="D642" s="60"/>
      <c r="E642" s="60"/>
      <c r="F642" s="60"/>
      <c r="G642" s="60"/>
      <c r="J642" s="99"/>
      <c r="K642" s="99"/>
      <c r="L642" s="99"/>
      <c r="M642" s="99"/>
      <c r="N642" s="43">
        <f t="shared" si="9"/>
        <v>0</v>
      </c>
    </row>
    <row r="643" spans="2:14" ht="1.5" customHeight="1">
      <c r="B643" s="57"/>
      <c r="C643" s="60"/>
      <c r="D643" s="60"/>
      <c r="E643" s="60"/>
      <c r="F643" s="60"/>
      <c r="G643" s="60"/>
      <c r="J643" s="99"/>
      <c r="K643" s="99"/>
      <c r="L643" s="99"/>
      <c r="M643" s="99"/>
      <c r="N643" s="43">
        <f t="shared" si="9"/>
        <v>0</v>
      </c>
    </row>
    <row r="644" spans="2:14" ht="1.5" customHeight="1">
      <c r="B644" s="57"/>
      <c r="C644" s="60"/>
      <c r="D644" s="60"/>
      <c r="E644" s="60"/>
      <c r="F644" s="60"/>
      <c r="G644" s="60"/>
      <c r="J644" s="99"/>
      <c r="K644" s="99"/>
      <c r="L644" s="99"/>
      <c r="M644" s="99"/>
      <c r="N644" s="43">
        <f t="shared" si="9"/>
        <v>0</v>
      </c>
    </row>
    <row r="645" spans="2:14" ht="1.5" customHeight="1">
      <c r="B645" s="57"/>
      <c r="C645" s="60"/>
      <c r="D645" s="60"/>
      <c r="E645" s="60"/>
      <c r="F645" s="60"/>
      <c r="G645" s="60"/>
      <c r="J645" s="99"/>
      <c r="K645" s="99"/>
      <c r="L645" s="99"/>
      <c r="M645" s="99"/>
      <c r="N645" s="43">
        <f t="shared" si="9"/>
        <v>0</v>
      </c>
    </row>
    <row r="646" spans="2:14" ht="1.5" customHeight="1">
      <c r="B646" s="57"/>
      <c r="C646" s="60"/>
      <c r="D646" s="60"/>
      <c r="E646" s="60"/>
      <c r="F646" s="60"/>
      <c r="G646" s="60"/>
      <c r="J646" s="99"/>
      <c r="K646" s="99"/>
      <c r="L646" s="99"/>
      <c r="M646" s="99"/>
      <c r="N646" s="43">
        <f t="shared" si="9"/>
        <v>0</v>
      </c>
    </row>
    <row r="647" spans="2:14" ht="1.5" customHeight="1">
      <c r="B647" s="57"/>
      <c r="C647" s="60"/>
      <c r="D647" s="60"/>
      <c r="E647" s="60"/>
      <c r="F647" s="60"/>
      <c r="G647" s="60"/>
      <c r="J647" s="99"/>
      <c r="K647" s="99"/>
      <c r="L647" s="99"/>
      <c r="M647" s="99"/>
      <c r="N647" s="43">
        <f t="shared" si="9"/>
        <v>0</v>
      </c>
    </row>
    <row r="648" spans="2:14" ht="1.5" customHeight="1">
      <c r="B648" s="57"/>
      <c r="C648" s="60"/>
      <c r="D648" s="60"/>
      <c r="E648" s="60"/>
      <c r="F648" s="60"/>
      <c r="G648" s="60"/>
      <c r="J648" s="99"/>
      <c r="K648" s="99"/>
      <c r="L648" s="99"/>
      <c r="M648" s="99"/>
      <c r="N648" s="43">
        <f t="shared" si="9"/>
        <v>0</v>
      </c>
    </row>
    <row r="649" spans="2:14" ht="1.5" customHeight="1">
      <c r="B649" s="57"/>
      <c r="C649" s="60"/>
      <c r="D649" s="60"/>
      <c r="E649" s="60"/>
      <c r="F649" s="60"/>
      <c r="G649" s="60"/>
      <c r="J649" s="99"/>
      <c r="K649" s="99"/>
      <c r="L649" s="99"/>
      <c r="M649" s="99"/>
      <c r="N649" s="43">
        <f t="shared" si="9"/>
        <v>0</v>
      </c>
    </row>
    <row r="650" spans="2:14" ht="1.5" customHeight="1">
      <c r="B650" s="57"/>
      <c r="C650" s="60"/>
      <c r="D650" s="60"/>
      <c r="E650" s="60"/>
      <c r="F650" s="60"/>
      <c r="G650" s="60"/>
      <c r="J650" s="99"/>
      <c r="K650" s="99"/>
      <c r="L650" s="99"/>
      <c r="M650" s="99"/>
      <c r="N650" s="43">
        <f t="shared" si="9"/>
        <v>0</v>
      </c>
    </row>
    <row r="651" spans="2:14" ht="1.5" customHeight="1">
      <c r="B651" s="57"/>
      <c r="C651" s="60"/>
      <c r="D651" s="60"/>
      <c r="E651" s="60"/>
      <c r="F651" s="60"/>
      <c r="G651" s="60"/>
      <c r="J651" s="99"/>
      <c r="K651" s="99"/>
      <c r="L651" s="99"/>
      <c r="M651" s="99"/>
      <c r="N651" s="43">
        <f t="shared" ref="N651:N714" si="10">IF($L$4=$C$10,C651,IF(D651="","",B651))</f>
        <v>0</v>
      </c>
    </row>
    <row r="652" spans="2:14" ht="1.5" customHeight="1">
      <c r="B652" s="57"/>
      <c r="C652" s="60"/>
      <c r="D652" s="60"/>
      <c r="E652" s="60"/>
      <c r="F652" s="60"/>
      <c r="G652" s="60"/>
      <c r="J652" s="99"/>
      <c r="K652" s="99"/>
      <c r="L652" s="99"/>
      <c r="M652" s="99"/>
      <c r="N652" s="43">
        <f t="shared" si="10"/>
        <v>0</v>
      </c>
    </row>
    <row r="653" spans="2:14" ht="1.5" customHeight="1">
      <c r="B653" s="57"/>
      <c r="C653" s="60"/>
      <c r="D653" s="60"/>
      <c r="E653" s="60"/>
      <c r="F653" s="60"/>
      <c r="G653" s="60"/>
      <c r="J653" s="99"/>
      <c r="K653" s="99"/>
      <c r="L653" s="99"/>
      <c r="M653" s="99"/>
      <c r="N653" s="43">
        <f t="shared" si="10"/>
        <v>0</v>
      </c>
    </row>
    <row r="654" spans="2:14" ht="1.5" customHeight="1">
      <c r="B654" s="57"/>
      <c r="C654" s="60"/>
      <c r="D654" s="60"/>
      <c r="E654" s="60"/>
      <c r="F654" s="60"/>
      <c r="G654" s="60"/>
      <c r="J654" s="99"/>
      <c r="K654" s="99"/>
      <c r="L654" s="99"/>
      <c r="M654" s="99"/>
      <c r="N654" s="43">
        <f t="shared" si="10"/>
        <v>0</v>
      </c>
    </row>
    <row r="655" spans="2:14" ht="1.5" customHeight="1">
      <c r="B655" s="57"/>
      <c r="C655" s="60"/>
      <c r="D655" s="60"/>
      <c r="E655" s="60"/>
      <c r="F655" s="60"/>
      <c r="G655" s="60"/>
      <c r="J655" s="99"/>
      <c r="K655" s="99"/>
      <c r="L655" s="99"/>
      <c r="M655" s="99"/>
      <c r="N655" s="43">
        <f t="shared" si="10"/>
        <v>0</v>
      </c>
    </row>
    <row r="656" spans="2:14" ht="1.5" customHeight="1">
      <c r="B656" s="57"/>
      <c r="C656" s="60"/>
      <c r="D656" s="60"/>
      <c r="E656" s="60"/>
      <c r="F656" s="60"/>
      <c r="G656" s="60"/>
      <c r="J656" s="99"/>
      <c r="K656" s="99"/>
      <c r="L656" s="99"/>
      <c r="M656" s="99"/>
      <c r="N656" s="43">
        <f t="shared" si="10"/>
        <v>0</v>
      </c>
    </row>
    <row r="657" spans="2:14" ht="1.5" customHeight="1">
      <c r="B657" s="57"/>
      <c r="C657" s="60"/>
      <c r="D657" s="60"/>
      <c r="E657" s="60"/>
      <c r="F657" s="60"/>
      <c r="G657" s="60"/>
      <c r="J657" s="99"/>
      <c r="K657" s="99"/>
      <c r="L657" s="99"/>
      <c r="M657" s="99"/>
      <c r="N657" s="43">
        <f t="shared" si="10"/>
        <v>0</v>
      </c>
    </row>
    <row r="658" spans="2:14" ht="1.5" customHeight="1">
      <c r="B658" s="57"/>
      <c r="C658" s="60"/>
      <c r="D658" s="60"/>
      <c r="E658" s="60"/>
      <c r="F658" s="60"/>
      <c r="G658" s="60"/>
      <c r="J658" s="99"/>
      <c r="K658" s="99"/>
      <c r="L658" s="99"/>
      <c r="M658" s="99"/>
      <c r="N658" s="43">
        <f t="shared" si="10"/>
        <v>0</v>
      </c>
    </row>
    <row r="659" spans="2:14" ht="1.5" customHeight="1">
      <c r="B659" s="57"/>
      <c r="C659" s="60"/>
      <c r="D659" s="60"/>
      <c r="E659" s="60"/>
      <c r="F659" s="60"/>
      <c r="G659" s="60"/>
      <c r="J659" s="99"/>
      <c r="K659" s="99"/>
      <c r="L659" s="99"/>
      <c r="M659" s="99"/>
      <c r="N659" s="43">
        <f t="shared" si="10"/>
        <v>0</v>
      </c>
    </row>
    <row r="660" spans="2:14" ht="1.5" customHeight="1">
      <c r="B660" s="57"/>
      <c r="C660" s="60"/>
      <c r="D660" s="60"/>
      <c r="E660" s="60"/>
      <c r="F660" s="60"/>
      <c r="G660" s="60"/>
      <c r="J660" s="99"/>
      <c r="K660" s="99"/>
      <c r="L660" s="99"/>
      <c r="M660" s="99"/>
      <c r="N660" s="43">
        <f t="shared" si="10"/>
        <v>0</v>
      </c>
    </row>
    <row r="661" spans="2:14" ht="1.5" customHeight="1">
      <c r="B661" s="57"/>
      <c r="C661" s="60"/>
      <c r="D661" s="60"/>
      <c r="E661" s="60"/>
      <c r="F661" s="60"/>
      <c r="G661" s="60"/>
      <c r="J661" s="99"/>
      <c r="K661" s="99"/>
      <c r="L661" s="99"/>
      <c r="M661" s="99"/>
      <c r="N661" s="43">
        <f t="shared" si="10"/>
        <v>0</v>
      </c>
    </row>
    <row r="662" spans="2:14" ht="1.5" customHeight="1">
      <c r="B662" s="57"/>
      <c r="C662" s="60"/>
      <c r="D662" s="60"/>
      <c r="E662" s="60"/>
      <c r="F662" s="60"/>
      <c r="G662" s="60"/>
      <c r="J662" s="99"/>
      <c r="K662" s="99"/>
      <c r="L662" s="99"/>
      <c r="M662" s="99"/>
      <c r="N662" s="43">
        <f t="shared" si="10"/>
        <v>0</v>
      </c>
    </row>
    <row r="663" spans="2:14" ht="1.5" customHeight="1">
      <c r="B663" s="57"/>
      <c r="C663" s="60"/>
      <c r="D663" s="60"/>
      <c r="E663" s="60"/>
      <c r="F663" s="60"/>
      <c r="G663" s="60"/>
      <c r="J663" s="99"/>
      <c r="K663" s="99"/>
      <c r="L663" s="99"/>
      <c r="M663" s="99"/>
      <c r="N663" s="43">
        <f t="shared" si="10"/>
        <v>0</v>
      </c>
    </row>
    <row r="664" spans="2:14" ht="1.5" customHeight="1">
      <c r="B664" s="57"/>
      <c r="C664" s="60"/>
      <c r="D664" s="60"/>
      <c r="E664" s="60"/>
      <c r="F664" s="60"/>
      <c r="G664" s="60"/>
      <c r="J664" s="99"/>
      <c r="K664" s="99"/>
      <c r="L664" s="99"/>
      <c r="M664" s="99"/>
      <c r="N664" s="43">
        <f t="shared" si="10"/>
        <v>0</v>
      </c>
    </row>
    <row r="665" spans="2:14" ht="1.5" customHeight="1">
      <c r="B665" s="57"/>
      <c r="C665" s="60"/>
      <c r="D665" s="60"/>
      <c r="E665" s="60"/>
      <c r="F665" s="60"/>
      <c r="G665" s="60"/>
      <c r="J665" s="99"/>
      <c r="K665" s="99"/>
      <c r="L665" s="99"/>
      <c r="M665" s="99"/>
      <c r="N665" s="43">
        <f t="shared" si="10"/>
        <v>0</v>
      </c>
    </row>
    <row r="666" spans="2:14" ht="1.5" customHeight="1">
      <c r="B666" s="57"/>
      <c r="C666" s="60"/>
      <c r="D666" s="60"/>
      <c r="E666" s="60"/>
      <c r="F666" s="60"/>
      <c r="G666" s="60"/>
      <c r="J666" s="99"/>
      <c r="K666" s="99"/>
      <c r="L666" s="99"/>
      <c r="M666" s="99"/>
      <c r="N666" s="43">
        <f t="shared" si="10"/>
        <v>0</v>
      </c>
    </row>
    <row r="667" spans="2:14" ht="1.5" customHeight="1">
      <c r="B667" s="57"/>
      <c r="C667" s="60"/>
      <c r="D667" s="60"/>
      <c r="E667" s="60"/>
      <c r="F667" s="60"/>
      <c r="G667" s="60"/>
      <c r="J667" s="99"/>
      <c r="K667" s="99"/>
      <c r="L667" s="99"/>
      <c r="M667" s="99"/>
      <c r="N667" s="43">
        <f t="shared" si="10"/>
        <v>0</v>
      </c>
    </row>
    <row r="668" spans="2:14" ht="1.5" customHeight="1">
      <c r="B668" s="57"/>
      <c r="C668" s="60"/>
      <c r="D668" s="60"/>
      <c r="E668" s="60"/>
      <c r="F668" s="60"/>
      <c r="G668" s="60"/>
      <c r="J668" s="99"/>
      <c r="K668" s="99"/>
      <c r="L668" s="99"/>
      <c r="M668" s="99"/>
      <c r="N668" s="43">
        <f t="shared" si="10"/>
        <v>0</v>
      </c>
    </row>
    <row r="669" spans="2:14" ht="1.5" customHeight="1">
      <c r="B669" s="57"/>
      <c r="C669" s="60"/>
      <c r="D669" s="60"/>
      <c r="E669" s="60"/>
      <c r="F669" s="60"/>
      <c r="G669" s="60"/>
      <c r="J669" s="99"/>
      <c r="K669" s="99"/>
      <c r="L669" s="99"/>
      <c r="M669" s="99"/>
      <c r="N669" s="43">
        <f t="shared" si="10"/>
        <v>0</v>
      </c>
    </row>
    <row r="670" spans="2:14" ht="1.5" customHeight="1">
      <c r="B670" s="57"/>
      <c r="C670" s="60"/>
      <c r="D670" s="60"/>
      <c r="E670" s="60"/>
      <c r="F670" s="60"/>
      <c r="G670" s="60"/>
      <c r="J670" s="99"/>
      <c r="K670" s="99"/>
      <c r="L670" s="99"/>
      <c r="M670" s="99"/>
      <c r="N670" s="43">
        <f t="shared" si="10"/>
        <v>0</v>
      </c>
    </row>
    <row r="671" spans="2:14" ht="1.5" customHeight="1">
      <c r="B671" s="57"/>
      <c r="C671" s="60"/>
      <c r="D671" s="60"/>
      <c r="E671" s="60"/>
      <c r="F671" s="60"/>
      <c r="G671" s="60"/>
      <c r="J671" s="99"/>
      <c r="K671" s="99"/>
      <c r="L671" s="99"/>
      <c r="M671" s="99"/>
      <c r="N671" s="43">
        <f t="shared" si="10"/>
        <v>0</v>
      </c>
    </row>
    <row r="672" spans="2:14" ht="1.5" customHeight="1">
      <c r="B672" s="57"/>
      <c r="C672" s="60"/>
      <c r="D672" s="60"/>
      <c r="E672" s="60"/>
      <c r="F672" s="60"/>
      <c r="G672" s="60"/>
      <c r="J672" s="99"/>
      <c r="K672" s="99"/>
      <c r="L672" s="99"/>
      <c r="M672" s="99"/>
      <c r="N672" s="43">
        <f t="shared" si="10"/>
        <v>0</v>
      </c>
    </row>
    <row r="673" spans="2:14" ht="1.5" customHeight="1">
      <c r="B673" s="57"/>
      <c r="C673" s="60"/>
      <c r="D673" s="60"/>
      <c r="E673" s="60"/>
      <c r="F673" s="60"/>
      <c r="G673" s="60"/>
      <c r="J673" s="99"/>
      <c r="K673" s="99"/>
      <c r="L673" s="99"/>
      <c r="M673" s="99"/>
      <c r="N673" s="43">
        <f t="shared" si="10"/>
        <v>0</v>
      </c>
    </row>
    <row r="674" spans="2:14" ht="1.5" customHeight="1">
      <c r="B674" s="57"/>
      <c r="C674" s="60"/>
      <c r="D674" s="60"/>
      <c r="E674" s="60"/>
      <c r="F674" s="60"/>
      <c r="G674" s="60"/>
      <c r="J674" s="99"/>
      <c r="K674" s="99"/>
      <c r="L674" s="99"/>
      <c r="M674" s="99"/>
      <c r="N674" s="43">
        <f t="shared" si="10"/>
        <v>0</v>
      </c>
    </row>
    <row r="675" spans="2:14" ht="1.5" customHeight="1">
      <c r="B675" s="57"/>
      <c r="C675" s="60"/>
      <c r="D675" s="60"/>
      <c r="E675" s="60"/>
      <c r="F675" s="60"/>
      <c r="G675" s="60"/>
      <c r="J675" s="99"/>
      <c r="K675" s="99"/>
      <c r="L675" s="99"/>
      <c r="M675" s="99"/>
      <c r="N675" s="43">
        <f t="shared" si="10"/>
        <v>0</v>
      </c>
    </row>
    <row r="676" spans="2:14" ht="1.5" customHeight="1">
      <c r="B676" s="57"/>
      <c r="C676" s="60"/>
      <c r="D676" s="60"/>
      <c r="E676" s="60"/>
      <c r="F676" s="60"/>
      <c r="G676" s="60"/>
      <c r="J676" s="99"/>
      <c r="K676" s="99"/>
      <c r="L676" s="99"/>
      <c r="M676" s="99"/>
      <c r="N676" s="43">
        <f t="shared" si="10"/>
        <v>0</v>
      </c>
    </row>
    <row r="677" spans="2:14" ht="1.5" customHeight="1">
      <c r="B677" s="57"/>
      <c r="C677" s="60"/>
      <c r="D677" s="60"/>
      <c r="E677" s="60"/>
      <c r="F677" s="60"/>
      <c r="G677" s="60"/>
      <c r="J677" s="99"/>
      <c r="K677" s="99"/>
      <c r="L677" s="99"/>
      <c r="M677" s="99"/>
      <c r="N677" s="43">
        <f t="shared" si="10"/>
        <v>0</v>
      </c>
    </row>
    <row r="678" spans="2:14" ht="1.5" customHeight="1">
      <c r="B678" s="57"/>
      <c r="C678" s="60"/>
      <c r="D678" s="60"/>
      <c r="E678" s="60"/>
      <c r="F678" s="60"/>
      <c r="G678" s="60"/>
      <c r="J678" s="99"/>
      <c r="K678" s="99"/>
      <c r="L678" s="99"/>
      <c r="M678" s="99"/>
      <c r="N678" s="43">
        <f t="shared" si="10"/>
        <v>0</v>
      </c>
    </row>
    <row r="679" spans="2:14" ht="1.5" customHeight="1">
      <c r="B679" s="57"/>
      <c r="C679" s="60"/>
      <c r="D679" s="60"/>
      <c r="E679" s="60"/>
      <c r="F679" s="60"/>
      <c r="G679" s="60"/>
      <c r="J679" s="99"/>
      <c r="K679" s="99"/>
      <c r="L679" s="99"/>
      <c r="M679" s="99"/>
      <c r="N679" s="43">
        <f t="shared" si="10"/>
        <v>0</v>
      </c>
    </row>
    <row r="680" spans="2:14" ht="1.5" customHeight="1">
      <c r="B680" s="57"/>
      <c r="C680" s="60"/>
      <c r="D680" s="60"/>
      <c r="E680" s="60"/>
      <c r="F680" s="60"/>
      <c r="G680" s="60"/>
      <c r="J680" s="99"/>
      <c r="K680" s="99"/>
      <c r="L680" s="99"/>
      <c r="M680" s="99"/>
      <c r="N680" s="43">
        <f t="shared" si="10"/>
        <v>0</v>
      </c>
    </row>
    <row r="681" spans="2:14" ht="1.5" customHeight="1">
      <c r="B681" s="57"/>
      <c r="C681" s="60"/>
      <c r="D681" s="60"/>
      <c r="E681" s="60"/>
      <c r="F681" s="60"/>
      <c r="G681" s="60"/>
      <c r="J681" s="99"/>
      <c r="K681" s="99"/>
      <c r="L681" s="99"/>
      <c r="M681" s="99"/>
      <c r="N681" s="43">
        <f t="shared" si="10"/>
        <v>0</v>
      </c>
    </row>
    <row r="682" spans="2:14" ht="1.5" customHeight="1">
      <c r="B682" s="57"/>
      <c r="C682" s="60"/>
      <c r="D682" s="60"/>
      <c r="E682" s="60"/>
      <c r="F682" s="60"/>
      <c r="G682" s="60"/>
      <c r="J682" s="99"/>
      <c r="K682" s="99"/>
      <c r="L682" s="99"/>
      <c r="M682" s="99"/>
      <c r="N682" s="43">
        <f t="shared" si="10"/>
        <v>0</v>
      </c>
    </row>
    <row r="683" spans="2:14" ht="1.5" customHeight="1">
      <c r="B683" s="57"/>
      <c r="C683" s="60"/>
      <c r="D683" s="60"/>
      <c r="E683" s="60"/>
      <c r="F683" s="60"/>
      <c r="G683" s="60"/>
      <c r="J683" s="99"/>
      <c r="K683" s="99"/>
      <c r="L683" s="99"/>
      <c r="M683" s="99"/>
      <c r="N683" s="43">
        <f t="shared" si="10"/>
        <v>0</v>
      </c>
    </row>
    <row r="684" spans="2:14" ht="1.5" customHeight="1">
      <c r="B684" s="57"/>
      <c r="C684" s="60"/>
      <c r="D684" s="60"/>
      <c r="E684" s="60"/>
      <c r="F684" s="60"/>
      <c r="G684" s="60"/>
      <c r="J684" s="99"/>
      <c r="K684" s="99"/>
      <c r="L684" s="99"/>
      <c r="M684" s="99"/>
      <c r="N684" s="43">
        <f t="shared" si="10"/>
        <v>0</v>
      </c>
    </row>
    <row r="685" spans="2:14" ht="1.5" customHeight="1">
      <c r="B685" s="57"/>
      <c r="C685" s="60"/>
      <c r="D685" s="60"/>
      <c r="E685" s="60"/>
      <c r="F685" s="60"/>
      <c r="G685" s="60"/>
      <c r="J685" s="99"/>
      <c r="K685" s="99"/>
      <c r="L685" s="99"/>
      <c r="M685" s="99"/>
      <c r="N685" s="43">
        <f t="shared" si="10"/>
        <v>0</v>
      </c>
    </row>
    <row r="686" spans="2:14" ht="1.5" customHeight="1">
      <c r="B686" s="57"/>
      <c r="C686" s="60"/>
      <c r="D686" s="60"/>
      <c r="E686" s="60"/>
      <c r="F686" s="60"/>
      <c r="G686" s="60"/>
      <c r="J686" s="99"/>
      <c r="K686" s="99"/>
      <c r="L686" s="99"/>
      <c r="M686" s="99"/>
      <c r="N686" s="43">
        <f t="shared" si="10"/>
        <v>0</v>
      </c>
    </row>
    <row r="687" spans="2:14" ht="1.5" customHeight="1">
      <c r="B687" s="57"/>
      <c r="C687" s="60"/>
      <c r="D687" s="60"/>
      <c r="E687" s="60"/>
      <c r="F687" s="60"/>
      <c r="G687" s="60"/>
      <c r="J687" s="99"/>
      <c r="K687" s="99"/>
      <c r="L687" s="99"/>
      <c r="M687" s="99"/>
      <c r="N687" s="43">
        <f t="shared" si="10"/>
        <v>0</v>
      </c>
    </row>
    <row r="688" spans="2:14" ht="1.5" customHeight="1">
      <c r="B688" s="57"/>
      <c r="C688" s="60"/>
      <c r="D688" s="60"/>
      <c r="E688" s="60"/>
      <c r="F688" s="60"/>
      <c r="G688" s="60"/>
      <c r="J688" s="99"/>
      <c r="K688" s="99"/>
      <c r="L688" s="99"/>
      <c r="M688" s="99"/>
      <c r="N688" s="43">
        <f t="shared" si="10"/>
        <v>0</v>
      </c>
    </row>
    <row r="689" spans="2:14" ht="1.5" customHeight="1">
      <c r="B689" s="57"/>
      <c r="C689" s="60"/>
      <c r="D689" s="60"/>
      <c r="E689" s="60"/>
      <c r="F689" s="60"/>
      <c r="G689" s="60"/>
      <c r="J689" s="99"/>
      <c r="K689" s="99"/>
      <c r="L689" s="99"/>
      <c r="M689" s="99"/>
      <c r="N689" s="43">
        <f t="shared" si="10"/>
        <v>0</v>
      </c>
    </row>
    <row r="690" spans="2:14" ht="1.5" customHeight="1">
      <c r="B690" s="57"/>
      <c r="C690" s="60"/>
      <c r="D690" s="60"/>
      <c r="E690" s="60"/>
      <c r="F690" s="60"/>
      <c r="G690" s="60"/>
      <c r="J690" s="99"/>
      <c r="K690" s="99"/>
      <c r="L690" s="99"/>
      <c r="M690" s="99"/>
      <c r="N690" s="43">
        <f t="shared" si="10"/>
        <v>0</v>
      </c>
    </row>
    <row r="691" spans="2:14" ht="1.5" customHeight="1">
      <c r="B691" s="57"/>
      <c r="C691" s="60"/>
      <c r="D691" s="60"/>
      <c r="E691" s="60"/>
      <c r="F691" s="60"/>
      <c r="G691" s="60"/>
      <c r="J691" s="99"/>
      <c r="K691" s="99"/>
      <c r="L691" s="99"/>
      <c r="M691" s="99"/>
      <c r="N691" s="43">
        <f t="shared" si="10"/>
        <v>0</v>
      </c>
    </row>
    <row r="692" spans="2:14" ht="1.5" customHeight="1">
      <c r="B692" s="57"/>
      <c r="C692" s="60"/>
      <c r="D692" s="60"/>
      <c r="E692" s="60"/>
      <c r="F692" s="60"/>
      <c r="G692" s="60"/>
      <c r="J692" s="99"/>
      <c r="K692" s="99"/>
      <c r="L692" s="99"/>
      <c r="M692" s="99"/>
      <c r="N692" s="43">
        <f t="shared" si="10"/>
        <v>0</v>
      </c>
    </row>
    <row r="693" spans="2:14" ht="1.5" customHeight="1">
      <c r="B693" s="57"/>
      <c r="C693" s="60"/>
      <c r="D693" s="60"/>
      <c r="E693" s="60"/>
      <c r="F693" s="60"/>
      <c r="G693" s="60"/>
      <c r="J693" s="99"/>
      <c r="K693" s="99"/>
      <c r="L693" s="99"/>
      <c r="M693" s="99"/>
      <c r="N693" s="43">
        <f t="shared" si="10"/>
        <v>0</v>
      </c>
    </row>
    <row r="694" spans="2:14" ht="1.5" customHeight="1">
      <c r="B694" s="57"/>
      <c r="C694" s="60"/>
      <c r="D694" s="60"/>
      <c r="E694" s="60"/>
      <c r="F694" s="60"/>
      <c r="G694" s="60"/>
      <c r="J694" s="99"/>
      <c r="K694" s="99"/>
      <c r="L694" s="99"/>
      <c r="M694" s="99"/>
      <c r="N694" s="43">
        <f t="shared" si="10"/>
        <v>0</v>
      </c>
    </row>
    <row r="695" spans="2:14" ht="1.5" customHeight="1">
      <c r="B695" s="57"/>
      <c r="C695" s="60"/>
      <c r="D695" s="60"/>
      <c r="E695" s="60"/>
      <c r="F695" s="60"/>
      <c r="G695" s="60"/>
      <c r="J695" s="99"/>
      <c r="K695" s="99"/>
      <c r="L695" s="99"/>
      <c r="M695" s="99"/>
      <c r="N695" s="43">
        <f t="shared" si="10"/>
        <v>0</v>
      </c>
    </row>
    <row r="696" spans="2:14" ht="1.5" customHeight="1">
      <c r="B696" s="57"/>
      <c r="C696" s="60"/>
      <c r="D696" s="60"/>
      <c r="E696" s="60"/>
      <c r="F696" s="60"/>
      <c r="G696" s="60"/>
      <c r="J696" s="99"/>
      <c r="K696" s="99"/>
      <c r="L696" s="99"/>
      <c r="M696" s="99"/>
      <c r="N696" s="43">
        <f t="shared" si="10"/>
        <v>0</v>
      </c>
    </row>
    <row r="697" spans="2:14" ht="1.5" customHeight="1">
      <c r="B697" s="57"/>
      <c r="C697" s="60"/>
      <c r="D697" s="60"/>
      <c r="E697" s="60"/>
      <c r="F697" s="60"/>
      <c r="G697" s="60"/>
      <c r="J697" s="99"/>
      <c r="K697" s="99"/>
      <c r="L697" s="99"/>
      <c r="M697" s="99"/>
      <c r="N697" s="43">
        <f t="shared" si="10"/>
        <v>0</v>
      </c>
    </row>
    <row r="698" spans="2:14" ht="1.5" customHeight="1">
      <c r="B698" s="57"/>
      <c r="C698" s="60"/>
      <c r="D698" s="60"/>
      <c r="E698" s="60"/>
      <c r="F698" s="60"/>
      <c r="G698" s="60"/>
      <c r="J698" s="99"/>
      <c r="K698" s="99"/>
      <c r="L698" s="99"/>
      <c r="M698" s="99"/>
      <c r="N698" s="43">
        <f t="shared" si="10"/>
        <v>0</v>
      </c>
    </row>
    <row r="699" spans="2:14" ht="1.5" customHeight="1">
      <c r="B699" s="57"/>
      <c r="C699" s="60"/>
      <c r="D699" s="60"/>
      <c r="E699" s="60"/>
      <c r="F699" s="60"/>
      <c r="G699" s="60"/>
      <c r="J699" s="99"/>
      <c r="K699" s="99"/>
      <c r="L699" s="99"/>
      <c r="M699" s="99"/>
      <c r="N699" s="43">
        <f t="shared" si="10"/>
        <v>0</v>
      </c>
    </row>
    <row r="700" spans="2:14" ht="1.5" customHeight="1">
      <c r="B700" s="57"/>
      <c r="C700" s="60"/>
      <c r="D700" s="60"/>
      <c r="E700" s="60"/>
      <c r="F700" s="60"/>
      <c r="G700" s="60"/>
      <c r="J700" s="99"/>
      <c r="K700" s="99"/>
      <c r="L700" s="99"/>
      <c r="M700" s="99"/>
      <c r="N700" s="43">
        <f t="shared" si="10"/>
        <v>0</v>
      </c>
    </row>
    <row r="701" spans="2:14" ht="1.5" customHeight="1">
      <c r="B701" s="57"/>
      <c r="C701" s="60"/>
      <c r="D701" s="60"/>
      <c r="E701" s="60"/>
      <c r="F701" s="60"/>
      <c r="G701" s="60"/>
      <c r="J701" s="99"/>
      <c r="K701" s="99"/>
      <c r="L701" s="99"/>
      <c r="M701" s="99"/>
      <c r="N701" s="43">
        <f t="shared" si="10"/>
        <v>0</v>
      </c>
    </row>
    <row r="702" spans="2:14" ht="1.5" customHeight="1">
      <c r="B702" s="57"/>
      <c r="C702" s="60"/>
      <c r="D702" s="60"/>
      <c r="E702" s="60"/>
      <c r="F702" s="60"/>
      <c r="G702" s="60"/>
      <c r="J702" s="99"/>
      <c r="K702" s="99"/>
      <c r="L702" s="99"/>
      <c r="M702" s="99"/>
      <c r="N702" s="43">
        <f t="shared" si="10"/>
        <v>0</v>
      </c>
    </row>
    <row r="703" spans="2:14" ht="1.5" customHeight="1">
      <c r="B703" s="57"/>
      <c r="C703" s="60"/>
      <c r="D703" s="60"/>
      <c r="E703" s="60"/>
      <c r="F703" s="60"/>
      <c r="G703" s="60"/>
      <c r="J703" s="99"/>
      <c r="K703" s="99"/>
      <c r="L703" s="99"/>
      <c r="M703" s="99"/>
      <c r="N703" s="43">
        <f t="shared" si="10"/>
        <v>0</v>
      </c>
    </row>
    <row r="704" spans="2:14" ht="1.5" customHeight="1">
      <c r="B704" s="57"/>
      <c r="C704" s="60"/>
      <c r="D704" s="60"/>
      <c r="E704" s="60"/>
      <c r="F704" s="60"/>
      <c r="G704" s="60"/>
      <c r="J704" s="99"/>
      <c r="K704" s="99"/>
      <c r="L704" s="99"/>
      <c r="M704" s="99"/>
      <c r="N704" s="43">
        <f t="shared" si="10"/>
        <v>0</v>
      </c>
    </row>
    <row r="705" spans="2:14" ht="1.5" customHeight="1">
      <c r="B705" s="57"/>
      <c r="C705" s="60"/>
      <c r="D705" s="60"/>
      <c r="E705" s="60"/>
      <c r="F705" s="60"/>
      <c r="G705" s="60"/>
      <c r="J705" s="99"/>
      <c r="K705" s="99"/>
      <c r="L705" s="99"/>
      <c r="M705" s="99"/>
      <c r="N705" s="43">
        <f t="shared" si="10"/>
        <v>0</v>
      </c>
    </row>
    <row r="706" spans="2:14" ht="1.5" customHeight="1">
      <c r="B706" s="57"/>
      <c r="C706" s="60"/>
      <c r="D706" s="60"/>
      <c r="E706" s="60"/>
      <c r="F706" s="60"/>
      <c r="G706" s="60"/>
      <c r="J706" s="99"/>
      <c r="K706" s="99"/>
      <c r="L706" s="99"/>
      <c r="M706" s="99"/>
      <c r="N706" s="43">
        <f t="shared" si="10"/>
        <v>0</v>
      </c>
    </row>
    <row r="707" spans="2:14" ht="1.5" customHeight="1">
      <c r="B707" s="57"/>
      <c r="C707" s="60"/>
      <c r="D707" s="60"/>
      <c r="E707" s="60"/>
      <c r="F707" s="60"/>
      <c r="G707" s="60"/>
      <c r="J707" s="99"/>
      <c r="K707" s="99"/>
      <c r="L707" s="99"/>
      <c r="M707" s="99"/>
      <c r="N707" s="43">
        <f t="shared" si="10"/>
        <v>0</v>
      </c>
    </row>
    <row r="708" spans="2:14" ht="1.5" customHeight="1">
      <c r="B708" s="57"/>
      <c r="C708" s="60"/>
      <c r="D708" s="60"/>
      <c r="E708" s="60"/>
      <c r="F708" s="60"/>
      <c r="G708" s="60"/>
      <c r="J708" s="99"/>
      <c r="K708" s="99"/>
      <c r="L708" s="99"/>
      <c r="M708" s="99"/>
      <c r="N708" s="43">
        <f t="shared" si="10"/>
        <v>0</v>
      </c>
    </row>
    <row r="709" spans="2:14" ht="1.5" customHeight="1">
      <c r="B709" s="57"/>
      <c r="C709" s="60"/>
      <c r="D709" s="60"/>
      <c r="E709" s="60"/>
      <c r="F709" s="60"/>
      <c r="G709" s="60"/>
      <c r="J709" s="99"/>
      <c r="K709" s="99"/>
      <c r="L709" s="99"/>
      <c r="M709" s="99"/>
      <c r="N709" s="43">
        <f t="shared" si="10"/>
        <v>0</v>
      </c>
    </row>
    <row r="710" spans="2:14" ht="1.5" customHeight="1">
      <c r="B710" s="57"/>
      <c r="C710" s="60"/>
      <c r="D710" s="60"/>
      <c r="E710" s="60"/>
      <c r="F710" s="60"/>
      <c r="G710" s="60"/>
      <c r="J710" s="99"/>
      <c r="K710" s="99"/>
      <c r="L710" s="99"/>
      <c r="M710" s="99"/>
      <c r="N710" s="43">
        <f t="shared" si="10"/>
        <v>0</v>
      </c>
    </row>
    <row r="711" spans="2:14" ht="1.5" customHeight="1">
      <c r="B711" s="57"/>
      <c r="C711" s="60"/>
      <c r="D711" s="60"/>
      <c r="E711" s="60"/>
      <c r="F711" s="60"/>
      <c r="G711" s="60"/>
      <c r="J711" s="99"/>
      <c r="K711" s="99"/>
      <c r="L711" s="99"/>
      <c r="M711" s="99"/>
      <c r="N711" s="43">
        <f t="shared" si="10"/>
        <v>0</v>
      </c>
    </row>
    <row r="712" spans="2:14" ht="1.5" customHeight="1">
      <c r="B712" s="57"/>
      <c r="C712" s="60"/>
      <c r="D712" s="60"/>
      <c r="E712" s="60"/>
      <c r="F712" s="60"/>
      <c r="G712" s="60"/>
      <c r="J712" s="99"/>
      <c r="K712" s="99"/>
      <c r="L712" s="99"/>
      <c r="M712" s="99"/>
      <c r="N712" s="43">
        <f t="shared" si="10"/>
        <v>0</v>
      </c>
    </row>
    <row r="713" spans="2:14" ht="1.5" customHeight="1">
      <c r="B713" s="57"/>
      <c r="C713" s="60"/>
      <c r="D713" s="60"/>
      <c r="E713" s="60"/>
      <c r="F713" s="60"/>
      <c r="G713" s="60"/>
      <c r="J713" s="99"/>
      <c r="K713" s="99"/>
      <c r="L713" s="99"/>
      <c r="M713" s="99"/>
      <c r="N713" s="43">
        <f t="shared" si="10"/>
        <v>0</v>
      </c>
    </row>
    <row r="714" spans="2:14" ht="1.5" customHeight="1">
      <c r="B714" s="57"/>
      <c r="C714" s="60"/>
      <c r="D714" s="60"/>
      <c r="E714" s="60"/>
      <c r="F714" s="60"/>
      <c r="G714" s="60"/>
      <c r="J714" s="99"/>
      <c r="K714" s="99"/>
      <c r="L714" s="99"/>
      <c r="M714" s="99"/>
      <c r="N714" s="43">
        <f t="shared" si="10"/>
        <v>0</v>
      </c>
    </row>
    <row r="715" spans="2:14" ht="1.5" customHeight="1">
      <c r="B715" s="57"/>
      <c r="C715" s="60"/>
      <c r="D715" s="60"/>
      <c r="E715" s="60"/>
      <c r="F715" s="60"/>
      <c r="G715" s="60"/>
      <c r="J715" s="99"/>
      <c r="K715" s="99"/>
      <c r="L715" s="99"/>
      <c r="M715" s="99"/>
      <c r="N715" s="43">
        <f t="shared" ref="N715:N778" si="11">IF($L$4=$C$10,C715,IF(D715="","",B715))</f>
        <v>0</v>
      </c>
    </row>
    <row r="716" spans="2:14" ht="1.5" customHeight="1">
      <c r="B716" s="57"/>
      <c r="C716" s="60"/>
      <c r="D716" s="60"/>
      <c r="E716" s="60"/>
      <c r="F716" s="60"/>
      <c r="G716" s="60"/>
      <c r="J716" s="99"/>
      <c r="K716" s="99"/>
      <c r="L716" s="99"/>
      <c r="M716" s="99"/>
      <c r="N716" s="43">
        <f t="shared" si="11"/>
        <v>0</v>
      </c>
    </row>
    <row r="717" spans="2:14" ht="1.5" customHeight="1">
      <c r="B717" s="57"/>
      <c r="C717" s="60"/>
      <c r="D717" s="60"/>
      <c r="E717" s="60"/>
      <c r="F717" s="60"/>
      <c r="G717" s="60"/>
      <c r="J717" s="99"/>
      <c r="K717" s="99"/>
      <c r="L717" s="99"/>
      <c r="M717" s="99"/>
      <c r="N717" s="43">
        <f t="shared" si="11"/>
        <v>0</v>
      </c>
    </row>
    <row r="718" spans="2:14" ht="1.5" customHeight="1">
      <c r="B718" s="57"/>
      <c r="C718" s="60"/>
      <c r="D718" s="60"/>
      <c r="E718" s="60"/>
      <c r="F718" s="60"/>
      <c r="G718" s="60"/>
      <c r="J718" s="99"/>
      <c r="K718" s="99"/>
      <c r="L718" s="99"/>
      <c r="M718" s="99"/>
      <c r="N718" s="43">
        <f t="shared" si="11"/>
        <v>0</v>
      </c>
    </row>
    <row r="719" spans="2:14" ht="1.5" customHeight="1">
      <c r="B719" s="57"/>
      <c r="C719" s="60"/>
      <c r="D719" s="60"/>
      <c r="E719" s="60"/>
      <c r="F719" s="60"/>
      <c r="G719" s="60"/>
      <c r="J719" s="99"/>
      <c r="K719" s="99"/>
      <c r="L719" s="99"/>
      <c r="M719" s="99"/>
      <c r="N719" s="43">
        <f t="shared" si="11"/>
        <v>0</v>
      </c>
    </row>
    <row r="720" spans="2:14" ht="1.5" customHeight="1">
      <c r="B720" s="57"/>
      <c r="C720" s="60"/>
      <c r="D720" s="60"/>
      <c r="E720" s="60"/>
      <c r="F720" s="60"/>
      <c r="G720" s="60"/>
      <c r="J720" s="99"/>
      <c r="K720" s="99"/>
      <c r="L720" s="99"/>
      <c r="M720" s="99"/>
      <c r="N720" s="43">
        <f t="shared" si="11"/>
        <v>0</v>
      </c>
    </row>
    <row r="721" spans="2:14" ht="1.5" customHeight="1">
      <c r="B721" s="57"/>
      <c r="C721" s="60"/>
      <c r="D721" s="60"/>
      <c r="E721" s="60"/>
      <c r="F721" s="60"/>
      <c r="G721" s="60"/>
      <c r="J721" s="99"/>
      <c r="K721" s="99"/>
      <c r="L721" s="99"/>
      <c r="M721" s="99"/>
      <c r="N721" s="43">
        <f t="shared" si="11"/>
        <v>0</v>
      </c>
    </row>
    <row r="722" spans="2:14" ht="1.5" customHeight="1">
      <c r="B722" s="57"/>
      <c r="C722" s="60"/>
      <c r="D722" s="60"/>
      <c r="E722" s="60"/>
      <c r="F722" s="60"/>
      <c r="G722" s="60"/>
      <c r="J722" s="99"/>
      <c r="K722" s="99"/>
      <c r="L722" s="99"/>
      <c r="M722" s="99"/>
      <c r="N722" s="43">
        <f t="shared" si="11"/>
        <v>0</v>
      </c>
    </row>
    <row r="723" spans="2:14" ht="1.5" customHeight="1">
      <c r="B723" s="57"/>
      <c r="C723" s="60"/>
      <c r="D723" s="60"/>
      <c r="E723" s="60"/>
      <c r="F723" s="60"/>
      <c r="G723" s="60"/>
      <c r="J723" s="99"/>
      <c r="K723" s="99"/>
      <c r="L723" s="99"/>
      <c r="M723" s="99"/>
      <c r="N723" s="43">
        <f t="shared" si="11"/>
        <v>0</v>
      </c>
    </row>
    <row r="724" spans="2:14" ht="1.5" customHeight="1">
      <c r="B724" s="57"/>
      <c r="C724" s="60"/>
      <c r="D724" s="60"/>
      <c r="E724" s="60"/>
      <c r="F724" s="60"/>
      <c r="G724" s="60"/>
      <c r="J724" s="99"/>
      <c r="K724" s="99"/>
      <c r="L724" s="99"/>
      <c r="M724" s="99"/>
      <c r="N724" s="43">
        <f t="shared" si="11"/>
        <v>0</v>
      </c>
    </row>
    <row r="725" spans="2:14" ht="1.5" customHeight="1">
      <c r="B725" s="57"/>
      <c r="C725" s="60"/>
      <c r="D725" s="60"/>
      <c r="E725" s="60"/>
      <c r="F725" s="60"/>
      <c r="G725" s="60"/>
      <c r="J725" s="99"/>
      <c r="K725" s="99"/>
      <c r="L725" s="99"/>
      <c r="M725" s="99"/>
      <c r="N725" s="43">
        <f t="shared" si="11"/>
        <v>0</v>
      </c>
    </row>
    <row r="726" spans="2:14" ht="1.5" customHeight="1">
      <c r="B726" s="57"/>
      <c r="C726" s="60"/>
      <c r="D726" s="60"/>
      <c r="E726" s="60"/>
      <c r="F726" s="60"/>
      <c r="G726" s="60"/>
      <c r="J726" s="99"/>
      <c r="K726" s="99"/>
      <c r="L726" s="99"/>
      <c r="M726" s="99"/>
      <c r="N726" s="43">
        <f t="shared" si="11"/>
        <v>0</v>
      </c>
    </row>
    <row r="727" spans="2:14" ht="1.5" customHeight="1">
      <c r="B727" s="57"/>
      <c r="C727" s="60"/>
      <c r="D727" s="60"/>
      <c r="E727" s="60"/>
      <c r="F727" s="60"/>
      <c r="G727" s="60"/>
      <c r="J727" s="99"/>
      <c r="K727" s="99"/>
      <c r="L727" s="99"/>
      <c r="M727" s="99"/>
      <c r="N727" s="43">
        <f t="shared" si="11"/>
        <v>0</v>
      </c>
    </row>
    <row r="728" spans="2:14" ht="1.5" customHeight="1">
      <c r="B728" s="57"/>
      <c r="C728" s="60"/>
      <c r="D728" s="60"/>
      <c r="E728" s="60"/>
      <c r="F728" s="60"/>
      <c r="G728" s="60"/>
      <c r="J728" s="99"/>
      <c r="K728" s="99"/>
      <c r="L728" s="99"/>
      <c r="M728" s="99"/>
      <c r="N728" s="43">
        <f t="shared" si="11"/>
        <v>0</v>
      </c>
    </row>
    <row r="729" spans="2:14" ht="1.5" customHeight="1">
      <c r="B729" s="57"/>
      <c r="C729" s="60"/>
      <c r="D729" s="60"/>
      <c r="E729" s="60"/>
      <c r="F729" s="60"/>
      <c r="G729" s="60"/>
      <c r="J729" s="99"/>
      <c r="K729" s="99"/>
      <c r="L729" s="99"/>
      <c r="M729" s="99"/>
      <c r="N729" s="43">
        <f t="shared" si="11"/>
        <v>0</v>
      </c>
    </row>
    <row r="730" spans="2:14" ht="1.5" customHeight="1">
      <c r="B730" s="57"/>
      <c r="C730" s="60"/>
      <c r="D730" s="60"/>
      <c r="E730" s="60"/>
      <c r="F730" s="60"/>
      <c r="G730" s="60"/>
      <c r="J730" s="99"/>
      <c r="K730" s="99"/>
      <c r="L730" s="99"/>
      <c r="M730" s="99"/>
      <c r="N730" s="43">
        <f t="shared" si="11"/>
        <v>0</v>
      </c>
    </row>
    <row r="731" spans="2:14" ht="1.5" customHeight="1">
      <c r="B731" s="57"/>
      <c r="C731" s="60"/>
      <c r="D731" s="60"/>
      <c r="E731" s="60"/>
      <c r="F731" s="60"/>
      <c r="G731" s="60"/>
      <c r="J731" s="99"/>
      <c r="K731" s="99"/>
      <c r="L731" s="99"/>
      <c r="M731" s="99"/>
      <c r="N731" s="43">
        <f t="shared" si="11"/>
        <v>0</v>
      </c>
    </row>
    <row r="732" spans="2:14" ht="1.5" customHeight="1">
      <c r="B732" s="57"/>
      <c r="C732" s="60"/>
      <c r="D732" s="60"/>
      <c r="E732" s="60"/>
      <c r="F732" s="60"/>
      <c r="G732" s="60"/>
      <c r="J732" s="99"/>
      <c r="K732" s="99"/>
      <c r="L732" s="99"/>
      <c r="M732" s="99"/>
      <c r="N732" s="43">
        <f t="shared" si="11"/>
        <v>0</v>
      </c>
    </row>
    <row r="733" spans="2:14" ht="1.5" customHeight="1">
      <c r="B733" s="57"/>
      <c r="C733" s="60"/>
      <c r="D733" s="60"/>
      <c r="E733" s="60"/>
      <c r="F733" s="60"/>
      <c r="G733" s="60"/>
      <c r="J733" s="99"/>
      <c r="K733" s="99"/>
      <c r="L733" s="99"/>
      <c r="M733" s="99"/>
      <c r="N733" s="43">
        <f t="shared" si="11"/>
        <v>0</v>
      </c>
    </row>
    <row r="734" spans="2:14" ht="1.5" customHeight="1">
      <c r="B734" s="57"/>
      <c r="C734" s="60"/>
      <c r="D734" s="60"/>
      <c r="E734" s="60"/>
      <c r="F734" s="60"/>
      <c r="G734" s="60"/>
      <c r="J734" s="99"/>
      <c r="K734" s="99"/>
      <c r="L734" s="99"/>
      <c r="M734" s="99"/>
      <c r="N734" s="43">
        <f t="shared" si="11"/>
        <v>0</v>
      </c>
    </row>
    <row r="735" spans="2:14" ht="1.5" customHeight="1">
      <c r="B735" s="57"/>
      <c r="C735" s="60"/>
      <c r="D735" s="60"/>
      <c r="E735" s="60"/>
      <c r="F735" s="60"/>
      <c r="G735" s="60"/>
      <c r="J735" s="99"/>
      <c r="K735" s="99"/>
      <c r="L735" s="99"/>
      <c r="M735" s="99"/>
      <c r="N735" s="43">
        <f t="shared" si="11"/>
        <v>0</v>
      </c>
    </row>
    <row r="736" spans="2:14" ht="1.5" customHeight="1">
      <c r="B736" s="57"/>
      <c r="C736" s="60"/>
      <c r="D736" s="60"/>
      <c r="E736" s="60"/>
      <c r="F736" s="60"/>
      <c r="G736" s="60"/>
      <c r="J736" s="99"/>
      <c r="K736" s="99"/>
      <c r="L736" s="99"/>
      <c r="M736" s="99"/>
      <c r="N736" s="43">
        <f t="shared" si="11"/>
        <v>0</v>
      </c>
    </row>
    <row r="737" spans="2:14" ht="1.5" customHeight="1">
      <c r="B737" s="57"/>
      <c r="C737" s="60"/>
      <c r="D737" s="60"/>
      <c r="E737" s="60"/>
      <c r="F737" s="60"/>
      <c r="G737" s="60"/>
      <c r="J737" s="99"/>
      <c r="K737" s="99"/>
      <c r="L737" s="99"/>
      <c r="M737" s="99"/>
      <c r="N737" s="43">
        <f t="shared" si="11"/>
        <v>0</v>
      </c>
    </row>
    <row r="738" spans="2:14" ht="1.5" customHeight="1">
      <c r="B738" s="57"/>
      <c r="C738" s="60"/>
      <c r="D738" s="60"/>
      <c r="E738" s="60"/>
      <c r="F738" s="60"/>
      <c r="G738" s="60"/>
      <c r="J738" s="99"/>
      <c r="K738" s="99"/>
      <c r="L738" s="99"/>
      <c r="M738" s="99"/>
      <c r="N738" s="43">
        <f t="shared" si="11"/>
        <v>0</v>
      </c>
    </row>
    <row r="739" spans="2:14" ht="1.5" customHeight="1">
      <c r="B739" s="57"/>
      <c r="C739" s="60"/>
      <c r="D739" s="60"/>
      <c r="E739" s="60"/>
      <c r="F739" s="60"/>
      <c r="G739" s="60"/>
      <c r="J739" s="99"/>
      <c r="K739" s="99"/>
      <c r="L739" s="99"/>
      <c r="M739" s="99"/>
      <c r="N739" s="43">
        <f t="shared" si="11"/>
        <v>0</v>
      </c>
    </row>
    <row r="740" spans="2:14" ht="1.5" customHeight="1">
      <c r="B740" s="57"/>
      <c r="C740" s="60"/>
      <c r="D740" s="60"/>
      <c r="E740" s="60"/>
      <c r="F740" s="60"/>
      <c r="G740" s="60"/>
      <c r="J740" s="99"/>
      <c r="K740" s="99"/>
      <c r="L740" s="99"/>
      <c r="M740" s="99"/>
      <c r="N740" s="43">
        <f t="shared" si="11"/>
        <v>0</v>
      </c>
    </row>
    <row r="741" spans="2:14" ht="1.5" customHeight="1">
      <c r="B741" s="57"/>
      <c r="C741" s="60"/>
      <c r="D741" s="60"/>
      <c r="E741" s="60"/>
      <c r="F741" s="60"/>
      <c r="G741" s="60"/>
      <c r="J741" s="99"/>
      <c r="K741" s="99"/>
      <c r="L741" s="99"/>
      <c r="M741" s="99"/>
      <c r="N741" s="43">
        <f t="shared" si="11"/>
        <v>0</v>
      </c>
    </row>
    <row r="742" spans="2:14" ht="1.5" customHeight="1">
      <c r="B742" s="57"/>
      <c r="C742" s="60"/>
      <c r="D742" s="60"/>
      <c r="E742" s="60"/>
      <c r="F742" s="60"/>
      <c r="G742" s="60"/>
      <c r="J742" s="99"/>
      <c r="K742" s="99"/>
      <c r="L742" s="99"/>
      <c r="M742" s="99"/>
      <c r="N742" s="43">
        <f t="shared" si="11"/>
        <v>0</v>
      </c>
    </row>
    <row r="743" spans="2:14" ht="1.5" customHeight="1">
      <c r="B743" s="57"/>
      <c r="C743" s="60"/>
      <c r="D743" s="60"/>
      <c r="E743" s="60"/>
      <c r="F743" s="60"/>
      <c r="G743" s="60"/>
      <c r="J743" s="99"/>
      <c r="K743" s="99"/>
      <c r="L743" s="99"/>
      <c r="M743" s="99"/>
      <c r="N743" s="43">
        <f t="shared" si="11"/>
        <v>0</v>
      </c>
    </row>
    <row r="744" spans="2:14" ht="1.5" customHeight="1">
      <c r="B744" s="57"/>
      <c r="C744" s="60"/>
      <c r="D744" s="60"/>
      <c r="E744" s="60"/>
      <c r="F744" s="60"/>
      <c r="G744" s="60"/>
      <c r="J744" s="99"/>
      <c r="K744" s="99"/>
      <c r="L744" s="99"/>
      <c r="M744" s="99"/>
      <c r="N744" s="43">
        <f t="shared" si="11"/>
        <v>0</v>
      </c>
    </row>
    <row r="745" spans="2:14" ht="1.5" customHeight="1">
      <c r="B745" s="57"/>
      <c r="C745" s="60"/>
      <c r="D745" s="60"/>
      <c r="E745" s="60"/>
      <c r="F745" s="60"/>
      <c r="G745" s="60"/>
      <c r="J745" s="99"/>
      <c r="K745" s="99"/>
      <c r="L745" s="99"/>
      <c r="M745" s="99"/>
      <c r="N745" s="43">
        <f t="shared" si="11"/>
        <v>0</v>
      </c>
    </row>
    <row r="746" spans="2:14" ht="1.5" customHeight="1">
      <c r="B746" s="57"/>
      <c r="C746" s="60"/>
      <c r="D746" s="60"/>
      <c r="E746" s="60"/>
      <c r="F746" s="60"/>
      <c r="G746" s="60"/>
      <c r="J746" s="99"/>
      <c r="K746" s="99"/>
      <c r="L746" s="99"/>
      <c r="M746" s="99"/>
      <c r="N746" s="43">
        <f t="shared" si="11"/>
        <v>0</v>
      </c>
    </row>
    <row r="747" spans="2:14" ht="1.5" customHeight="1">
      <c r="B747" s="57"/>
      <c r="C747" s="60"/>
      <c r="D747" s="60"/>
      <c r="E747" s="60"/>
      <c r="F747" s="60"/>
      <c r="G747" s="60"/>
      <c r="J747" s="99"/>
      <c r="K747" s="99"/>
      <c r="L747" s="99"/>
      <c r="M747" s="99"/>
      <c r="N747" s="43">
        <f t="shared" si="11"/>
        <v>0</v>
      </c>
    </row>
    <row r="748" spans="2:14" ht="1.5" customHeight="1">
      <c r="B748" s="57"/>
      <c r="C748" s="60"/>
      <c r="D748" s="60"/>
      <c r="E748" s="60"/>
      <c r="F748" s="60"/>
      <c r="G748" s="60"/>
      <c r="J748" s="99"/>
      <c r="K748" s="99"/>
      <c r="L748" s="99"/>
      <c r="M748" s="99"/>
      <c r="N748" s="43">
        <f t="shared" si="11"/>
        <v>0</v>
      </c>
    </row>
    <row r="749" spans="2:14" ht="1.5" customHeight="1">
      <c r="B749" s="57"/>
      <c r="C749" s="60"/>
      <c r="D749" s="60"/>
      <c r="E749" s="60"/>
      <c r="F749" s="60"/>
      <c r="G749" s="60"/>
      <c r="J749" s="99"/>
      <c r="K749" s="99"/>
      <c r="L749" s="99"/>
      <c r="M749" s="99"/>
      <c r="N749" s="43">
        <f t="shared" si="11"/>
        <v>0</v>
      </c>
    </row>
    <row r="750" spans="2:14" ht="1.5" customHeight="1">
      <c r="B750" s="57"/>
      <c r="C750" s="60"/>
      <c r="D750" s="60"/>
      <c r="E750" s="60"/>
      <c r="F750" s="60"/>
      <c r="G750" s="60"/>
      <c r="J750" s="99"/>
      <c r="K750" s="99"/>
      <c r="L750" s="99"/>
      <c r="M750" s="99"/>
      <c r="N750" s="43">
        <f t="shared" si="11"/>
        <v>0</v>
      </c>
    </row>
    <row r="751" spans="2:14" ht="1.5" customHeight="1">
      <c r="B751" s="57"/>
      <c r="C751" s="60"/>
      <c r="D751" s="60"/>
      <c r="E751" s="60"/>
      <c r="F751" s="60"/>
      <c r="G751" s="60"/>
      <c r="J751" s="99"/>
      <c r="K751" s="99"/>
      <c r="L751" s="99"/>
      <c r="M751" s="99"/>
      <c r="N751" s="43">
        <f t="shared" si="11"/>
        <v>0</v>
      </c>
    </row>
    <row r="752" spans="2:14" ht="1.5" customHeight="1">
      <c r="B752" s="57"/>
      <c r="C752" s="60"/>
      <c r="D752" s="60"/>
      <c r="E752" s="60"/>
      <c r="F752" s="60"/>
      <c r="G752" s="60"/>
      <c r="J752" s="99"/>
      <c r="K752" s="99"/>
      <c r="L752" s="99"/>
      <c r="M752" s="99"/>
      <c r="N752" s="43">
        <f t="shared" si="11"/>
        <v>0</v>
      </c>
    </row>
    <row r="753" spans="2:14" ht="1.5" customHeight="1">
      <c r="B753" s="57"/>
      <c r="C753" s="60"/>
      <c r="D753" s="60"/>
      <c r="E753" s="60"/>
      <c r="F753" s="60"/>
      <c r="G753" s="60"/>
      <c r="J753" s="99"/>
      <c r="K753" s="99"/>
      <c r="L753" s="99"/>
      <c r="M753" s="99"/>
      <c r="N753" s="43">
        <f t="shared" si="11"/>
        <v>0</v>
      </c>
    </row>
    <row r="754" spans="2:14" ht="1.5" customHeight="1">
      <c r="B754" s="57"/>
      <c r="C754" s="60"/>
      <c r="D754" s="60"/>
      <c r="E754" s="60"/>
      <c r="F754" s="60"/>
      <c r="G754" s="60"/>
      <c r="J754" s="99"/>
      <c r="K754" s="99"/>
      <c r="L754" s="99"/>
      <c r="M754" s="99"/>
      <c r="N754" s="43">
        <f t="shared" si="11"/>
        <v>0</v>
      </c>
    </row>
    <row r="755" spans="2:14" ht="1.5" customHeight="1">
      <c r="B755" s="57"/>
      <c r="C755" s="60"/>
      <c r="D755" s="60"/>
      <c r="E755" s="60"/>
      <c r="F755" s="60"/>
      <c r="G755" s="60"/>
      <c r="J755" s="99"/>
      <c r="K755" s="99"/>
      <c r="L755" s="99"/>
      <c r="M755" s="99"/>
      <c r="N755" s="43">
        <f t="shared" si="11"/>
        <v>0</v>
      </c>
    </row>
    <row r="756" spans="2:14" ht="1.5" customHeight="1">
      <c r="B756" s="57"/>
      <c r="C756" s="60"/>
      <c r="D756" s="60"/>
      <c r="E756" s="60"/>
      <c r="F756" s="60"/>
      <c r="G756" s="60"/>
      <c r="J756" s="99"/>
      <c r="K756" s="99"/>
      <c r="L756" s="99"/>
      <c r="M756" s="99"/>
      <c r="N756" s="43">
        <f t="shared" si="11"/>
        <v>0</v>
      </c>
    </row>
    <row r="757" spans="2:14" ht="1.5" customHeight="1">
      <c r="B757" s="57"/>
      <c r="C757" s="60"/>
      <c r="D757" s="60"/>
      <c r="E757" s="60"/>
      <c r="F757" s="60"/>
      <c r="G757" s="60"/>
      <c r="J757" s="99"/>
      <c r="K757" s="99"/>
      <c r="L757" s="99"/>
      <c r="M757" s="99"/>
      <c r="N757" s="43">
        <f t="shared" si="11"/>
        <v>0</v>
      </c>
    </row>
    <row r="758" spans="2:14" ht="1.5" customHeight="1">
      <c r="B758" s="57"/>
      <c r="C758" s="60"/>
      <c r="D758" s="60"/>
      <c r="E758" s="60"/>
      <c r="F758" s="60"/>
      <c r="G758" s="60"/>
      <c r="J758" s="99"/>
      <c r="K758" s="99"/>
      <c r="L758" s="99"/>
      <c r="M758" s="99"/>
      <c r="N758" s="43">
        <f t="shared" si="11"/>
        <v>0</v>
      </c>
    </row>
    <row r="759" spans="2:14" ht="1.5" customHeight="1">
      <c r="B759" s="57"/>
      <c r="C759" s="60"/>
      <c r="D759" s="60"/>
      <c r="E759" s="60"/>
      <c r="F759" s="60"/>
      <c r="G759" s="60"/>
      <c r="J759" s="99"/>
      <c r="K759" s="99"/>
      <c r="L759" s="99"/>
      <c r="M759" s="99"/>
      <c r="N759" s="43">
        <f t="shared" si="11"/>
        <v>0</v>
      </c>
    </row>
    <row r="760" spans="2:14" ht="1.5" customHeight="1">
      <c r="B760" s="57"/>
      <c r="C760" s="60"/>
      <c r="D760" s="60"/>
      <c r="E760" s="60"/>
      <c r="F760" s="60"/>
      <c r="G760" s="60"/>
      <c r="J760" s="99"/>
      <c r="K760" s="99"/>
      <c r="L760" s="99"/>
      <c r="M760" s="99"/>
      <c r="N760" s="43">
        <f t="shared" si="11"/>
        <v>0</v>
      </c>
    </row>
    <row r="761" spans="2:14" ht="1.5" customHeight="1">
      <c r="B761" s="57"/>
      <c r="C761" s="60"/>
      <c r="D761" s="60"/>
      <c r="E761" s="60"/>
      <c r="F761" s="60"/>
      <c r="G761" s="60"/>
      <c r="J761" s="99"/>
      <c r="K761" s="99"/>
      <c r="L761" s="99"/>
      <c r="M761" s="99"/>
      <c r="N761" s="43">
        <f t="shared" si="11"/>
        <v>0</v>
      </c>
    </row>
    <row r="762" spans="2:14" ht="1.5" customHeight="1">
      <c r="B762" s="57"/>
      <c r="C762" s="60"/>
      <c r="D762" s="60"/>
      <c r="E762" s="60"/>
      <c r="F762" s="60"/>
      <c r="G762" s="60"/>
      <c r="J762" s="99"/>
      <c r="K762" s="99"/>
      <c r="L762" s="99"/>
      <c r="M762" s="99"/>
      <c r="N762" s="43">
        <f t="shared" si="11"/>
        <v>0</v>
      </c>
    </row>
    <row r="763" spans="2:14" ht="1.5" customHeight="1">
      <c r="B763" s="57"/>
      <c r="C763" s="60"/>
      <c r="D763" s="60"/>
      <c r="E763" s="60"/>
      <c r="F763" s="60"/>
      <c r="G763" s="60"/>
      <c r="J763" s="99"/>
      <c r="K763" s="99"/>
      <c r="L763" s="99"/>
      <c r="M763" s="99"/>
      <c r="N763" s="43">
        <f t="shared" si="11"/>
        <v>0</v>
      </c>
    </row>
    <row r="764" spans="2:14" ht="1.5" customHeight="1">
      <c r="B764" s="57"/>
      <c r="C764" s="60"/>
      <c r="D764" s="60"/>
      <c r="E764" s="60"/>
      <c r="F764" s="60"/>
      <c r="G764" s="60"/>
      <c r="J764" s="99"/>
      <c r="K764" s="99"/>
      <c r="L764" s="99"/>
      <c r="M764" s="99"/>
      <c r="N764" s="43">
        <f t="shared" si="11"/>
        <v>0</v>
      </c>
    </row>
    <row r="765" spans="2:14" ht="1.5" customHeight="1">
      <c r="B765" s="57"/>
      <c r="C765" s="60"/>
      <c r="D765" s="60"/>
      <c r="E765" s="60"/>
      <c r="F765" s="60"/>
      <c r="G765" s="60"/>
      <c r="J765" s="99"/>
      <c r="K765" s="99"/>
      <c r="L765" s="99"/>
      <c r="M765" s="99"/>
      <c r="N765" s="43">
        <f t="shared" si="11"/>
        <v>0</v>
      </c>
    </row>
    <row r="766" spans="2:14" ht="1.5" customHeight="1">
      <c r="B766" s="57"/>
      <c r="C766" s="60"/>
      <c r="D766" s="60"/>
      <c r="E766" s="60"/>
      <c r="F766" s="60"/>
      <c r="G766" s="60"/>
      <c r="J766" s="99"/>
      <c r="K766" s="99"/>
      <c r="L766" s="99"/>
      <c r="M766" s="99"/>
      <c r="N766" s="43">
        <f t="shared" si="11"/>
        <v>0</v>
      </c>
    </row>
    <row r="767" spans="2:14" ht="1.5" customHeight="1">
      <c r="B767" s="57"/>
      <c r="C767" s="60"/>
      <c r="D767" s="60"/>
      <c r="E767" s="60"/>
      <c r="F767" s="60"/>
      <c r="G767" s="60"/>
      <c r="J767" s="99"/>
      <c r="K767" s="99"/>
      <c r="L767" s="99"/>
      <c r="M767" s="99"/>
      <c r="N767" s="43">
        <f t="shared" si="11"/>
        <v>0</v>
      </c>
    </row>
    <row r="768" spans="2:14" ht="1.5" customHeight="1">
      <c r="B768" s="57"/>
      <c r="C768" s="60"/>
      <c r="D768" s="60"/>
      <c r="E768" s="60"/>
      <c r="F768" s="60"/>
      <c r="G768" s="60"/>
      <c r="J768" s="99"/>
      <c r="K768" s="99"/>
      <c r="L768" s="99"/>
      <c r="M768" s="99"/>
      <c r="N768" s="43">
        <f t="shared" si="11"/>
        <v>0</v>
      </c>
    </row>
    <row r="769" spans="2:14" ht="1.5" customHeight="1">
      <c r="B769" s="57"/>
      <c r="C769" s="60"/>
      <c r="D769" s="60"/>
      <c r="E769" s="60"/>
      <c r="F769" s="60"/>
      <c r="G769" s="60"/>
      <c r="J769" s="99"/>
      <c r="K769" s="99"/>
      <c r="L769" s="99"/>
      <c r="M769" s="99"/>
      <c r="N769" s="43">
        <f t="shared" si="11"/>
        <v>0</v>
      </c>
    </row>
    <row r="770" spans="2:14" ht="1.5" customHeight="1">
      <c r="B770" s="57"/>
      <c r="C770" s="60"/>
      <c r="D770" s="60"/>
      <c r="E770" s="60"/>
      <c r="F770" s="60"/>
      <c r="G770" s="60"/>
      <c r="J770" s="99"/>
      <c r="K770" s="99"/>
      <c r="L770" s="99"/>
      <c r="M770" s="99"/>
      <c r="N770" s="43">
        <f t="shared" si="11"/>
        <v>0</v>
      </c>
    </row>
    <row r="771" spans="2:14" ht="1.5" customHeight="1">
      <c r="B771" s="57"/>
      <c r="C771" s="60"/>
      <c r="D771" s="60"/>
      <c r="E771" s="60"/>
      <c r="F771" s="60"/>
      <c r="G771" s="60"/>
      <c r="J771" s="99"/>
      <c r="K771" s="99"/>
      <c r="L771" s="99"/>
      <c r="M771" s="99"/>
      <c r="N771" s="43">
        <f t="shared" si="11"/>
        <v>0</v>
      </c>
    </row>
    <row r="772" spans="2:14" ht="1.5" customHeight="1">
      <c r="B772" s="57"/>
      <c r="C772" s="60"/>
      <c r="D772" s="60"/>
      <c r="E772" s="60"/>
      <c r="F772" s="60"/>
      <c r="G772" s="60"/>
      <c r="J772" s="99"/>
      <c r="K772" s="99"/>
      <c r="L772" s="99"/>
      <c r="M772" s="99"/>
      <c r="N772" s="43">
        <f t="shared" si="11"/>
        <v>0</v>
      </c>
    </row>
    <row r="773" spans="2:14" ht="1.5" customHeight="1">
      <c r="B773" s="57"/>
      <c r="C773" s="60"/>
      <c r="D773" s="60"/>
      <c r="E773" s="60"/>
      <c r="F773" s="60"/>
      <c r="G773" s="60"/>
      <c r="J773" s="99"/>
      <c r="K773" s="99"/>
      <c r="L773" s="99"/>
      <c r="M773" s="99"/>
      <c r="N773" s="43">
        <f t="shared" si="11"/>
        <v>0</v>
      </c>
    </row>
    <row r="774" spans="2:14" ht="1.5" customHeight="1">
      <c r="B774" s="57"/>
      <c r="C774" s="60"/>
      <c r="D774" s="60"/>
      <c r="E774" s="60"/>
      <c r="F774" s="60"/>
      <c r="G774" s="60"/>
      <c r="J774" s="99"/>
      <c r="K774" s="99"/>
      <c r="L774" s="99"/>
      <c r="M774" s="99"/>
      <c r="N774" s="43">
        <f t="shared" si="11"/>
        <v>0</v>
      </c>
    </row>
    <row r="775" spans="2:14" ht="1.5" customHeight="1">
      <c r="B775" s="57"/>
      <c r="C775" s="60"/>
      <c r="D775" s="60"/>
      <c r="E775" s="60"/>
      <c r="F775" s="60"/>
      <c r="G775" s="60"/>
      <c r="J775" s="99"/>
      <c r="K775" s="99"/>
      <c r="L775" s="99"/>
      <c r="M775" s="99"/>
      <c r="N775" s="43">
        <f t="shared" si="11"/>
        <v>0</v>
      </c>
    </row>
    <row r="776" spans="2:14" ht="1.5" customHeight="1">
      <c r="B776" s="57"/>
      <c r="C776" s="60"/>
      <c r="D776" s="60"/>
      <c r="E776" s="60"/>
      <c r="F776" s="60"/>
      <c r="G776" s="60"/>
      <c r="J776" s="99"/>
      <c r="K776" s="99"/>
      <c r="L776" s="99"/>
      <c r="M776" s="99"/>
      <c r="N776" s="43">
        <f t="shared" si="11"/>
        <v>0</v>
      </c>
    </row>
    <row r="777" spans="2:14" ht="1.5" customHeight="1">
      <c r="B777" s="57"/>
      <c r="C777" s="60"/>
      <c r="D777" s="60"/>
      <c r="E777" s="60"/>
      <c r="F777" s="60"/>
      <c r="G777" s="60"/>
      <c r="J777" s="99"/>
      <c r="K777" s="99"/>
      <c r="L777" s="99"/>
      <c r="M777" s="99"/>
      <c r="N777" s="43">
        <f t="shared" si="11"/>
        <v>0</v>
      </c>
    </row>
    <row r="778" spans="2:14" ht="1.5" customHeight="1">
      <c r="B778" s="57"/>
      <c r="C778" s="60"/>
      <c r="D778" s="60"/>
      <c r="E778" s="60"/>
      <c r="F778" s="60"/>
      <c r="G778" s="60"/>
      <c r="J778" s="99"/>
      <c r="K778" s="99"/>
      <c r="L778" s="99"/>
      <c r="M778" s="99"/>
      <c r="N778" s="43">
        <f t="shared" si="11"/>
        <v>0</v>
      </c>
    </row>
    <row r="779" spans="2:14" ht="1.5" customHeight="1">
      <c r="B779" s="57"/>
      <c r="C779" s="60"/>
      <c r="D779" s="60"/>
      <c r="E779" s="60"/>
      <c r="F779" s="60"/>
      <c r="G779" s="60"/>
      <c r="J779" s="99"/>
      <c r="K779" s="99"/>
      <c r="L779" s="99"/>
      <c r="M779" s="99"/>
      <c r="N779" s="43">
        <f t="shared" ref="N779:N811" si="12">IF($L$4=$C$10,C779,IF(D779="","",B779))</f>
        <v>0</v>
      </c>
    </row>
    <row r="780" spans="2:14" ht="1.5" customHeight="1">
      <c r="B780" s="57"/>
      <c r="C780" s="60"/>
      <c r="D780" s="60"/>
      <c r="E780" s="60"/>
      <c r="F780" s="60"/>
      <c r="G780" s="60"/>
      <c r="J780" s="99"/>
      <c r="K780" s="99"/>
      <c r="L780" s="99"/>
      <c r="M780" s="99"/>
      <c r="N780" s="43">
        <f t="shared" si="12"/>
        <v>0</v>
      </c>
    </row>
    <row r="781" spans="2:14" ht="1.5" customHeight="1">
      <c r="B781" s="57"/>
      <c r="C781" s="60"/>
      <c r="D781" s="60"/>
      <c r="E781" s="60"/>
      <c r="F781" s="60"/>
      <c r="G781" s="60"/>
      <c r="J781" s="99"/>
      <c r="K781" s="99"/>
      <c r="L781" s="99"/>
      <c r="M781" s="99"/>
      <c r="N781" s="43">
        <f t="shared" si="12"/>
        <v>0</v>
      </c>
    </row>
    <row r="782" spans="2:14" ht="1.5" customHeight="1">
      <c r="B782" s="57"/>
      <c r="C782" s="60"/>
      <c r="D782" s="60"/>
      <c r="E782" s="60"/>
      <c r="F782" s="60"/>
      <c r="G782" s="60"/>
      <c r="J782" s="99"/>
      <c r="K782" s="99"/>
      <c r="L782" s="99"/>
      <c r="M782" s="99"/>
      <c r="N782" s="43">
        <f t="shared" si="12"/>
        <v>0</v>
      </c>
    </row>
    <row r="783" spans="2:14" ht="1.5" customHeight="1">
      <c r="B783" s="57"/>
      <c r="C783" s="60"/>
      <c r="D783" s="60"/>
      <c r="E783" s="60"/>
      <c r="F783" s="60"/>
      <c r="G783" s="60"/>
      <c r="J783" s="99"/>
      <c r="K783" s="99"/>
      <c r="L783" s="99"/>
      <c r="M783" s="99"/>
      <c r="N783" s="43">
        <f t="shared" si="12"/>
        <v>0</v>
      </c>
    </row>
    <row r="784" spans="2:14" ht="1.5" customHeight="1">
      <c r="B784" s="57"/>
      <c r="C784" s="60"/>
      <c r="D784" s="60"/>
      <c r="E784" s="60"/>
      <c r="F784" s="60"/>
      <c r="G784" s="60"/>
      <c r="J784" s="99"/>
      <c r="K784" s="99"/>
      <c r="L784" s="99"/>
      <c r="M784" s="99"/>
      <c r="N784" s="43">
        <f t="shared" si="12"/>
        <v>0</v>
      </c>
    </row>
    <row r="785" spans="2:14" ht="1.5" customHeight="1">
      <c r="B785" s="57"/>
      <c r="C785" s="60"/>
      <c r="D785" s="60"/>
      <c r="E785" s="60"/>
      <c r="F785" s="60"/>
      <c r="G785" s="60"/>
      <c r="J785" s="99"/>
      <c r="K785" s="99"/>
      <c r="L785" s="99"/>
      <c r="M785" s="99"/>
      <c r="N785" s="43">
        <f t="shared" si="12"/>
        <v>0</v>
      </c>
    </row>
    <row r="786" spans="2:14" ht="1.5" customHeight="1">
      <c r="B786" s="57"/>
      <c r="C786" s="60"/>
      <c r="D786" s="60"/>
      <c r="E786" s="60"/>
      <c r="F786" s="60"/>
      <c r="G786" s="60"/>
      <c r="J786" s="99"/>
      <c r="K786" s="99"/>
      <c r="L786" s="99"/>
      <c r="M786" s="99"/>
      <c r="N786" s="43">
        <f t="shared" si="12"/>
        <v>0</v>
      </c>
    </row>
    <row r="787" spans="2:14" ht="1.5" customHeight="1">
      <c r="B787" s="57"/>
      <c r="C787" s="60"/>
      <c r="D787" s="60"/>
      <c r="E787" s="60"/>
      <c r="F787" s="60"/>
      <c r="G787" s="60"/>
      <c r="J787" s="99"/>
      <c r="K787" s="99"/>
      <c r="L787" s="99"/>
      <c r="M787" s="99"/>
      <c r="N787" s="43">
        <f t="shared" si="12"/>
        <v>0</v>
      </c>
    </row>
    <row r="788" spans="2:14" ht="1.5" customHeight="1">
      <c r="B788" s="57"/>
      <c r="C788" s="60"/>
      <c r="D788" s="60"/>
      <c r="E788" s="60"/>
      <c r="F788" s="60"/>
      <c r="G788" s="60"/>
      <c r="J788" s="99"/>
      <c r="K788" s="99"/>
      <c r="L788" s="99"/>
      <c r="M788" s="99"/>
      <c r="N788" s="43">
        <f t="shared" si="12"/>
        <v>0</v>
      </c>
    </row>
    <row r="789" spans="2:14" ht="1.5" customHeight="1">
      <c r="B789" s="57"/>
      <c r="C789" s="60"/>
      <c r="D789" s="60"/>
      <c r="E789" s="60"/>
      <c r="F789" s="60"/>
      <c r="G789" s="60"/>
      <c r="J789" s="99"/>
      <c r="K789" s="99"/>
      <c r="L789" s="99"/>
      <c r="M789" s="99"/>
      <c r="N789" s="43">
        <f t="shared" si="12"/>
        <v>0</v>
      </c>
    </row>
    <row r="790" spans="2:14" ht="1.5" customHeight="1">
      <c r="B790" s="57"/>
      <c r="C790" s="60"/>
      <c r="D790" s="60"/>
      <c r="E790" s="60"/>
      <c r="F790" s="60"/>
      <c r="G790" s="60"/>
      <c r="J790" s="99"/>
      <c r="K790" s="99"/>
      <c r="L790" s="99"/>
      <c r="M790" s="99"/>
      <c r="N790" s="43">
        <f t="shared" si="12"/>
        <v>0</v>
      </c>
    </row>
    <row r="791" spans="2:14" ht="1.5" customHeight="1">
      <c r="B791" s="57"/>
      <c r="C791" s="60"/>
      <c r="D791" s="60"/>
      <c r="E791" s="60"/>
      <c r="F791" s="60"/>
      <c r="G791" s="60"/>
      <c r="J791" s="99"/>
      <c r="K791" s="99"/>
      <c r="L791" s="99"/>
      <c r="M791" s="99"/>
      <c r="N791" s="43">
        <f t="shared" si="12"/>
        <v>0</v>
      </c>
    </row>
    <row r="792" spans="2:14" ht="1.5" customHeight="1">
      <c r="B792" s="57"/>
      <c r="C792" s="60"/>
      <c r="D792" s="60"/>
      <c r="E792" s="60"/>
      <c r="F792" s="60"/>
      <c r="G792" s="60"/>
      <c r="J792" s="99"/>
      <c r="K792" s="99"/>
      <c r="L792" s="99"/>
      <c r="M792" s="99"/>
      <c r="N792" s="43">
        <f t="shared" si="12"/>
        <v>0</v>
      </c>
    </row>
    <row r="793" spans="2:14" ht="1.5" customHeight="1">
      <c r="B793" s="57"/>
      <c r="C793" s="60"/>
      <c r="D793" s="60"/>
      <c r="E793" s="60"/>
      <c r="F793" s="60"/>
      <c r="G793" s="60"/>
      <c r="J793" s="99"/>
      <c r="K793" s="99"/>
      <c r="L793" s="99"/>
      <c r="M793" s="99"/>
      <c r="N793" s="43">
        <f t="shared" si="12"/>
        <v>0</v>
      </c>
    </row>
    <row r="794" spans="2:14" ht="1.5" customHeight="1">
      <c r="B794" s="57"/>
      <c r="C794" s="60"/>
      <c r="D794" s="60"/>
      <c r="E794" s="60"/>
      <c r="F794" s="60"/>
      <c r="G794" s="60"/>
      <c r="J794" s="99"/>
      <c r="K794" s="99"/>
      <c r="L794" s="99"/>
      <c r="M794" s="99"/>
      <c r="N794" s="43">
        <f t="shared" si="12"/>
        <v>0</v>
      </c>
    </row>
    <row r="795" spans="2:14" ht="1.5" customHeight="1">
      <c r="B795" s="57"/>
      <c r="C795" s="60"/>
      <c r="D795" s="60"/>
      <c r="E795" s="60"/>
      <c r="F795" s="60"/>
      <c r="G795" s="60"/>
      <c r="J795" s="99"/>
      <c r="K795" s="99"/>
      <c r="L795" s="99"/>
      <c r="M795" s="99"/>
      <c r="N795" s="43">
        <f t="shared" si="12"/>
        <v>0</v>
      </c>
    </row>
    <row r="796" spans="2:14" ht="1.5" customHeight="1">
      <c r="B796" s="57"/>
      <c r="C796" s="60"/>
      <c r="D796" s="60"/>
      <c r="E796" s="60"/>
      <c r="F796" s="60"/>
      <c r="G796" s="60"/>
      <c r="J796" s="99"/>
      <c r="K796" s="99"/>
      <c r="L796" s="99"/>
      <c r="M796" s="99"/>
      <c r="N796" s="43">
        <f t="shared" si="12"/>
        <v>0</v>
      </c>
    </row>
    <row r="797" spans="2:14" ht="1.5" customHeight="1">
      <c r="B797" s="57"/>
      <c r="C797" s="60"/>
      <c r="D797" s="60"/>
      <c r="E797" s="60"/>
      <c r="F797" s="60"/>
      <c r="G797" s="60"/>
      <c r="J797" s="99"/>
      <c r="K797" s="99"/>
      <c r="L797" s="99"/>
      <c r="M797" s="99"/>
      <c r="N797" s="43">
        <f t="shared" si="12"/>
        <v>0</v>
      </c>
    </row>
    <row r="798" spans="2:14" ht="1.5" customHeight="1">
      <c r="B798" s="57"/>
      <c r="C798" s="60"/>
      <c r="D798" s="60"/>
      <c r="E798" s="60"/>
      <c r="F798" s="60"/>
      <c r="G798" s="60"/>
      <c r="J798" s="99"/>
      <c r="K798" s="99"/>
      <c r="L798" s="99"/>
      <c r="M798" s="99"/>
      <c r="N798" s="43">
        <f t="shared" si="12"/>
        <v>0</v>
      </c>
    </row>
    <row r="799" spans="2:14" ht="1.5" customHeight="1">
      <c r="B799" s="57"/>
      <c r="C799" s="60"/>
      <c r="D799" s="60"/>
      <c r="E799" s="60"/>
      <c r="F799" s="60"/>
      <c r="G799" s="60"/>
      <c r="J799" s="99"/>
      <c r="K799" s="99"/>
      <c r="L799" s="99"/>
      <c r="M799" s="99"/>
      <c r="N799" s="43">
        <f t="shared" si="12"/>
        <v>0</v>
      </c>
    </row>
    <row r="800" spans="2:14" ht="1.5" customHeight="1">
      <c r="B800" s="57"/>
      <c r="C800" s="60"/>
      <c r="D800" s="60"/>
      <c r="E800" s="60"/>
      <c r="F800" s="60"/>
      <c r="G800" s="60"/>
      <c r="J800" s="99"/>
      <c r="K800" s="99"/>
      <c r="L800" s="99"/>
      <c r="M800" s="99"/>
      <c r="N800" s="43">
        <f t="shared" si="12"/>
        <v>0</v>
      </c>
    </row>
    <row r="801" spans="2:14" ht="1.5" customHeight="1">
      <c r="B801" s="57"/>
      <c r="C801" s="60"/>
      <c r="D801" s="60"/>
      <c r="E801" s="60"/>
      <c r="F801" s="60"/>
      <c r="G801" s="60"/>
      <c r="J801" s="99"/>
      <c r="K801" s="99"/>
      <c r="L801" s="99"/>
      <c r="M801" s="99"/>
      <c r="N801" s="43">
        <f t="shared" si="12"/>
        <v>0</v>
      </c>
    </row>
    <row r="802" spans="2:14" ht="1.5" customHeight="1">
      <c r="B802" s="57"/>
      <c r="C802" s="60"/>
      <c r="D802" s="60"/>
      <c r="E802" s="60"/>
      <c r="F802" s="60"/>
      <c r="G802" s="60"/>
      <c r="J802" s="99"/>
      <c r="K802" s="99"/>
      <c r="L802" s="99"/>
      <c r="M802" s="99"/>
      <c r="N802" s="43">
        <f t="shared" si="12"/>
        <v>0</v>
      </c>
    </row>
    <row r="803" spans="2:14" ht="1.5" customHeight="1">
      <c r="B803" s="57"/>
      <c r="C803" s="60"/>
      <c r="D803" s="60"/>
      <c r="E803" s="60"/>
      <c r="F803" s="60"/>
      <c r="G803" s="60"/>
      <c r="J803" s="99"/>
      <c r="K803" s="99"/>
      <c r="L803" s="99"/>
      <c r="M803" s="99"/>
      <c r="N803" s="43">
        <f t="shared" si="12"/>
        <v>0</v>
      </c>
    </row>
    <row r="804" spans="2:14" ht="1.5" customHeight="1">
      <c r="B804" s="57"/>
      <c r="C804" s="60"/>
      <c r="D804" s="60"/>
      <c r="E804" s="60"/>
      <c r="F804" s="60"/>
      <c r="G804" s="60"/>
      <c r="J804" s="99"/>
      <c r="K804" s="99"/>
      <c r="L804" s="99"/>
      <c r="M804" s="99"/>
      <c r="N804" s="43">
        <f t="shared" si="12"/>
        <v>0</v>
      </c>
    </row>
    <row r="805" spans="2:14" ht="1.5" customHeight="1">
      <c r="B805" s="57"/>
      <c r="C805" s="60"/>
      <c r="D805" s="60"/>
      <c r="E805" s="60"/>
      <c r="F805" s="60"/>
      <c r="G805" s="60"/>
      <c r="J805" s="99"/>
      <c r="K805" s="99"/>
      <c r="L805" s="99"/>
      <c r="M805" s="99"/>
      <c r="N805" s="43">
        <f t="shared" si="12"/>
        <v>0</v>
      </c>
    </row>
    <row r="806" spans="2:14" ht="1.5" customHeight="1">
      <c r="B806" s="57"/>
      <c r="C806" s="60"/>
      <c r="D806" s="60"/>
      <c r="E806" s="60"/>
      <c r="F806" s="60"/>
      <c r="G806" s="60"/>
      <c r="J806" s="99"/>
      <c r="K806" s="99"/>
      <c r="L806" s="99"/>
      <c r="M806" s="99"/>
      <c r="N806" s="43">
        <f t="shared" si="12"/>
        <v>0</v>
      </c>
    </row>
    <row r="807" spans="2:14" ht="1.5" customHeight="1">
      <c r="B807" s="57"/>
      <c r="C807" s="60"/>
      <c r="D807" s="60"/>
      <c r="E807" s="60"/>
      <c r="F807" s="60"/>
      <c r="G807" s="60"/>
      <c r="J807" s="99"/>
      <c r="K807" s="99"/>
      <c r="L807" s="99"/>
      <c r="M807" s="99"/>
      <c r="N807" s="43">
        <f t="shared" si="12"/>
        <v>0</v>
      </c>
    </row>
    <row r="808" spans="2:14" ht="1.5" customHeight="1">
      <c r="B808" s="57"/>
      <c r="C808" s="60"/>
      <c r="D808" s="60"/>
      <c r="E808" s="60"/>
      <c r="F808" s="60"/>
      <c r="G808" s="60"/>
      <c r="J808" s="99"/>
      <c r="K808" s="99"/>
      <c r="L808" s="99"/>
      <c r="M808" s="99"/>
      <c r="N808" s="43">
        <f t="shared" si="12"/>
        <v>0</v>
      </c>
    </row>
    <row r="809" spans="2:14" ht="1.5" customHeight="1">
      <c r="B809" s="57"/>
      <c r="C809" s="60"/>
      <c r="D809" s="60"/>
      <c r="E809" s="60"/>
      <c r="F809" s="60"/>
      <c r="G809" s="60"/>
      <c r="J809" s="99"/>
      <c r="K809" s="99"/>
      <c r="L809" s="99"/>
      <c r="M809" s="99"/>
      <c r="N809" s="43">
        <f t="shared" si="12"/>
        <v>0</v>
      </c>
    </row>
    <row r="810" spans="2:14" ht="1.5" customHeight="1">
      <c r="B810" s="57"/>
      <c r="C810" s="60"/>
      <c r="D810" s="60"/>
      <c r="E810" s="60"/>
      <c r="F810" s="60"/>
      <c r="G810" s="60"/>
      <c r="J810" s="99"/>
      <c r="K810" s="99"/>
      <c r="L810" s="99"/>
      <c r="M810" s="99"/>
      <c r="N810" s="43">
        <f t="shared" si="12"/>
        <v>0</v>
      </c>
    </row>
    <row r="811" spans="2:14" ht="1.5" customHeight="1">
      <c r="B811" s="57"/>
      <c r="C811" s="60"/>
      <c r="D811" s="60"/>
      <c r="E811" s="60"/>
      <c r="F811" s="60"/>
      <c r="G811" s="60"/>
      <c r="J811" s="99"/>
      <c r="K811" s="99"/>
      <c r="L811" s="99"/>
      <c r="M811" s="99"/>
      <c r="N811" s="43">
        <f t="shared" si="12"/>
        <v>0</v>
      </c>
    </row>
    <row r="812" spans="2:14" ht="12.6" customHeight="1">
      <c r="B812" s="57"/>
      <c r="C812" s="60"/>
      <c r="D812" s="60"/>
      <c r="E812" s="60"/>
      <c r="F812" s="60"/>
      <c r="G812" s="60"/>
      <c r="J812" s="99"/>
      <c r="K812" s="99"/>
      <c r="L812" s="99"/>
      <c r="M812" s="99"/>
      <c r="N812" s="43"/>
    </row>
    <row r="813" spans="2:14" ht="12.6" customHeight="1"/>
  </sheetData>
  <mergeCells count="1641">
    <mergeCell ref="J811:K811"/>
    <mergeCell ref="L811:M811"/>
    <mergeCell ref="J812:K812"/>
    <mergeCell ref="L812:M812"/>
    <mergeCell ref="J808:K808"/>
    <mergeCell ref="L808:M808"/>
    <mergeCell ref="J809:K809"/>
    <mergeCell ref="L809:M809"/>
    <mergeCell ref="J810:K810"/>
    <mergeCell ref="L810:M810"/>
    <mergeCell ref="J805:K805"/>
    <mergeCell ref="L805:M805"/>
    <mergeCell ref="J806:K806"/>
    <mergeCell ref="L806:M806"/>
    <mergeCell ref="J807:K807"/>
    <mergeCell ref="L807:M807"/>
    <mergeCell ref="J802:K802"/>
    <mergeCell ref="L802:M802"/>
    <mergeCell ref="J803:K803"/>
    <mergeCell ref="L803:M803"/>
    <mergeCell ref="J804:K804"/>
    <mergeCell ref="L804:M804"/>
    <mergeCell ref="J799:K799"/>
    <mergeCell ref="L799:M799"/>
    <mergeCell ref="J800:K800"/>
    <mergeCell ref="L800:M800"/>
    <mergeCell ref="J801:K801"/>
    <mergeCell ref="L801:M801"/>
    <mergeCell ref="J796:K796"/>
    <mergeCell ref="L796:M796"/>
    <mergeCell ref="J797:K797"/>
    <mergeCell ref="L797:M797"/>
    <mergeCell ref="J798:K798"/>
    <mergeCell ref="L798:M798"/>
    <mergeCell ref="J793:K793"/>
    <mergeCell ref="L793:M793"/>
    <mergeCell ref="J794:K794"/>
    <mergeCell ref="L794:M794"/>
    <mergeCell ref="J795:K795"/>
    <mergeCell ref="L795:M795"/>
    <mergeCell ref="J790:K790"/>
    <mergeCell ref="L790:M790"/>
    <mergeCell ref="J791:K791"/>
    <mergeCell ref="L791:M791"/>
    <mergeCell ref="J792:K792"/>
    <mergeCell ref="L792:M792"/>
    <mergeCell ref="J787:K787"/>
    <mergeCell ref="L787:M787"/>
    <mergeCell ref="J788:K788"/>
    <mergeCell ref="L788:M788"/>
    <mergeCell ref="J789:K789"/>
    <mergeCell ref="L789:M789"/>
    <mergeCell ref="J784:K784"/>
    <mergeCell ref="L784:M784"/>
    <mergeCell ref="J785:K785"/>
    <mergeCell ref="L785:M785"/>
    <mergeCell ref="J786:K786"/>
    <mergeCell ref="L786:M786"/>
    <mergeCell ref="J781:K781"/>
    <mergeCell ref="L781:M781"/>
    <mergeCell ref="J782:K782"/>
    <mergeCell ref="L782:M782"/>
    <mergeCell ref="J783:K783"/>
    <mergeCell ref="L783:M783"/>
    <mergeCell ref="J778:K778"/>
    <mergeCell ref="L778:M778"/>
    <mergeCell ref="J779:K779"/>
    <mergeCell ref="L779:M779"/>
    <mergeCell ref="J780:K780"/>
    <mergeCell ref="L780:M780"/>
    <mergeCell ref="J775:K775"/>
    <mergeCell ref="L775:M775"/>
    <mergeCell ref="J776:K776"/>
    <mergeCell ref="L776:M776"/>
    <mergeCell ref="J777:K777"/>
    <mergeCell ref="L777:M777"/>
    <mergeCell ref="J772:K772"/>
    <mergeCell ref="L772:M772"/>
    <mergeCell ref="J773:K773"/>
    <mergeCell ref="L773:M773"/>
    <mergeCell ref="J774:K774"/>
    <mergeCell ref="L774:M774"/>
    <mergeCell ref="J769:K769"/>
    <mergeCell ref="L769:M769"/>
    <mergeCell ref="J770:K770"/>
    <mergeCell ref="L770:M770"/>
    <mergeCell ref="J771:K771"/>
    <mergeCell ref="L771:M771"/>
    <mergeCell ref="J766:K766"/>
    <mergeCell ref="L766:M766"/>
    <mergeCell ref="J767:K767"/>
    <mergeCell ref="L767:M767"/>
    <mergeCell ref="J768:K768"/>
    <mergeCell ref="L768:M768"/>
    <mergeCell ref="J763:K763"/>
    <mergeCell ref="L763:M763"/>
    <mergeCell ref="J764:K764"/>
    <mergeCell ref="L764:M764"/>
    <mergeCell ref="J765:K765"/>
    <mergeCell ref="L765:M765"/>
    <mergeCell ref="J760:K760"/>
    <mergeCell ref="L760:M760"/>
    <mergeCell ref="J761:K761"/>
    <mergeCell ref="L761:M761"/>
    <mergeCell ref="J762:K762"/>
    <mergeCell ref="L762:M762"/>
    <mergeCell ref="J757:K757"/>
    <mergeCell ref="L757:M757"/>
    <mergeCell ref="J758:K758"/>
    <mergeCell ref="L758:M758"/>
    <mergeCell ref="J759:K759"/>
    <mergeCell ref="L759:M759"/>
    <mergeCell ref="J754:K754"/>
    <mergeCell ref="L754:M754"/>
    <mergeCell ref="J755:K755"/>
    <mergeCell ref="L755:M755"/>
    <mergeCell ref="J756:K756"/>
    <mergeCell ref="L756:M756"/>
    <mergeCell ref="J751:K751"/>
    <mergeCell ref="L751:M751"/>
    <mergeCell ref="J752:K752"/>
    <mergeCell ref="L752:M752"/>
    <mergeCell ref="J753:K753"/>
    <mergeCell ref="L753:M753"/>
    <mergeCell ref="J748:K748"/>
    <mergeCell ref="L748:M748"/>
    <mergeCell ref="J749:K749"/>
    <mergeCell ref="L749:M749"/>
    <mergeCell ref="J750:K750"/>
    <mergeCell ref="L750:M750"/>
    <mergeCell ref="J745:K745"/>
    <mergeCell ref="L745:M745"/>
    <mergeCell ref="J746:K746"/>
    <mergeCell ref="L746:M746"/>
    <mergeCell ref="J747:K747"/>
    <mergeCell ref="L747:M747"/>
    <mergeCell ref="J742:K742"/>
    <mergeCell ref="L742:M742"/>
    <mergeCell ref="J743:K743"/>
    <mergeCell ref="L743:M743"/>
    <mergeCell ref="J744:K744"/>
    <mergeCell ref="L744:M744"/>
    <mergeCell ref="J739:K739"/>
    <mergeCell ref="L739:M739"/>
    <mergeCell ref="J740:K740"/>
    <mergeCell ref="L740:M740"/>
    <mergeCell ref="J741:K741"/>
    <mergeCell ref="L741:M741"/>
    <mergeCell ref="J736:K736"/>
    <mergeCell ref="L736:M736"/>
    <mergeCell ref="J737:K737"/>
    <mergeCell ref="L737:M737"/>
    <mergeCell ref="J738:K738"/>
    <mergeCell ref="L738:M738"/>
    <mergeCell ref="J733:K733"/>
    <mergeCell ref="L733:M733"/>
    <mergeCell ref="J734:K734"/>
    <mergeCell ref="L734:M734"/>
    <mergeCell ref="J735:K735"/>
    <mergeCell ref="L735:M735"/>
    <mergeCell ref="J730:K730"/>
    <mergeCell ref="L730:M730"/>
    <mergeCell ref="J731:K731"/>
    <mergeCell ref="L731:M731"/>
    <mergeCell ref="J732:K732"/>
    <mergeCell ref="L732:M732"/>
    <mergeCell ref="J727:K727"/>
    <mergeCell ref="L727:M727"/>
    <mergeCell ref="J728:K728"/>
    <mergeCell ref="L728:M728"/>
    <mergeCell ref="J729:K729"/>
    <mergeCell ref="L729:M729"/>
    <mergeCell ref="J724:K724"/>
    <mergeCell ref="L724:M724"/>
    <mergeCell ref="J725:K725"/>
    <mergeCell ref="L725:M725"/>
    <mergeCell ref="J726:K726"/>
    <mergeCell ref="L726:M726"/>
    <mergeCell ref="J721:K721"/>
    <mergeCell ref="L721:M721"/>
    <mergeCell ref="J722:K722"/>
    <mergeCell ref="L722:M722"/>
    <mergeCell ref="J723:K723"/>
    <mergeCell ref="L723:M723"/>
    <mergeCell ref="J718:K718"/>
    <mergeCell ref="L718:M718"/>
    <mergeCell ref="J719:K719"/>
    <mergeCell ref="L719:M719"/>
    <mergeCell ref="J720:K720"/>
    <mergeCell ref="L720:M720"/>
    <mergeCell ref="J715:K715"/>
    <mergeCell ref="L715:M715"/>
    <mergeCell ref="J716:K716"/>
    <mergeCell ref="L716:M716"/>
    <mergeCell ref="J717:K717"/>
    <mergeCell ref="L717:M717"/>
    <mergeCell ref="J712:K712"/>
    <mergeCell ref="L712:M712"/>
    <mergeCell ref="J713:K713"/>
    <mergeCell ref="L713:M713"/>
    <mergeCell ref="J714:K714"/>
    <mergeCell ref="L714:M714"/>
    <mergeCell ref="J709:K709"/>
    <mergeCell ref="L709:M709"/>
    <mergeCell ref="J710:K710"/>
    <mergeCell ref="L710:M710"/>
    <mergeCell ref="J711:K711"/>
    <mergeCell ref="L711:M711"/>
    <mergeCell ref="J706:K706"/>
    <mergeCell ref="L706:M706"/>
    <mergeCell ref="J707:K707"/>
    <mergeCell ref="L707:M707"/>
    <mergeCell ref="J708:K708"/>
    <mergeCell ref="L708:M708"/>
    <mergeCell ref="J703:K703"/>
    <mergeCell ref="L703:M703"/>
    <mergeCell ref="J704:K704"/>
    <mergeCell ref="L704:M704"/>
    <mergeCell ref="J705:K705"/>
    <mergeCell ref="L705:M705"/>
    <mergeCell ref="J700:K700"/>
    <mergeCell ref="L700:M700"/>
    <mergeCell ref="J701:K701"/>
    <mergeCell ref="L701:M701"/>
    <mergeCell ref="J702:K702"/>
    <mergeCell ref="L702:M702"/>
    <mergeCell ref="J697:K697"/>
    <mergeCell ref="L697:M697"/>
    <mergeCell ref="J698:K698"/>
    <mergeCell ref="L698:M698"/>
    <mergeCell ref="J699:K699"/>
    <mergeCell ref="L699:M699"/>
    <mergeCell ref="J694:K694"/>
    <mergeCell ref="L694:M694"/>
    <mergeCell ref="J695:K695"/>
    <mergeCell ref="L695:M695"/>
    <mergeCell ref="J696:K696"/>
    <mergeCell ref="L696:M696"/>
    <mergeCell ref="J691:K691"/>
    <mergeCell ref="L691:M691"/>
    <mergeCell ref="J692:K692"/>
    <mergeCell ref="L692:M692"/>
    <mergeCell ref="J693:K693"/>
    <mergeCell ref="L693:M693"/>
    <mergeCell ref="J688:K688"/>
    <mergeCell ref="L688:M688"/>
    <mergeCell ref="J689:K689"/>
    <mergeCell ref="L689:M689"/>
    <mergeCell ref="J690:K690"/>
    <mergeCell ref="L690:M690"/>
    <mergeCell ref="J685:K685"/>
    <mergeCell ref="L685:M685"/>
    <mergeCell ref="J686:K686"/>
    <mergeCell ref="L686:M686"/>
    <mergeCell ref="J687:K687"/>
    <mergeCell ref="L687:M687"/>
    <mergeCell ref="J682:K682"/>
    <mergeCell ref="L682:M682"/>
    <mergeCell ref="J683:K683"/>
    <mergeCell ref="L683:M683"/>
    <mergeCell ref="J684:K684"/>
    <mergeCell ref="L684:M684"/>
    <mergeCell ref="J679:K679"/>
    <mergeCell ref="L679:M679"/>
    <mergeCell ref="J680:K680"/>
    <mergeCell ref="L680:M680"/>
    <mergeCell ref="J681:K681"/>
    <mergeCell ref="L681:M681"/>
    <mergeCell ref="J676:K676"/>
    <mergeCell ref="L676:M676"/>
    <mergeCell ref="J677:K677"/>
    <mergeCell ref="L677:M677"/>
    <mergeCell ref="J678:K678"/>
    <mergeCell ref="L678:M678"/>
    <mergeCell ref="J673:K673"/>
    <mergeCell ref="L673:M673"/>
    <mergeCell ref="J674:K674"/>
    <mergeCell ref="L674:M674"/>
    <mergeCell ref="J675:K675"/>
    <mergeCell ref="L675:M675"/>
    <mergeCell ref="J670:K670"/>
    <mergeCell ref="L670:M670"/>
    <mergeCell ref="J671:K671"/>
    <mergeCell ref="L671:M671"/>
    <mergeCell ref="J672:K672"/>
    <mergeCell ref="L672:M672"/>
    <mergeCell ref="J667:K667"/>
    <mergeCell ref="L667:M667"/>
    <mergeCell ref="J668:K668"/>
    <mergeCell ref="L668:M668"/>
    <mergeCell ref="J669:K669"/>
    <mergeCell ref="L669:M669"/>
    <mergeCell ref="J664:K664"/>
    <mergeCell ref="L664:M664"/>
    <mergeCell ref="J665:K665"/>
    <mergeCell ref="L665:M665"/>
    <mergeCell ref="J666:K666"/>
    <mergeCell ref="L666:M666"/>
    <mergeCell ref="J661:K661"/>
    <mergeCell ref="L661:M661"/>
    <mergeCell ref="J662:K662"/>
    <mergeCell ref="L662:M662"/>
    <mergeCell ref="J663:K663"/>
    <mergeCell ref="L663:M663"/>
    <mergeCell ref="J658:K658"/>
    <mergeCell ref="L658:M658"/>
    <mergeCell ref="J659:K659"/>
    <mergeCell ref="L659:M659"/>
    <mergeCell ref="J660:K660"/>
    <mergeCell ref="L660:M660"/>
    <mergeCell ref="J655:K655"/>
    <mergeCell ref="L655:M655"/>
    <mergeCell ref="J656:K656"/>
    <mergeCell ref="L656:M656"/>
    <mergeCell ref="J657:K657"/>
    <mergeCell ref="L657:M657"/>
    <mergeCell ref="J652:K652"/>
    <mergeCell ref="L652:M652"/>
    <mergeCell ref="J653:K653"/>
    <mergeCell ref="L653:M653"/>
    <mergeCell ref="J654:K654"/>
    <mergeCell ref="L654:M654"/>
    <mergeCell ref="J649:K649"/>
    <mergeCell ref="L649:M649"/>
    <mergeCell ref="J650:K650"/>
    <mergeCell ref="L650:M650"/>
    <mergeCell ref="J651:K651"/>
    <mergeCell ref="L651:M651"/>
    <mergeCell ref="J646:K646"/>
    <mergeCell ref="L646:M646"/>
    <mergeCell ref="J647:K647"/>
    <mergeCell ref="L647:M647"/>
    <mergeCell ref="J648:K648"/>
    <mergeCell ref="L648:M648"/>
    <mergeCell ref="J643:K643"/>
    <mergeCell ref="L643:M643"/>
    <mergeCell ref="J644:K644"/>
    <mergeCell ref="L644:M644"/>
    <mergeCell ref="J645:K645"/>
    <mergeCell ref="L645:M645"/>
    <mergeCell ref="J640:K640"/>
    <mergeCell ref="L640:M640"/>
    <mergeCell ref="J641:K641"/>
    <mergeCell ref="L641:M641"/>
    <mergeCell ref="J642:K642"/>
    <mergeCell ref="L642:M642"/>
    <mergeCell ref="J637:K637"/>
    <mergeCell ref="L637:M637"/>
    <mergeCell ref="J638:K638"/>
    <mergeCell ref="L638:M638"/>
    <mergeCell ref="J639:K639"/>
    <mergeCell ref="L639:M639"/>
    <mergeCell ref="J634:K634"/>
    <mergeCell ref="L634:M634"/>
    <mergeCell ref="J635:K635"/>
    <mergeCell ref="L635:M635"/>
    <mergeCell ref="J636:K636"/>
    <mergeCell ref="L636:M636"/>
    <mergeCell ref="J631:K631"/>
    <mergeCell ref="L631:M631"/>
    <mergeCell ref="J632:K632"/>
    <mergeCell ref="L632:M632"/>
    <mergeCell ref="J633:K633"/>
    <mergeCell ref="L633:M633"/>
    <mergeCell ref="J628:K628"/>
    <mergeCell ref="L628:M628"/>
    <mergeCell ref="J629:K629"/>
    <mergeCell ref="L629:M629"/>
    <mergeCell ref="J630:K630"/>
    <mergeCell ref="L630:M630"/>
    <mergeCell ref="J625:K625"/>
    <mergeCell ref="L625:M625"/>
    <mergeCell ref="J626:K626"/>
    <mergeCell ref="L626:M626"/>
    <mergeCell ref="J627:K627"/>
    <mergeCell ref="L627:M627"/>
    <mergeCell ref="J622:K622"/>
    <mergeCell ref="L622:M622"/>
    <mergeCell ref="J623:K623"/>
    <mergeCell ref="L623:M623"/>
    <mergeCell ref="J624:K624"/>
    <mergeCell ref="L624:M624"/>
    <mergeCell ref="J619:K619"/>
    <mergeCell ref="L619:M619"/>
    <mergeCell ref="J620:K620"/>
    <mergeCell ref="L620:M620"/>
    <mergeCell ref="J621:K621"/>
    <mergeCell ref="L621:M621"/>
    <mergeCell ref="J616:K616"/>
    <mergeCell ref="L616:M616"/>
    <mergeCell ref="J617:K617"/>
    <mergeCell ref="L617:M617"/>
    <mergeCell ref="J618:K618"/>
    <mergeCell ref="L618:M618"/>
    <mergeCell ref="J613:K613"/>
    <mergeCell ref="L613:M613"/>
    <mergeCell ref="J614:K614"/>
    <mergeCell ref="L614:M614"/>
    <mergeCell ref="J615:K615"/>
    <mergeCell ref="L615:M615"/>
    <mergeCell ref="J610:K610"/>
    <mergeCell ref="L610:M610"/>
    <mergeCell ref="J611:K611"/>
    <mergeCell ref="L611:M611"/>
    <mergeCell ref="J612:K612"/>
    <mergeCell ref="L612:M612"/>
    <mergeCell ref="J607:K607"/>
    <mergeCell ref="L607:M607"/>
    <mergeCell ref="J608:K608"/>
    <mergeCell ref="L608:M608"/>
    <mergeCell ref="J609:K609"/>
    <mergeCell ref="L609:M609"/>
    <mergeCell ref="J604:K604"/>
    <mergeCell ref="L604:M604"/>
    <mergeCell ref="J605:K605"/>
    <mergeCell ref="L605:M605"/>
    <mergeCell ref="J606:K606"/>
    <mergeCell ref="L606:M606"/>
    <mergeCell ref="J601:K601"/>
    <mergeCell ref="L601:M601"/>
    <mergeCell ref="J602:K602"/>
    <mergeCell ref="L602:M602"/>
    <mergeCell ref="J603:K603"/>
    <mergeCell ref="L603:M603"/>
    <mergeCell ref="J598:K598"/>
    <mergeCell ref="L598:M598"/>
    <mergeCell ref="J599:K599"/>
    <mergeCell ref="L599:M599"/>
    <mergeCell ref="J600:K600"/>
    <mergeCell ref="L600:M600"/>
    <mergeCell ref="J595:K595"/>
    <mergeCell ref="L595:M595"/>
    <mergeCell ref="J596:K596"/>
    <mergeCell ref="L596:M596"/>
    <mergeCell ref="J597:K597"/>
    <mergeCell ref="L597:M597"/>
    <mergeCell ref="J592:K592"/>
    <mergeCell ref="L592:M592"/>
    <mergeCell ref="J593:K593"/>
    <mergeCell ref="L593:M593"/>
    <mergeCell ref="J594:K594"/>
    <mergeCell ref="L594:M594"/>
    <mergeCell ref="J589:K589"/>
    <mergeCell ref="L589:M589"/>
    <mergeCell ref="J590:K590"/>
    <mergeCell ref="L590:M590"/>
    <mergeCell ref="J591:K591"/>
    <mergeCell ref="L591:M591"/>
    <mergeCell ref="J586:K586"/>
    <mergeCell ref="L586:M586"/>
    <mergeCell ref="J587:K587"/>
    <mergeCell ref="L587:M587"/>
    <mergeCell ref="J588:K588"/>
    <mergeCell ref="L588:M588"/>
    <mergeCell ref="J583:K583"/>
    <mergeCell ref="L583:M583"/>
    <mergeCell ref="J584:K584"/>
    <mergeCell ref="L584:M584"/>
    <mergeCell ref="J585:K585"/>
    <mergeCell ref="L585:M585"/>
    <mergeCell ref="J580:K580"/>
    <mergeCell ref="L580:M580"/>
    <mergeCell ref="J581:K581"/>
    <mergeCell ref="L581:M581"/>
    <mergeCell ref="J582:K582"/>
    <mergeCell ref="L582:M582"/>
    <mergeCell ref="J577:K577"/>
    <mergeCell ref="L577:M577"/>
    <mergeCell ref="J578:K578"/>
    <mergeCell ref="L578:M578"/>
    <mergeCell ref="J579:K579"/>
    <mergeCell ref="L579:M579"/>
    <mergeCell ref="J574:K574"/>
    <mergeCell ref="L574:M574"/>
    <mergeCell ref="J575:K575"/>
    <mergeCell ref="L575:M575"/>
    <mergeCell ref="J576:K576"/>
    <mergeCell ref="L576:M576"/>
    <mergeCell ref="J571:K571"/>
    <mergeCell ref="L571:M571"/>
    <mergeCell ref="J572:K572"/>
    <mergeCell ref="L572:M572"/>
    <mergeCell ref="J573:K573"/>
    <mergeCell ref="L573:M573"/>
    <mergeCell ref="J568:K568"/>
    <mergeCell ref="L568:M568"/>
    <mergeCell ref="J569:K569"/>
    <mergeCell ref="L569:M569"/>
    <mergeCell ref="J570:K570"/>
    <mergeCell ref="L570:M570"/>
    <mergeCell ref="J565:K565"/>
    <mergeCell ref="L565:M565"/>
    <mergeCell ref="J566:K566"/>
    <mergeCell ref="L566:M566"/>
    <mergeCell ref="J567:K567"/>
    <mergeCell ref="L567:M567"/>
    <mergeCell ref="J562:K562"/>
    <mergeCell ref="L562:M562"/>
    <mergeCell ref="J563:K563"/>
    <mergeCell ref="L563:M563"/>
    <mergeCell ref="J564:K564"/>
    <mergeCell ref="L564:M564"/>
    <mergeCell ref="J559:K559"/>
    <mergeCell ref="L559:M559"/>
    <mergeCell ref="J560:K560"/>
    <mergeCell ref="L560:M560"/>
    <mergeCell ref="J561:K561"/>
    <mergeCell ref="L561:M561"/>
    <mergeCell ref="J556:K556"/>
    <mergeCell ref="L556:M556"/>
    <mergeCell ref="J557:K557"/>
    <mergeCell ref="L557:M557"/>
    <mergeCell ref="J558:K558"/>
    <mergeCell ref="L558:M558"/>
    <mergeCell ref="J553:K553"/>
    <mergeCell ref="L553:M553"/>
    <mergeCell ref="J554:K554"/>
    <mergeCell ref="L554:M554"/>
    <mergeCell ref="J555:K555"/>
    <mergeCell ref="L555:M555"/>
    <mergeCell ref="J550:K550"/>
    <mergeCell ref="L550:M550"/>
    <mergeCell ref="J551:K551"/>
    <mergeCell ref="L551:M551"/>
    <mergeCell ref="J552:K552"/>
    <mergeCell ref="L552:M552"/>
    <mergeCell ref="J547:K547"/>
    <mergeCell ref="L547:M547"/>
    <mergeCell ref="J548:K548"/>
    <mergeCell ref="L548:M548"/>
    <mergeCell ref="J549:K549"/>
    <mergeCell ref="L549:M549"/>
    <mergeCell ref="J544:K544"/>
    <mergeCell ref="L544:M544"/>
    <mergeCell ref="J545:K545"/>
    <mergeCell ref="L545:M545"/>
    <mergeCell ref="J546:K546"/>
    <mergeCell ref="L546:M546"/>
    <mergeCell ref="J541:K541"/>
    <mergeCell ref="L541:M541"/>
    <mergeCell ref="J542:K542"/>
    <mergeCell ref="L542:M542"/>
    <mergeCell ref="J543:K543"/>
    <mergeCell ref="L543:M543"/>
    <mergeCell ref="J538:K538"/>
    <mergeCell ref="L538:M538"/>
    <mergeCell ref="J539:K539"/>
    <mergeCell ref="L539:M539"/>
    <mergeCell ref="J540:K540"/>
    <mergeCell ref="L540:M540"/>
    <mergeCell ref="J535:K535"/>
    <mergeCell ref="L535:M535"/>
    <mergeCell ref="J536:K536"/>
    <mergeCell ref="L536:M536"/>
    <mergeCell ref="J537:K537"/>
    <mergeCell ref="L537:M537"/>
    <mergeCell ref="J532:K532"/>
    <mergeCell ref="L532:M532"/>
    <mergeCell ref="J533:K533"/>
    <mergeCell ref="L533:M533"/>
    <mergeCell ref="J534:K534"/>
    <mergeCell ref="L534:M534"/>
    <mergeCell ref="J529:K529"/>
    <mergeCell ref="L529:M529"/>
    <mergeCell ref="J530:K530"/>
    <mergeCell ref="L530:M530"/>
    <mergeCell ref="J531:K531"/>
    <mergeCell ref="L531:M531"/>
    <mergeCell ref="J526:K526"/>
    <mergeCell ref="L526:M526"/>
    <mergeCell ref="J527:K527"/>
    <mergeCell ref="L527:M527"/>
    <mergeCell ref="J528:K528"/>
    <mergeCell ref="L528:M528"/>
    <mergeCell ref="J523:K523"/>
    <mergeCell ref="L523:M523"/>
    <mergeCell ref="J524:K524"/>
    <mergeCell ref="L524:M524"/>
    <mergeCell ref="J525:K525"/>
    <mergeCell ref="L525:M525"/>
    <mergeCell ref="J520:K520"/>
    <mergeCell ref="L520:M520"/>
    <mergeCell ref="J521:K521"/>
    <mergeCell ref="L521:M521"/>
    <mergeCell ref="J522:K522"/>
    <mergeCell ref="L522:M522"/>
    <mergeCell ref="J517:K517"/>
    <mergeCell ref="L517:M517"/>
    <mergeCell ref="J518:K518"/>
    <mergeCell ref="L518:M518"/>
    <mergeCell ref="J519:K519"/>
    <mergeCell ref="L519:M519"/>
    <mergeCell ref="J514:K514"/>
    <mergeCell ref="L514:M514"/>
    <mergeCell ref="J515:K515"/>
    <mergeCell ref="L515:M515"/>
    <mergeCell ref="J516:K516"/>
    <mergeCell ref="L516:M516"/>
    <mergeCell ref="J511:K511"/>
    <mergeCell ref="L511:M511"/>
    <mergeCell ref="J512:K512"/>
    <mergeCell ref="L512:M512"/>
    <mergeCell ref="J513:K513"/>
    <mergeCell ref="L513:M513"/>
    <mergeCell ref="J508:K508"/>
    <mergeCell ref="L508:M508"/>
    <mergeCell ref="J509:K509"/>
    <mergeCell ref="L509:M509"/>
    <mergeCell ref="J510:K510"/>
    <mergeCell ref="L510:M510"/>
    <mergeCell ref="J505:K505"/>
    <mergeCell ref="L505:M505"/>
    <mergeCell ref="J506:K506"/>
    <mergeCell ref="L506:M506"/>
    <mergeCell ref="J507:K507"/>
    <mergeCell ref="L507:M507"/>
    <mergeCell ref="J502:K502"/>
    <mergeCell ref="L502:M502"/>
    <mergeCell ref="J503:K503"/>
    <mergeCell ref="L503:M503"/>
    <mergeCell ref="J504:K504"/>
    <mergeCell ref="L504:M504"/>
    <mergeCell ref="J499:K499"/>
    <mergeCell ref="L499:M499"/>
    <mergeCell ref="J500:K500"/>
    <mergeCell ref="L500:M500"/>
    <mergeCell ref="J501:K501"/>
    <mergeCell ref="L501:M501"/>
    <mergeCell ref="J496:K496"/>
    <mergeCell ref="L496:M496"/>
    <mergeCell ref="J497:K497"/>
    <mergeCell ref="L497:M497"/>
    <mergeCell ref="J498:K498"/>
    <mergeCell ref="L498:M498"/>
    <mergeCell ref="J493:K493"/>
    <mergeCell ref="L493:M493"/>
    <mergeCell ref="J494:K494"/>
    <mergeCell ref="L494:M494"/>
    <mergeCell ref="J495:K495"/>
    <mergeCell ref="L495:M495"/>
    <mergeCell ref="J490:K490"/>
    <mergeCell ref="L490:M490"/>
    <mergeCell ref="J491:K491"/>
    <mergeCell ref="L491:M491"/>
    <mergeCell ref="J492:K492"/>
    <mergeCell ref="L492:M492"/>
    <mergeCell ref="J487:K487"/>
    <mergeCell ref="L487:M487"/>
    <mergeCell ref="J488:K488"/>
    <mergeCell ref="L488:M488"/>
    <mergeCell ref="J489:K489"/>
    <mergeCell ref="L489:M489"/>
    <mergeCell ref="J484:K484"/>
    <mergeCell ref="L484:M484"/>
    <mergeCell ref="J485:K485"/>
    <mergeCell ref="L485:M485"/>
    <mergeCell ref="J486:K486"/>
    <mergeCell ref="L486:M486"/>
    <mergeCell ref="J481:K481"/>
    <mergeCell ref="L481:M481"/>
    <mergeCell ref="J482:K482"/>
    <mergeCell ref="L482:M482"/>
    <mergeCell ref="J483:K483"/>
    <mergeCell ref="L483:M483"/>
    <mergeCell ref="J478:K478"/>
    <mergeCell ref="L478:M478"/>
    <mergeCell ref="J479:K479"/>
    <mergeCell ref="L479:M479"/>
    <mergeCell ref="J480:K480"/>
    <mergeCell ref="L480:M480"/>
    <mergeCell ref="J475:K475"/>
    <mergeCell ref="L475:M475"/>
    <mergeCell ref="J476:K476"/>
    <mergeCell ref="L476:M476"/>
    <mergeCell ref="J477:K477"/>
    <mergeCell ref="L477:M477"/>
    <mergeCell ref="J472:K472"/>
    <mergeCell ref="L472:M472"/>
    <mergeCell ref="J473:K473"/>
    <mergeCell ref="L473:M473"/>
    <mergeCell ref="J474:K474"/>
    <mergeCell ref="L474:M474"/>
    <mergeCell ref="J469:K469"/>
    <mergeCell ref="L469:M469"/>
    <mergeCell ref="J470:K470"/>
    <mergeCell ref="L470:M470"/>
    <mergeCell ref="J471:K471"/>
    <mergeCell ref="L471:M471"/>
    <mergeCell ref="J466:K466"/>
    <mergeCell ref="L466:M466"/>
    <mergeCell ref="J467:K467"/>
    <mergeCell ref="L467:M467"/>
    <mergeCell ref="J468:K468"/>
    <mergeCell ref="L468:M468"/>
    <mergeCell ref="J463:K463"/>
    <mergeCell ref="L463:M463"/>
    <mergeCell ref="J464:K464"/>
    <mergeCell ref="L464:M464"/>
    <mergeCell ref="J465:K465"/>
    <mergeCell ref="L465:M465"/>
    <mergeCell ref="J460:K460"/>
    <mergeCell ref="L460:M460"/>
    <mergeCell ref="J461:K461"/>
    <mergeCell ref="L461:M461"/>
    <mergeCell ref="J462:K462"/>
    <mergeCell ref="L462:M462"/>
    <mergeCell ref="J457:K457"/>
    <mergeCell ref="L457:M457"/>
    <mergeCell ref="J458:K458"/>
    <mergeCell ref="L458:M458"/>
    <mergeCell ref="J459:K459"/>
    <mergeCell ref="L459:M459"/>
    <mergeCell ref="J454:K454"/>
    <mergeCell ref="L454:M454"/>
    <mergeCell ref="J455:K455"/>
    <mergeCell ref="L455:M455"/>
    <mergeCell ref="J456:K456"/>
    <mergeCell ref="L456:M456"/>
    <mergeCell ref="J451:K451"/>
    <mergeCell ref="L451:M451"/>
    <mergeCell ref="J452:K452"/>
    <mergeCell ref="L452:M452"/>
    <mergeCell ref="J453:K453"/>
    <mergeCell ref="L453:M453"/>
    <mergeCell ref="J448:K448"/>
    <mergeCell ref="L448:M448"/>
    <mergeCell ref="J449:K449"/>
    <mergeCell ref="L449:M449"/>
    <mergeCell ref="J450:K450"/>
    <mergeCell ref="L450:M450"/>
    <mergeCell ref="J445:K445"/>
    <mergeCell ref="L445:M445"/>
    <mergeCell ref="J446:K446"/>
    <mergeCell ref="L446:M446"/>
    <mergeCell ref="J447:K447"/>
    <mergeCell ref="L447:M447"/>
    <mergeCell ref="J442:K442"/>
    <mergeCell ref="L442:M442"/>
    <mergeCell ref="J443:K443"/>
    <mergeCell ref="L443:M443"/>
    <mergeCell ref="J444:K444"/>
    <mergeCell ref="L444:M444"/>
    <mergeCell ref="J439:K439"/>
    <mergeCell ref="L439:M439"/>
    <mergeCell ref="J440:K440"/>
    <mergeCell ref="L440:M440"/>
    <mergeCell ref="J441:K441"/>
    <mergeCell ref="L441:M441"/>
    <mergeCell ref="J436:K436"/>
    <mergeCell ref="L436:M436"/>
    <mergeCell ref="J437:K437"/>
    <mergeCell ref="L437:M437"/>
    <mergeCell ref="J438:K438"/>
    <mergeCell ref="L438:M438"/>
    <mergeCell ref="J433:K433"/>
    <mergeCell ref="L433:M433"/>
    <mergeCell ref="J434:K434"/>
    <mergeCell ref="L434:M434"/>
    <mergeCell ref="J435:K435"/>
    <mergeCell ref="L435:M435"/>
    <mergeCell ref="J430:K430"/>
    <mergeCell ref="L430:M430"/>
    <mergeCell ref="J431:K431"/>
    <mergeCell ref="L431:M431"/>
    <mergeCell ref="J432:K432"/>
    <mergeCell ref="L432:M432"/>
    <mergeCell ref="J427:K427"/>
    <mergeCell ref="L427:M427"/>
    <mergeCell ref="J428:K428"/>
    <mergeCell ref="L428:M428"/>
    <mergeCell ref="J429:K429"/>
    <mergeCell ref="L429:M429"/>
    <mergeCell ref="J424:K424"/>
    <mergeCell ref="L424:M424"/>
    <mergeCell ref="J425:K425"/>
    <mergeCell ref="L425:M425"/>
    <mergeCell ref="J426:K426"/>
    <mergeCell ref="L426:M426"/>
    <mergeCell ref="J421:K421"/>
    <mergeCell ref="L421:M421"/>
    <mergeCell ref="J422:K422"/>
    <mergeCell ref="L422:M422"/>
    <mergeCell ref="J423:K423"/>
    <mergeCell ref="L423:M423"/>
    <mergeCell ref="J418:K418"/>
    <mergeCell ref="L418:M418"/>
    <mergeCell ref="J419:K419"/>
    <mergeCell ref="L419:M419"/>
    <mergeCell ref="J420:K420"/>
    <mergeCell ref="L420:M420"/>
    <mergeCell ref="J415:K415"/>
    <mergeCell ref="L415:M415"/>
    <mergeCell ref="J416:K416"/>
    <mergeCell ref="L416:M416"/>
    <mergeCell ref="J417:K417"/>
    <mergeCell ref="L417:M417"/>
    <mergeCell ref="J412:K412"/>
    <mergeCell ref="L412:M412"/>
    <mergeCell ref="J413:K413"/>
    <mergeCell ref="L413:M413"/>
    <mergeCell ref="J414:K414"/>
    <mergeCell ref="L414:M414"/>
    <mergeCell ref="J409:K409"/>
    <mergeCell ref="L409:M409"/>
    <mergeCell ref="J410:K410"/>
    <mergeCell ref="L410:M410"/>
    <mergeCell ref="J411:K411"/>
    <mergeCell ref="L411:M411"/>
    <mergeCell ref="J406:K406"/>
    <mergeCell ref="L406:M406"/>
    <mergeCell ref="J407:K407"/>
    <mergeCell ref="L407:M407"/>
    <mergeCell ref="J408:K408"/>
    <mergeCell ref="L408:M408"/>
    <mergeCell ref="J403:K403"/>
    <mergeCell ref="L403:M403"/>
    <mergeCell ref="J404:K404"/>
    <mergeCell ref="L404:M404"/>
    <mergeCell ref="J405:K405"/>
    <mergeCell ref="L405:M405"/>
    <mergeCell ref="J400:K400"/>
    <mergeCell ref="L400:M400"/>
    <mergeCell ref="J401:K401"/>
    <mergeCell ref="L401:M401"/>
    <mergeCell ref="J402:K402"/>
    <mergeCell ref="L402:M402"/>
    <mergeCell ref="J397:K397"/>
    <mergeCell ref="L397:M397"/>
    <mergeCell ref="J398:K398"/>
    <mergeCell ref="L398:M398"/>
    <mergeCell ref="J399:K399"/>
    <mergeCell ref="L399:M399"/>
    <mergeCell ref="J394:K394"/>
    <mergeCell ref="L394:M394"/>
    <mergeCell ref="J395:K395"/>
    <mergeCell ref="L395:M395"/>
    <mergeCell ref="J396:K396"/>
    <mergeCell ref="L396:M396"/>
    <mergeCell ref="J391:K391"/>
    <mergeCell ref="L391:M391"/>
    <mergeCell ref="J392:K392"/>
    <mergeCell ref="L392:M392"/>
    <mergeCell ref="J393:K393"/>
    <mergeCell ref="L393:M393"/>
    <mergeCell ref="J388:K388"/>
    <mergeCell ref="L388:M388"/>
    <mergeCell ref="J389:K389"/>
    <mergeCell ref="L389:M389"/>
    <mergeCell ref="J390:K390"/>
    <mergeCell ref="L390:M390"/>
    <mergeCell ref="J385:K385"/>
    <mergeCell ref="L385:M385"/>
    <mergeCell ref="J386:K386"/>
    <mergeCell ref="L386:M386"/>
    <mergeCell ref="J387:K387"/>
    <mergeCell ref="L387:M387"/>
    <mergeCell ref="J382:K382"/>
    <mergeCell ref="L382:M382"/>
    <mergeCell ref="J383:K383"/>
    <mergeCell ref="L383:M383"/>
    <mergeCell ref="J384:K384"/>
    <mergeCell ref="L384:M384"/>
    <mergeCell ref="J379:K379"/>
    <mergeCell ref="L379:M379"/>
    <mergeCell ref="J380:K380"/>
    <mergeCell ref="L380:M380"/>
    <mergeCell ref="J381:K381"/>
    <mergeCell ref="L381:M381"/>
    <mergeCell ref="J376:K376"/>
    <mergeCell ref="L376:M376"/>
    <mergeCell ref="J377:K377"/>
    <mergeCell ref="L377:M377"/>
    <mergeCell ref="J378:K378"/>
    <mergeCell ref="L378:M378"/>
    <mergeCell ref="J373:K373"/>
    <mergeCell ref="L373:M373"/>
    <mergeCell ref="J374:K374"/>
    <mergeCell ref="L374:M374"/>
    <mergeCell ref="J375:K375"/>
    <mergeCell ref="L375:M375"/>
    <mergeCell ref="J370:K370"/>
    <mergeCell ref="L370:M370"/>
    <mergeCell ref="J371:K371"/>
    <mergeCell ref="L371:M371"/>
    <mergeCell ref="J372:K372"/>
    <mergeCell ref="L372:M372"/>
    <mergeCell ref="J367:K367"/>
    <mergeCell ref="L367:M367"/>
    <mergeCell ref="J368:K368"/>
    <mergeCell ref="L368:M368"/>
    <mergeCell ref="J369:K369"/>
    <mergeCell ref="L369:M369"/>
    <mergeCell ref="J364:K364"/>
    <mergeCell ref="L364:M364"/>
    <mergeCell ref="J365:K365"/>
    <mergeCell ref="L365:M365"/>
    <mergeCell ref="J366:K366"/>
    <mergeCell ref="L366:M366"/>
    <mergeCell ref="J361:K361"/>
    <mergeCell ref="L361:M361"/>
    <mergeCell ref="J362:K362"/>
    <mergeCell ref="L362:M362"/>
    <mergeCell ref="J363:K363"/>
    <mergeCell ref="L363:M363"/>
    <mergeCell ref="J358:K358"/>
    <mergeCell ref="L358:M358"/>
    <mergeCell ref="J359:K359"/>
    <mergeCell ref="L359:M359"/>
    <mergeCell ref="J360:K360"/>
    <mergeCell ref="L360:M360"/>
    <mergeCell ref="J355:K355"/>
    <mergeCell ref="L355:M355"/>
    <mergeCell ref="J356:K356"/>
    <mergeCell ref="L356:M356"/>
    <mergeCell ref="J357:K357"/>
    <mergeCell ref="L357:M357"/>
    <mergeCell ref="J352:K352"/>
    <mergeCell ref="L352:M352"/>
    <mergeCell ref="J353:K353"/>
    <mergeCell ref="L353:M353"/>
    <mergeCell ref="J354:K354"/>
    <mergeCell ref="L354:M354"/>
    <mergeCell ref="J349:K349"/>
    <mergeCell ref="L349:M349"/>
    <mergeCell ref="J350:K350"/>
    <mergeCell ref="L350:M350"/>
    <mergeCell ref="J351:K351"/>
    <mergeCell ref="L351:M351"/>
    <mergeCell ref="J346:K346"/>
    <mergeCell ref="L346:M346"/>
    <mergeCell ref="J347:K347"/>
    <mergeCell ref="L347:M347"/>
    <mergeCell ref="J348:K348"/>
    <mergeCell ref="L348:M348"/>
    <mergeCell ref="J343:K343"/>
    <mergeCell ref="L343:M343"/>
    <mergeCell ref="J344:K344"/>
    <mergeCell ref="L344:M344"/>
    <mergeCell ref="J345:K345"/>
    <mergeCell ref="L345:M345"/>
    <mergeCell ref="J340:K340"/>
    <mergeCell ref="L340:M340"/>
    <mergeCell ref="J341:K341"/>
    <mergeCell ref="L341:M341"/>
    <mergeCell ref="J342:K342"/>
    <mergeCell ref="L342:M342"/>
    <mergeCell ref="J337:K337"/>
    <mergeCell ref="L337:M337"/>
    <mergeCell ref="J338:K338"/>
    <mergeCell ref="L338:M338"/>
    <mergeCell ref="J339:K339"/>
    <mergeCell ref="L339:M339"/>
    <mergeCell ref="J334:K334"/>
    <mergeCell ref="L334:M334"/>
    <mergeCell ref="J335:K335"/>
    <mergeCell ref="L335:M335"/>
    <mergeCell ref="J336:K336"/>
    <mergeCell ref="L336:M336"/>
    <mergeCell ref="J331:K331"/>
    <mergeCell ref="L331:M331"/>
    <mergeCell ref="J332:K332"/>
    <mergeCell ref="L332:M332"/>
    <mergeCell ref="J333:K333"/>
    <mergeCell ref="L333:M333"/>
    <mergeCell ref="J328:K328"/>
    <mergeCell ref="L328:M328"/>
    <mergeCell ref="J329:K329"/>
    <mergeCell ref="L329:M329"/>
    <mergeCell ref="J330:K330"/>
    <mergeCell ref="L330:M330"/>
    <mergeCell ref="J325:K325"/>
    <mergeCell ref="L325:M325"/>
    <mergeCell ref="J326:K326"/>
    <mergeCell ref="L326:M326"/>
    <mergeCell ref="J327:K327"/>
    <mergeCell ref="L327:M327"/>
    <mergeCell ref="J322:K322"/>
    <mergeCell ref="L322:M322"/>
    <mergeCell ref="J323:K323"/>
    <mergeCell ref="L323:M323"/>
    <mergeCell ref="J324:K324"/>
    <mergeCell ref="L324:M324"/>
    <mergeCell ref="J319:K319"/>
    <mergeCell ref="L319:M319"/>
    <mergeCell ref="J320:K320"/>
    <mergeCell ref="L320:M320"/>
    <mergeCell ref="J321:K321"/>
    <mergeCell ref="L321:M321"/>
    <mergeCell ref="J316:K316"/>
    <mergeCell ref="L316:M316"/>
    <mergeCell ref="J317:K317"/>
    <mergeCell ref="L317:M317"/>
    <mergeCell ref="J318:K318"/>
    <mergeCell ref="L318:M318"/>
    <mergeCell ref="J313:K313"/>
    <mergeCell ref="L313:M313"/>
    <mergeCell ref="J314:K314"/>
    <mergeCell ref="L314:M314"/>
    <mergeCell ref="J315:K315"/>
    <mergeCell ref="L315:M315"/>
    <mergeCell ref="J310:K310"/>
    <mergeCell ref="L310:M310"/>
    <mergeCell ref="J311:K311"/>
    <mergeCell ref="L311:M311"/>
    <mergeCell ref="J312:K312"/>
    <mergeCell ref="L312:M312"/>
    <mergeCell ref="J307:K307"/>
    <mergeCell ref="L307:M307"/>
    <mergeCell ref="J308:K308"/>
    <mergeCell ref="L308:M308"/>
    <mergeCell ref="J309:K309"/>
    <mergeCell ref="L309:M309"/>
    <mergeCell ref="J304:K304"/>
    <mergeCell ref="L304:M304"/>
    <mergeCell ref="J305:K305"/>
    <mergeCell ref="L305:M305"/>
    <mergeCell ref="J306:K306"/>
    <mergeCell ref="L306:M306"/>
    <mergeCell ref="J301:K301"/>
    <mergeCell ref="L301:M301"/>
    <mergeCell ref="J302:K302"/>
    <mergeCell ref="L302:M302"/>
    <mergeCell ref="J303:K303"/>
    <mergeCell ref="L303:M303"/>
    <mergeCell ref="J298:K298"/>
    <mergeCell ref="L298:M298"/>
    <mergeCell ref="J299:K299"/>
    <mergeCell ref="L299:M299"/>
    <mergeCell ref="J300:K300"/>
    <mergeCell ref="L300:M300"/>
    <mergeCell ref="J295:K295"/>
    <mergeCell ref="L295:M295"/>
    <mergeCell ref="J296:K296"/>
    <mergeCell ref="L296:M296"/>
    <mergeCell ref="J297:K297"/>
    <mergeCell ref="L297:M297"/>
    <mergeCell ref="J292:K292"/>
    <mergeCell ref="L292:M292"/>
    <mergeCell ref="J293:K293"/>
    <mergeCell ref="L293:M293"/>
    <mergeCell ref="J294:K294"/>
    <mergeCell ref="L294:M294"/>
    <mergeCell ref="J289:K289"/>
    <mergeCell ref="L289:M289"/>
    <mergeCell ref="J290:K290"/>
    <mergeCell ref="L290:M290"/>
    <mergeCell ref="J291:K291"/>
    <mergeCell ref="L291:M291"/>
    <mergeCell ref="J286:K286"/>
    <mergeCell ref="L286:M286"/>
    <mergeCell ref="J287:K287"/>
    <mergeCell ref="L287:M287"/>
    <mergeCell ref="J288:K288"/>
    <mergeCell ref="L288:M288"/>
    <mergeCell ref="J283:K283"/>
    <mergeCell ref="L283:M283"/>
    <mergeCell ref="J284:K284"/>
    <mergeCell ref="L284:M284"/>
    <mergeCell ref="J285:K285"/>
    <mergeCell ref="L285:M285"/>
    <mergeCell ref="J280:K280"/>
    <mergeCell ref="L280:M280"/>
    <mergeCell ref="J281:K281"/>
    <mergeCell ref="L281:M281"/>
    <mergeCell ref="J282:K282"/>
    <mergeCell ref="L282:M282"/>
    <mergeCell ref="J277:K277"/>
    <mergeCell ref="L277:M277"/>
    <mergeCell ref="J278:K278"/>
    <mergeCell ref="L278:M278"/>
    <mergeCell ref="J279:K279"/>
    <mergeCell ref="L279:M279"/>
    <mergeCell ref="J274:K274"/>
    <mergeCell ref="L274:M274"/>
    <mergeCell ref="J275:K275"/>
    <mergeCell ref="L275:M275"/>
    <mergeCell ref="J276:K276"/>
    <mergeCell ref="L276:M276"/>
    <mergeCell ref="J271:K271"/>
    <mergeCell ref="L271:M271"/>
    <mergeCell ref="J272:K272"/>
    <mergeCell ref="L272:M272"/>
    <mergeCell ref="J273:K273"/>
    <mergeCell ref="L273:M273"/>
    <mergeCell ref="J268:K268"/>
    <mergeCell ref="L268:M268"/>
    <mergeCell ref="J269:K269"/>
    <mergeCell ref="L269:M269"/>
    <mergeCell ref="J270:K270"/>
    <mergeCell ref="L270:M270"/>
    <mergeCell ref="J265:K265"/>
    <mergeCell ref="L265:M265"/>
    <mergeCell ref="J266:K266"/>
    <mergeCell ref="L266:M266"/>
    <mergeCell ref="J267:K267"/>
    <mergeCell ref="L267:M267"/>
    <mergeCell ref="J262:K262"/>
    <mergeCell ref="L262:M262"/>
    <mergeCell ref="J263:K263"/>
    <mergeCell ref="L263:M263"/>
    <mergeCell ref="J264:K264"/>
    <mergeCell ref="L264:M264"/>
    <mergeCell ref="J259:K259"/>
    <mergeCell ref="L259:M259"/>
    <mergeCell ref="J260:K260"/>
    <mergeCell ref="L260:M260"/>
    <mergeCell ref="J261:K261"/>
    <mergeCell ref="L261:M261"/>
    <mergeCell ref="J256:K256"/>
    <mergeCell ref="L256:M256"/>
    <mergeCell ref="J257:K257"/>
    <mergeCell ref="L257:M257"/>
    <mergeCell ref="J258:K258"/>
    <mergeCell ref="L258:M258"/>
    <mergeCell ref="J253:K253"/>
    <mergeCell ref="L253:M253"/>
    <mergeCell ref="J254:K254"/>
    <mergeCell ref="L254:M254"/>
    <mergeCell ref="J255:K255"/>
    <mergeCell ref="L255:M255"/>
    <mergeCell ref="J250:K250"/>
    <mergeCell ref="L250:M250"/>
    <mergeCell ref="J251:K251"/>
    <mergeCell ref="L251:M251"/>
    <mergeCell ref="J252:K252"/>
    <mergeCell ref="L252:M252"/>
    <mergeCell ref="J247:K247"/>
    <mergeCell ref="L247:M247"/>
    <mergeCell ref="J248:K248"/>
    <mergeCell ref="L248:M248"/>
    <mergeCell ref="J249:K249"/>
    <mergeCell ref="L249:M249"/>
    <mergeCell ref="J244:K244"/>
    <mergeCell ref="L244:M244"/>
    <mergeCell ref="J245:K245"/>
    <mergeCell ref="L245:M245"/>
    <mergeCell ref="J246:K246"/>
    <mergeCell ref="L246:M246"/>
    <mergeCell ref="J241:K241"/>
    <mergeCell ref="L241:M241"/>
    <mergeCell ref="J242:K242"/>
    <mergeCell ref="L242:M242"/>
    <mergeCell ref="J243:K243"/>
    <mergeCell ref="L243:M243"/>
    <mergeCell ref="J238:K238"/>
    <mergeCell ref="L238:M238"/>
    <mergeCell ref="J239:K239"/>
    <mergeCell ref="L239:M239"/>
    <mergeCell ref="J240:K240"/>
    <mergeCell ref="L240:M240"/>
    <mergeCell ref="J235:K235"/>
    <mergeCell ref="L235:M235"/>
    <mergeCell ref="J236:K236"/>
    <mergeCell ref="L236:M236"/>
    <mergeCell ref="J237:K237"/>
    <mergeCell ref="L237:M237"/>
    <mergeCell ref="J232:K232"/>
    <mergeCell ref="L232:M232"/>
    <mergeCell ref="J233:K233"/>
    <mergeCell ref="L233:M233"/>
    <mergeCell ref="J234:K234"/>
    <mergeCell ref="L234:M234"/>
    <mergeCell ref="J229:K229"/>
    <mergeCell ref="L229:M229"/>
    <mergeCell ref="J230:K230"/>
    <mergeCell ref="L230:M230"/>
    <mergeCell ref="J231:K231"/>
    <mergeCell ref="L231:M231"/>
    <mergeCell ref="J226:K226"/>
    <mergeCell ref="L226:M226"/>
    <mergeCell ref="J227:K227"/>
    <mergeCell ref="L227:M227"/>
    <mergeCell ref="J228:K228"/>
    <mergeCell ref="L228:M228"/>
    <mergeCell ref="J223:K223"/>
    <mergeCell ref="L223:M223"/>
    <mergeCell ref="J224:K224"/>
    <mergeCell ref="L224:M224"/>
    <mergeCell ref="J225:K225"/>
    <mergeCell ref="L225:M225"/>
    <mergeCell ref="J220:K220"/>
    <mergeCell ref="L220:M220"/>
    <mergeCell ref="J221:K221"/>
    <mergeCell ref="L221:M221"/>
    <mergeCell ref="J222:K222"/>
    <mergeCell ref="L222:M222"/>
    <mergeCell ref="J217:K217"/>
    <mergeCell ref="L217:M217"/>
    <mergeCell ref="J218:K218"/>
    <mergeCell ref="L218:M218"/>
    <mergeCell ref="J219:K219"/>
    <mergeCell ref="L219:M219"/>
    <mergeCell ref="J214:K214"/>
    <mergeCell ref="L214:M214"/>
    <mergeCell ref="J215:K215"/>
    <mergeCell ref="L215:M215"/>
    <mergeCell ref="J216:K216"/>
    <mergeCell ref="L216:M216"/>
    <mergeCell ref="J211:K211"/>
    <mergeCell ref="L211:M211"/>
    <mergeCell ref="J212:K212"/>
    <mergeCell ref="L212:M212"/>
    <mergeCell ref="J213:K213"/>
    <mergeCell ref="L213:M213"/>
    <mergeCell ref="J208:K208"/>
    <mergeCell ref="L208:M208"/>
    <mergeCell ref="J209:K209"/>
    <mergeCell ref="L209:M209"/>
    <mergeCell ref="J210:K210"/>
    <mergeCell ref="L210:M210"/>
    <mergeCell ref="J205:K205"/>
    <mergeCell ref="L205:M205"/>
    <mergeCell ref="J206:K206"/>
    <mergeCell ref="L206:M206"/>
    <mergeCell ref="J207:K207"/>
    <mergeCell ref="L207:M207"/>
    <mergeCell ref="J202:K202"/>
    <mergeCell ref="L202:M202"/>
    <mergeCell ref="J203:K203"/>
    <mergeCell ref="L203:M203"/>
    <mergeCell ref="J204:K204"/>
    <mergeCell ref="L204:M204"/>
    <mergeCell ref="J199:K199"/>
    <mergeCell ref="L199:M199"/>
    <mergeCell ref="J200:K200"/>
    <mergeCell ref="L200:M200"/>
    <mergeCell ref="J201:K201"/>
    <mergeCell ref="L201:M201"/>
    <mergeCell ref="J196:K196"/>
    <mergeCell ref="L196:M196"/>
    <mergeCell ref="J197:K197"/>
    <mergeCell ref="L197:M197"/>
    <mergeCell ref="J198:K198"/>
    <mergeCell ref="L198:M198"/>
    <mergeCell ref="J193:K193"/>
    <mergeCell ref="L193:M193"/>
    <mergeCell ref="J194:K194"/>
    <mergeCell ref="L194:M194"/>
    <mergeCell ref="J195:K195"/>
    <mergeCell ref="L195:M195"/>
    <mergeCell ref="J190:K190"/>
    <mergeCell ref="L190:M190"/>
    <mergeCell ref="J191:K191"/>
    <mergeCell ref="L191:M191"/>
    <mergeCell ref="J192:K192"/>
    <mergeCell ref="L192:M192"/>
    <mergeCell ref="J187:K187"/>
    <mergeCell ref="L187:M187"/>
    <mergeCell ref="J188:K188"/>
    <mergeCell ref="L188:M188"/>
    <mergeCell ref="J189:K189"/>
    <mergeCell ref="L189:M189"/>
    <mergeCell ref="J184:K184"/>
    <mergeCell ref="L184:M184"/>
    <mergeCell ref="J185:K185"/>
    <mergeCell ref="L185:M185"/>
    <mergeCell ref="J186:K186"/>
    <mergeCell ref="L186:M186"/>
    <mergeCell ref="J181:K181"/>
    <mergeCell ref="L181:M181"/>
    <mergeCell ref="J182:K182"/>
    <mergeCell ref="L182:M182"/>
    <mergeCell ref="J183:K183"/>
    <mergeCell ref="L183:M183"/>
    <mergeCell ref="J178:K178"/>
    <mergeCell ref="L178:M178"/>
    <mergeCell ref="J179:K179"/>
    <mergeCell ref="L179:M179"/>
    <mergeCell ref="J180:K180"/>
    <mergeCell ref="L180:M180"/>
    <mergeCell ref="J175:K175"/>
    <mergeCell ref="L175:M175"/>
    <mergeCell ref="J176:K176"/>
    <mergeCell ref="L176:M176"/>
    <mergeCell ref="J177:K177"/>
    <mergeCell ref="L177:M177"/>
    <mergeCell ref="J172:K172"/>
    <mergeCell ref="L172:M172"/>
    <mergeCell ref="J173:K173"/>
    <mergeCell ref="L173:M173"/>
    <mergeCell ref="J174:K174"/>
    <mergeCell ref="L174:M174"/>
    <mergeCell ref="J169:K169"/>
    <mergeCell ref="L169:M169"/>
    <mergeCell ref="J170:K170"/>
    <mergeCell ref="L170:M170"/>
    <mergeCell ref="J171:K171"/>
    <mergeCell ref="L171:M171"/>
    <mergeCell ref="J166:K166"/>
    <mergeCell ref="L166:M166"/>
    <mergeCell ref="J167:K167"/>
    <mergeCell ref="L167:M167"/>
    <mergeCell ref="J168:K168"/>
    <mergeCell ref="L168:M168"/>
    <mergeCell ref="J163:K163"/>
    <mergeCell ref="L163:M163"/>
    <mergeCell ref="J164:K164"/>
    <mergeCell ref="L164:M164"/>
    <mergeCell ref="J165:K165"/>
    <mergeCell ref="L165:M165"/>
    <mergeCell ref="J160:K160"/>
    <mergeCell ref="L160:M160"/>
    <mergeCell ref="J161:K161"/>
    <mergeCell ref="L161:M161"/>
    <mergeCell ref="J162:K162"/>
    <mergeCell ref="L162:M162"/>
    <mergeCell ref="J157:K157"/>
    <mergeCell ref="L157:M157"/>
    <mergeCell ref="J158:K158"/>
    <mergeCell ref="L158:M158"/>
    <mergeCell ref="J159:K159"/>
    <mergeCell ref="L159:M159"/>
    <mergeCell ref="J154:K154"/>
    <mergeCell ref="L154:M154"/>
    <mergeCell ref="J155:K155"/>
    <mergeCell ref="L155:M155"/>
    <mergeCell ref="J156:K156"/>
    <mergeCell ref="L156:M156"/>
    <mergeCell ref="J151:K151"/>
    <mergeCell ref="L151:M151"/>
    <mergeCell ref="J152:K152"/>
    <mergeCell ref="L152:M152"/>
    <mergeCell ref="J153:K153"/>
    <mergeCell ref="L153:M153"/>
    <mergeCell ref="J148:K148"/>
    <mergeCell ref="L148:M148"/>
    <mergeCell ref="J149:K149"/>
    <mergeCell ref="L149:M149"/>
    <mergeCell ref="J150:K150"/>
    <mergeCell ref="L150:M150"/>
    <mergeCell ref="J145:K145"/>
    <mergeCell ref="L145:M145"/>
    <mergeCell ref="J146:K146"/>
    <mergeCell ref="L146:M146"/>
    <mergeCell ref="J147:K147"/>
    <mergeCell ref="L147:M147"/>
    <mergeCell ref="J142:K142"/>
    <mergeCell ref="L142:M142"/>
    <mergeCell ref="J143:K143"/>
    <mergeCell ref="L143:M143"/>
    <mergeCell ref="J144:K144"/>
    <mergeCell ref="L144:M144"/>
    <mergeCell ref="J139:K139"/>
    <mergeCell ref="L139:M139"/>
    <mergeCell ref="J140:K140"/>
    <mergeCell ref="L140:M140"/>
    <mergeCell ref="J141:K141"/>
    <mergeCell ref="L141:M141"/>
    <mergeCell ref="J136:K136"/>
    <mergeCell ref="L136:M136"/>
    <mergeCell ref="J137:K137"/>
    <mergeCell ref="L137:M137"/>
    <mergeCell ref="J138:K138"/>
    <mergeCell ref="L138:M138"/>
    <mergeCell ref="J133:K133"/>
    <mergeCell ref="L133:M133"/>
    <mergeCell ref="J134:K134"/>
    <mergeCell ref="L134:M134"/>
    <mergeCell ref="J135:K135"/>
    <mergeCell ref="L135:M135"/>
    <mergeCell ref="J130:K130"/>
    <mergeCell ref="L130:M130"/>
    <mergeCell ref="J131:K131"/>
    <mergeCell ref="L131:M131"/>
    <mergeCell ref="J132:K132"/>
    <mergeCell ref="L132:M132"/>
    <mergeCell ref="J127:K127"/>
    <mergeCell ref="L127:M127"/>
    <mergeCell ref="J128:K128"/>
    <mergeCell ref="L128:M128"/>
    <mergeCell ref="J129:K129"/>
    <mergeCell ref="L129:M129"/>
    <mergeCell ref="J124:K124"/>
    <mergeCell ref="L124:M124"/>
    <mergeCell ref="J125:K125"/>
    <mergeCell ref="L125:M125"/>
    <mergeCell ref="J126:K126"/>
    <mergeCell ref="L126:M126"/>
    <mergeCell ref="J121:K121"/>
    <mergeCell ref="L121:M121"/>
    <mergeCell ref="J122:K122"/>
    <mergeCell ref="L122:M122"/>
    <mergeCell ref="J123:K123"/>
    <mergeCell ref="L123:M123"/>
    <mergeCell ref="J118:K118"/>
    <mergeCell ref="L118:M118"/>
    <mergeCell ref="J119:K119"/>
    <mergeCell ref="L119:M119"/>
    <mergeCell ref="J120:K120"/>
    <mergeCell ref="L120:M120"/>
    <mergeCell ref="J115:K115"/>
    <mergeCell ref="L115:M115"/>
    <mergeCell ref="J116:K116"/>
    <mergeCell ref="L116:M116"/>
    <mergeCell ref="J117:K117"/>
    <mergeCell ref="L117:M117"/>
    <mergeCell ref="J112:K112"/>
    <mergeCell ref="L112:M112"/>
    <mergeCell ref="J113:K113"/>
    <mergeCell ref="L113:M113"/>
    <mergeCell ref="J114:K114"/>
    <mergeCell ref="L114:M114"/>
    <mergeCell ref="J109:K109"/>
    <mergeCell ref="L109:M109"/>
    <mergeCell ref="J110:K110"/>
    <mergeCell ref="L110:M110"/>
    <mergeCell ref="J111:K111"/>
    <mergeCell ref="L111:M111"/>
    <mergeCell ref="J106:K106"/>
    <mergeCell ref="L106:M106"/>
    <mergeCell ref="J107:K107"/>
    <mergeCell ref="L107:M107"/>
    <mergeCell ref="J108:K108"/>
    <mergeCell ref="L108:M108"/>
    <mergeCell ref="J103:K103"/>
    <mergeCell ref="L103:M103"/>
    <mergeCell ref="J104:K104"/>
    <mergeCell ref="L104:M104"/>
    <mergeCell ref="J105:K105"/>
    <mergeCell ref="L105:M105"/>
    <mergeCell ref="J100:K100"/>
    <mergeCell ref="L100:M100"/>
    <mergeCell ref="J101:K101"/>
    <mergeCell ref="L101:M101"/>
    <mergeCell ref="J102:K102"/>
    <mergeCell ref="L102:M102"/>
    <mergeCell ref="J97:K97"/>
    <mergeCell ref="L97:M97"/>
    <mergeCell ref="J98:K98"/>
    <mergeCell ref="L98:M98"/>
    <mergeCell ref="J99:K99"/>
    <mergeCell ref="L99:M99"/>
    <mergeCell ref="J94:K94"/>
    <mergeCell ref="L94:M94"/>
    <mergeCell ref="J95:K95"/>
    <mergeCell ref="L95:M95"/>
    <mergeCell ref="J96:K96"/>
    <mergeCell ref="L96:M96"/>
    <mergeCell ref="J91:K91"/>
    <mergeCell ref="L91:M91"/>
    <mergeCell ref="J92:K92"/>
    <mergeCell ref="L92:M92"/>
    <mergeCell ref="J93:K93"/>
    <mergeCell ref="L93:M93"/>
    <mergeCell ref="J88:K88"/>
    <mergeCell ref="L88:M88"/>
    <mergeCell ref="J89:K89"/>
    <mergeCell ref="L89:M89"/>
    <mergeCell ref="J90:K90"/>
    <mergeCell ref="L90:M90"/>
    <mergeCell ref="J85:K85"/>
    <mergeCell ref="L85:M85"/>
    <mergeCell ref="J86:K86"/>
    <mergeCell ref="L86:M86"/>
    <mergeCell ref="J87:K87"/>
    <mergeCell ref="L87:M87"/>
    <mergeCell ref="J82:K82"/>
    <mergeCell ref="L82:M82"/>
    <mergeCell ref="J83:K83"/>
    <mergeCell ref="L83:M83"/>
    <mergeCell ref="J84:K84"/>
    <mergeCell ref="L84:M84"/>
    <mergeCell ref="J79:K79"/>
    <mergeCell ref="L79:M79"/>
    <mergeCell ref="J80:K80"/>
    <mergeCell ref="L80:M80"/>
    <mergeCell ref="J81:K81"/>
    <mergeCell ref="L81:M81"/>
    <mergeCell ref="J76:K76"/>
    <mergeCell ref="L76:M76"/>
    <mergeCell ref="J77:K77"/>
    <mergeCell ref="L77:M77"/>
    <mergeCell ref="J78:K78"/>
    <mergeCell ref="L78:M78"/>
    <mergeCell ref="J73:K73"/>
    <mergeCell ref="L73:M73"/>
    <mergeCell ref="J74:K74"/>
    <mergeCell ref="L74:M74"/>
    <mergeCell ref="J75:K75"/>
    <mergeCell ref="L75:M75"/>
    <mergeCell ref="J70:K70"/>
    <mergeCell ref="L70:M70"/>
    <mergeCell ref="J71:K71"/>
    <mergeCell ref="L71:M71"/>
    <mergeCell ref="J72:K72"/>
    <mergeCell ref="L72:M72"/>
    <mergeCell ref="J67:K67"/>
    <mergeCell ref="L67:M67"/>
    <mergeCell ref="J68:K68"/>
    <mergeCell ref="L68:M68"/>
    <mergeCell ref="J69:K69"/>
    <mergeCell ref="L69:M69"/>
    <mergeCell ref="J64:K64"/>
    <mergeCell ref="L64:M64"/>
    <mergeCell ref="J65:K65"/>
    <mergeCell ref="L65:M65"/>
    <mergeCell ref="J66:K66"/>
    <mergeCell ref="L66:M66"/>
    <mergeCell ref="J61:K61"/>
    <mergeCell ref="L61:M61"/>
    <mergeCell ref="J62:K62"/>
    <mergeCell ref="L62:M62"/>
    <mergeCell ref="J63:K63"/>
    <mergeCell ref="L63:M63"/>
    <mergeCell ref="J58:K58"/>
    <mergeCell ref="L58:M58"/>
    <mergeCell ref="J59:K59"/>
    <mergeCell ref="L59:M59"/>
    <mergeCell ref="J60:K60"/>
    <mergeCell ref="L60:M60"/>
    <mergeCell ref="J55:K55"/>
    <mergeCell ref="L55:M55"/>
    <mergeCell ref="J56:K56"/>
    <mergeCell ref="L56:M56"/>
    <mergeCell ref="J57:K57"/>
    <mergeCell ref="L57:M57"/>
    <mergeCell ref="J52:K52"/>
    <mergeCell ref="L52:M52"/>
    <mergeCell ref="J53:K53"/>
    <mergeCell ref="L53:M53"/>
    <mergeCell ref="J54:K54"/>
    <mergeCell ref="L54:M54"/>
    <mergeCell ref="J49:K49"/>
    <mergeCell ref="L49:M49"/>
    <mergeCell ref="J50:K50"/>
    <mergeCell ref="L50:M50"/>
    <mergeCell ref="J51:K51"/>
    <mergeCell ref="L51:M51"/>
    <mergeCell ref="J46:K46"/>
    <mergeCell ref="L46:M46"/>
    <mergeCell ref="J47:K47"/>
    <mergeCell ref="L47:M47"/>
    <mergeCell ref="J48:K48"/>
    <mergeCell ref="L48:M48"/>
    <mergeCell ref="J43:K43"/>
    <mergeCell ref="L43:M43"/>
    <mergeCell ref="J44:K44"/>
    <mergeCell ref="L44:M44"/>
    <mergeCell ref="J45:K45"/>
    <mergeCell ref="L45:M45"/>
    <mergeCell ref="J40:K40"/>
    <mergeCell ref="L40:M40"/>
    <mergeCell ref="J41:K41"/>
    <mergeCell ref="L41:M41"/>
    <mergeCell ref="J42:K42"/>
    <mergeCell ref="L42:M42"/>
    <mergeCell ref="J37:K37"/>
    <mergeCell ref="L37:M37"/>
    <mergeCell ref="J38:K38"/>
    <mergeCell ref="L38:M38"/>
    <mergeCell ref="J39:K39"/>
    <mergeCell ref="L39:M39"/>
    <mergeCell ref="J34:K34"/>
    <mergeCell ref="L34:M34"/>
    <mergeCell ref="J35:K35"/>
    <mergeCell ref="L35:M35"/>
    <mergeCell ref="J36:K36"/>
    <mergeCell ref="L36:M36"/>
    <mergeCell ref="J31:K31"/>
    <mergeCell ref="L31:M31"/>
    <mergeCell ref="J32:K32"/>
    <mergeCell ref="L32:M32"/>
    <mergeCell ref="J33:K33"/>
    <mergeCell ref="L33:M33"/>
    <mergeCell ref="J28:K28"/>
    <mergeCell ref="L28:M28"/>
    <mergeCell ref="J29:K29"/>
    <mergeCell ref="L29:M29"/>
    <mergeCell ref="J30:K30"/>
    <mergeCell ref="L30:M30"/>
    <mergeCell ref="J25:K25"/>
    <mergeCell ref="L25:M25"/>
    <mergeCell ref="J26:K26"/>
    <mergeCell ref="L26:M26"/>
    <mergeCell ref="J27:K27"/>
    <mergeCell ref="L27:M27"/>
    <mergeCell ref="J22:K22"/>
    <mergeCell ref="L22:M22"/>
    <mergeCell ref="J23:K23"/>
    <mergeCell ref="L23:M23"/>
    <mergeCell ref="J24:K24"/>
    <mergeCell ref="L24:M24"/>
    <mergeCell ref="J19:K19"/>
    <mergeCell ref="L19:M19"/>
    <mergeCell ref="J20:K20"/>
    <mergeCell ref="L20:M20"/>
    <mergeCell ref="J21:K21"/>
    <mergeCell ref="L21:M21"/>
    <mergeCell ref="J17:K17"/>
    <mergeCell ref="L17:M17"/>
    <mergeCell ref="J18:K18"/>
    <mergeCell ref="L18:M18"/>
    <mergeCell ref="J13:K13"/>
    <mergeCell ref="L13:M13"/>
    <mergeCell ref="J14:K14"/>
    <mergeCell ref="L14:M14"/>
    <mergeCell ref="J15:K15"/>
    <mergeCell ref="L15:M15"/>
    <mergeCell ref="T9:Y9"/>
    <mergeCell ref="J10:K10"/>
    <mergeCell ref="L10:M10"/>
    <mergeCell ref="J11:K11"/>
    <mergeCell ref="L11:M11"/>
    <mergeCell ref="J12:K12"/>
    <mergeCell ref="L12:M12"/>
    <mergeCell ref="B8:C8"/>
    <mergeCell ref="D8:E8"/>
    <mergeCell ref="F8:G8"/>
    <mergeCell ref="H8:I8"/>
    <mergeCell ref="T8:Y8"/>
    <mergeCell ref="B5:C5"/>
    <mergeCell ref="D5:E5"/>
    <mergeCell ref="F5:G5"/>
    <mergeCell ref="H5:I5"/>
    <mergeCell ref="T5:Y5"/>
    <mergeCell ref="B6:C6"/>
    <mergeCell ref="D6:E6"/>
    <mergeCell ref="F6:G6"/>
    <mergeCell ref="H6:I6"/>
    <mergeCell ref="T6:Y6"/>
    <mergeCell ref="J16:K16"/>
    <mergeCell ref="L16:M16"/>
    <mergeCell ref="K3:L3"/>
    <mergeCell ref="N3:O3"/>
    <mergeCell ref="T3:Y3"/>
    <mergeCell ref="B4:C4"/>
    <mergeCell ref="D4:E4"/>
    <mergeCell ref="F4:G4"/>
    <mergeCell ref="H4:I4"/>
    <mergeCell ref="T4:Y4"/>
    <mergeCell ref="B1:C1"/>
    <mergeCell ref="B2:C2"/>
    <mergeCell ref="B3:C3"/>
    <mergeCell ref="D3:E3"/>
    <mergeCell ref="F3:G3"/>
    <mergeCell ref="H3:I3"/>
    <mergeCell ref="B7:C7"/>
    <mergeCell ref="D7:E7"/>
    <mergeCell ref="F7:G7"/>
    <mergeCell ref="H7:I7"/>
    <mergeCell ref="T7:Y7"/>
  </mergeCells>
  <dataValidations count="1">
    <dataValidation type="list" allowBlank="1" showInputMessage="1" showErrorMessage="1" sqref="L4" xr:uid="{8954CBF8-7E7D-4DD7-864E-0283E1E26B01}">
      <formula1>$O$11:$O$12</formula1>
    </dataValidation>
  </dataValidations>
  <pageMargins left="0.25" right="0.25" top="0.75" bottom="0.75" header="0.3" footer="0.3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F8F20-98C5-4A5C-849C-F24E21EE82F8}">
  <sheetPr codeName="Sheet8"/>
  <dimension ref="A1:Y813"/>
  <sheetViews>
    <sheetView showGridLines="0" topLeftCell="A4" zoomScaleNormal="100" workbookViewId="0">
      <selection activeCell="R3" sqref="R3:S4"/>
    </sheetView>
  </sheetViews>
  <sheetFormatPr defaultColWidth="9" defaultRowHeight="13.8"/>
  <cols>
    <col min="1" max="1" width="1.88671875" style="24" customWidth="1"/>
    <col min="2" max="9" width="9.6640625" style="24" customWidth="1"/>
    <col min="10" max="10" width="3.6640625" style="24" customWidth="1"/>
    <col min="11" max="11" width="6.6640625" style="24" customWidth="1"/>
    <col min="12" max="12" width="7.6640625" style="24" customWidth="1"/>
    <col min="13" max="13" width="3.6640625" style="24" customWidth="1"/>
    <col min="14" max="14" width="6.6640625" style="24" bestFit="1" customWidth="1"/>
    <col min="15" max="15" width="7.21875" style="24" bestFit="1" customWidth="1"/>
    <col min="16" max="16" width="4.33203125" style="24" customWidth="1"/>
    <col min="17" max="17" width="1.88671875" style="24" customWidth="1"/>
    <col min="18" max="16384" width="9" style="24"/>
  </cols>
  <sheetData>
    <row r="1" spans="1:25">
      <c r="A1" s="23"/>
      <c r="B1" s="88">
        <v>44767.520405092589</v>
      </c>
      <c r="C1" s="88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65" t="s">
        <v>70</v>
      </c>
    </row>
    <row r="2" spans="1:25">
      <c r="A2" s="23"/>
      <c r="B2" s="95" t="s">
        <v>50</v>
      </c>
      <c r="C2" s="9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4" t="s">
        <v>71</v>
      </c>
      <c r="S2" s="24" t="s">
        <v>69</v>
      </c>
      <c r="T2" s="24" t="s">
        <v>68</v>
      </c>
    </row>
    <row r="3" spans="1:25" ht="14.25" customHeight="1">
      <c r="A3" s="23"/>
      <c r="B3" s="89" t="s">
        <v>15</v>
      </c>
      <c r="C3" s="96"/>
      <c r="D3" s="93" t="s">
        <v>64</v>
      </c>
      <c r="E3" s="90"/>
      <c r="F3" s="89" t="s">
        <v>16</v>
      </c>
      <c r="G3" s="90"/>
      <c r="H3" s="89" t="s">
        <v>61</v>
      </c>
      <c r="I3" s="90"/>
      <c r="J3" s="25"/>
      <c r="K3" s="102" t="s">
        <v>17</v>
      </c>
      <c r="L3" s="103"/>
      <c r="M3" s="23"/>
      <c r="N3" s="98"/>
      <c r="O3" s="98"/>
      <c r="P3" s="23"/>
      <c r="Q3" s="23"/>
      <c r="R3" s="66" t="s">
        <v>63</v>
      </c>
      <c r="S3" s="66" t="s">
        <v>78</v>
      </c>
      <c r="T3" s="106"/>
      <c r="U3" s="107"/>
      <c r="V3" s="107"/>
      <c r="W3" s="107"/>
      <c r="X3" s="107"/>
      <c r="Y3" s="108"/>
    </row>
    <row r="4" spans="1:25" ht="13.5" customHeight="1">
      <c r="A4" s="23"/>
      <c r="B4" s="91" t="s">
        <v>18</v>
      </c>
      <c r="C4" s="97"/>
      <c r="D4" s="94" t="s">
        <v>55</v>
      </c>
      <c r="E4" s="92"/>
      <c r="F4" s="91" t="s">
        <v>19</v>
      </c>
      <c r="G4" s="92"/>
      <c r="H4" s="91" t="s">
        <v>59</v>
      </c>
      <c r="I4" s="92"/>
      <c r="J4" s="25"/>
      <c r="K4" s="26" t="s">
        <v>20</v>
      </c>
      <c r="L4" s="27" t="str">
        <f>C10</f>
        <v>Frequency</v>
      </c>
      <c r="M4" s="23"/>
      <c r="N4" s="28"/>
      <c r="O4" s="28"/>
      <c r="P4" s="23"/>
      <c r="Q4" s="23"/>
      <c r="R4" s="66" t="s">
        <v>62</v>
      </c>
      <c r="S4" s="66" t="s">
        <v>80</v>
      </c>
      <c r="T4" s="106" t="s">
        <v>74</v>
      </c>
      <c r="U4" s="107"/>
      <c r="V4" s="107"/>
      <c r="W4" s="107"/>
      <c r="X4" s="107"/>
      <c r="Y4" s="108"/>
    </row>
    <row r="5" spans="1:25" ht="13.5" customHeight="1">
      <c r="A5" s="23"/>
      <c r="B5" s="91" t="s">
        <v>21</v>
      </c>
      <c r="C5" s="97"/>
      <c r="D5" s="94" t="s">
        <v>56</v>
      </c>
      <c r="E5" s="92"/>
      <c r="F5" s="91" t="s">
        <v>22</v>
      </c>
      <c r="G5" s="92"/>
      <c r="H5" s="91">
        <v>5</v>
      </c>
      <c r="I5" s="92"/>
      <c r="J5" s="25"/>
      <c r="K5" s="29" t="s">
        <v>23</v>
      </c>
      <c r="L5" s="30" t="s">
        <v>65</v>
      </c>
      <c r="M5" s="23"/>
      <c r="N5" s="28"/>
      <c r="O5" s="28"/>
      <c r="P5" s="23"/>
      <c r="Q5" s="23"/>
      <c r="R5" s="66"/>
      <c r="S5" s="66"/>
      <c r="T5" s="106"/>
      <c r="U5" s="107"/>
      <c r="V5" s="107"/>
      <c r="W5" s="107"/>
      <c r="X5" s="107"/>
      <c r="Y5" s="108"/>
    </row>
    <row r="6" spans="1:25" ht="13.5" customHeight="1">
      <c r="A6" s="23"/>
      <c r="B6" s="91" t="s">
        <v>24</v>
      </c>
      <c r="C6" s="97"/>
      <c r="D6" s="94">
        <v>201</v>
      </c>
      <c r="E6" s="92"/>
      <c r="F6" s="91" t="s">
        <v>25</v>
      </c>
      <c r="G6" s="92"/>
      <c r="H6" s="91" t="s">
        <v>59</v>
      </c>
      <c r="I6" s="92"/>
      <c r="J6" s="25"/>
      <c r="K6" s="31" t="s">
        <v>14</v>
      </c>
      <c r="L6" s="32" t="s">
        <v>66</v>
      </c>
      <c r="M6" s="23"/>
      <c r="N6" s="28"/>
      <c r="O6" s="28"/>
      <c r="P6" s="23"/>
      <c r="Q6" s="23"/>
      <c r="R6" s="66"/>
      <c r="S6" s="66"/>
      <c r="T6" s="106"/>
      <c r="U6" s="107"/>
      <c r="V6" s="107"/>
      <c r="W6" s="107"/>
      <c r="X6" s="107"/>
      <c r="Y6" s="108"/>
    </row>
    <row r="7" spans="1:25" ht="13.5" customHeight="1">
      <c r="A7" s="23"/>
      <c r="B7" s="91" t="s">
        <v>26</v>
      </c>
      <c r="C7" s="97"/>
      <c r="D7" s="94" t="s">
        <v>57</v>
      </c>
      <c r="E7" s="92"/>
      <c r="F7" s="91" t="s">
        <v>27</v>
      </c>
      <c r="G7" s="92"/>
      <c r="H7" s="91" t="s">
        <v>59</v>
      </c>
      <c r="I7" s="92"/>
      <c r="J7" s="25"/>
      <c r="K7" s="33"/>
      <c r="L7" s="33"/>
      <c r="M7" s="23"/>
      <c r="N7" s="28"/>
      <c r="O7" s="28"/>
      <c r="P7" s="23"/>
      <c r="Q7" s="23"/>
      <c r="R7" s="66"/>
      <c r="S7" s="66"/>
      <c r="T7" s="106"/>
      <c r="U7" s="107"/>
      <c r="V7" s="107"/>
      <c r="W7" s="107"/>
      <c r="X7" s="107"/>
      <c r="Y7" s="108"/>
    </row>
    <row r="8" spans="1:25">
      <c r="A8" s="23"/>
      <c r="B8" s="100" t="s">
        <v>28</v>
      </c>
      <c r="C8" s="101"/>
      <c r="D8" s="104" t="s">
        <v>58</v>
      </c>
      <c r="E8" s="105"/>
      <c r="F8" s="100" t="s">
        <v>67</v>
      </c>
      <c r="G8" s="105"/>
      <c r="H8" s="91" t="s">
        <v>13</v>
      </c>
      <c r="I8" s="92"/>
      <c r="J8" s="34"/>
      <c r="K8" s="33"/>
      <c r="L8" s="33"/>
      <c r="M8" s="23"/>
      <c r="N8" s="28"/>
      <c r="O8" s="28"/>
      <c r="P8" s="23"/>
      <c r="Q8" s="23"/>
      <c r="R8" s="66"/>
      <c r="S8" s="66"/>
      <c r="T8" s="106"/>
      <c r="U8" s="107"/>
      <c r="V8" s="107"/>
      <c r="W8" s="107"/>
      <c r="X8" s="107"/>
      <c r="Y8" s="108"/>
    </row>
    <row r="9" spans="1:25">
      <c r="A9" s="23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23"/>
      <c r="N9" s="23"/>
      <c r="O9" s="23"/>
      <c r="P9" s="23"/>
      <c r="Q9" s="23"/>
      <c r="R9" s="66"/>
      <c r="S9" s="66"/>
      <c r="T9" s="106"/>
      <c r="U9" s="107"/>
      <c r="V9" s="107"/>
      <c r="W9" s="107"/>
      <c r="X9" s="107"/>
      <c r="Y9" s="108"/>
    </row>
    <row r="10" spans="1:25" ht="27.75" customHeight="1" thickBot="1">
      <c r="A10" s="23"/>
      <c r="B10" s="36" t="s">
        <v>30</v>
      </c>
      <c r="C10" s="36" t="s">
        <v>60</v>
      </c>
      <c r="D10" s="51" t="s">
        <v>51</v>
      </c>
      <c r="E10" s="51" t="s">
        <v>52</v>
      </c>
      <c r="F10" s="51" t="s">
        <v>53</v>
      </c>
      <c r="G10" s="51" t="s">
        <v>54</v>
      </c>
      <c r="H10" s="37"/>
      <c r="I10" s="37"/>
      <c r="J10" s="99"/>
      <c r="K10" s="99"/>
      <c r="L10" s="99"/>
      <c r="M10" s="99"/>
      <c r="N10" s="38" t="s">
        <v>32</v>
      </c>
      <c r="O10" s="39" t="s">
        <v>33</v>
      </c>
      <c r="P10" s="23"/>
      <c r="Q10" s="23"/>
    </row>
    <row r="11" spans="1:25" ht="14.4" thickTop="1">
      <c r="A11" s="23"/>
      <c r="B11" s="53">
        <v>1</v>
      </c>
      <c r="C11" s="58">
        <v>40</v>
      </c>
      <c r="D11" s="59">
        <v>988980.125</v>
      </c>
      <c r="E11" s="59">
        <v>0</v>
      </c>
      <c r="F11" s="59">
        <v>-1.5278720296919346E-2</v>
      </c>
      <c r="G11" s="42">
        <v>0</v>
      </c>
      <c r="H11" s="23"/>
      <c r="I11" s="23"/>
      <c r="J11" s="99"/>
      <c r="K11" s="99"/>
      <c r="L11" s="99"/>
      <c r="M11" s="99"/>
      <c r="N11" s="43">
        <f t="shared" ref="N11:N74" si="0">IF($L$4=$C$10,C11,IF(D11="","",B11))</f>
        <v>40</v>
      </c>
      <c r="O11" s="39" t="str">
        <f>B10</f>
        <v>Point#</v>
      </c>
      <c r="P11" s="23"/>
      <c r="Q11" s="23"/>
    </row>
    <row r="12" spans="1:25">
      <c r="A12" s="23"/>
      <c r="B12" s="53">
        <v>2</v>
      </c>
      <c r="C12" s="58">
        <v>42.759998321533203</v>
      </c>
      <c r="D12" s="59">
        <v>989050.625</v>
      </c>
      <c r="E12" s="59">
        <v>0</v>
      </c>
      <c r="F12" s="59">
        <v>-4.9670200794935226E-2</v>
      </c>
      <c r="G12" s="42">
        <v>0</v>
      </c>
      <c r="H12" s="23"/>
      <c r="I12" s="23"/>
      <c r="J12" s="99"/>
      <c r="K12" s="99"/>
      <c r="L12" s="99"/>
      <c r="M12" s="99"/>
      <c r="N12" s="43">
        <f t="shared" si="0"/>
        <v>42.759998321533203</v>
      </c>
      <c r="O12" s="39" t="str">
        <f>C10</f>
        <v>Frequency</v>
      </c>
      <c r="P12" s="23"/>
      <c r="Q12" s="23"/>
    </row>
    <row r="13" spans="1:25">
      <c r="A13" s="23"/>
      <c r="B13" s="53">
        <v>3</v>
      </c>
      <c r="C13" s="58">
        <v>45.71099853515625</v>
      </c>
      <c r="D13" s="59">
        <v>989004.8125</v>
      </c>
      <c r="E13" s="59">
        <v>0</v>
      </c>
      <c r="F13" s="59">
        <v>-3.5905029624700546E-2</v>
      </c>
      <c r="G13" s="42">
        <v>0</v>
      </c>
      <c r="H13" s="23"/>
      <c r="I13" s="23"/>
      <c r="J13" s="99"/>
      <c r="K13" s="99"/>
      <c r="L13" s="99"/>
      <c r="M13" s="99"/>
      <c r="N13" s="43">
        <f t="shared" si="0"/>
        <v>45.71099853515625</v>
      </c>
      <c r="O13" s="43"/>
      <c r="P13" s="23"/>
      <c r="Q13" s="23"/>
    </row>
    <row r="14" spans="1:25">
      <c r="A14" s="23"/>
      <c r="B14" s="53">
        <v>4</v>
      </c>
      <c r="C14" s="58">
        <v>48.865001678466797</v>
      </c>
      <c r="D14" s="59">
        <v>988923</v>
      </c>
      <c r="E14" s="59">
        <v>0</v>
      </c>
      <c r="F14" s="59">
        <v>-4.952457919716835E-2</v>
      </c>
      <c r="G14" s="42">
        <v>0</v>
      </c>
      <c r="H14" s="23"/>
      <c r="I14" s="23"/>
      <c r="J14" s="99"/>
      <c r="K14" s="99"/>
      <c r="L14" s="99"/>
      <c r="M14" s="99"/>
      <c r="N14" s="43">
        <f t="shared" si="0"/>
        <v>48.865001678466797</v>
      </c>
      <c r="O14" s="43"/>
      <c r="P14" s="23"/>
      <c r="Q14" s="23"/>
    </row>
    <row r="15" spans="1:25">
      <c r="A15" s="23"/>
      <c r="B15" s="53">
        <v>5</v>
      </c>
      <c r="C15" s="58">
        <v>52.23699951171875</v>
      </c>
      <c r="D15" s="59">
        <v>989046.625</v>
      </c>
      <c r="E15" s="59">
        <v>0</v>
      </c>
      <c r="F15" s="59">
        <v>-4.2445261031389236E-2</v>
      </c>
      <c r="G15" s="42">
        <v>0</v>
      </c>
      <c r="H15" s="23"/>
      <c r="I15" s="23"/>
      <c r="J15" s="99"/>
      <c r="K15" s="99"/>
      <c r="L15" s="99"/>
      <c r="M15" s="99"/>
      <c r="N15" s="43">
        <f t="shared" si="0"/>
        <v>52.23699951171875</v>
      </c>
      <c r="O15" s="43"/>
      <c r="P15" s="23"/>
      <c r="Q15" s="23"/>
    </row>
    <row r="16" spans="1:25">
      <c r="A16" s="23"/>
      <c r="B16" s="53">
        <v>6</v>
      </c>
      <c r="C16" s="58">
        <v>55.840999603271484</v>
      </c>
      <c r="D16" s="59">
        <v>989003.3125</v>
      </c>
      <c r="E16" s="59">
        <v>0</v>
      </c>
      <c r="F16" s="59">
        <v>-5.3920689970254898E-2</v>
      </c>
      <c r="G16" s="42">
        <v>0</v>
      </c>
      <c r="H16" s="23"/>
      <c r="I16" s="23"/>
      <c r="J16" s="99"/>
      <c r="K16" s="99"/>
      <c r="L16" s="99"/>
      <c r="M16" s="99"/>
      <c r="N16" s="43">
        <f t="shared" si="0"/>
        <v>55.840999603271484</v>
      </c>
      <c r="O16" s="43"/>
      <c r="P16" s="23"/>
      <c r="Q16" s="23"/>
    </row>
    <row r="17" spans="1:17">
      <c r="A17" s="23"/>
      <c r="B17" s="53">
        <v>7</v>
      </c>
      <c r="C17" s="58">
        <v>59.694999694824219</v>
      </c>
      <c r="D17" s="59">
        <v>988941.375</v>
      </c>
      <c r="E17" s="59">
        <v>0</v>
      </c>
      <c r="F17" s="59">
        <v>-6.0202769935131073E-2</v>
      </c>
      <c r="G17" s="42">
        <v>0</v>
      </c>
      <c r="H17" s="23"/>
      <c r="I17" s="23"/>
      <c r="J17" s="99"/>
      <c r="K17" s="99"/>
      <c r="L17" s="99"/>
      <c r="M17" s="99"/>
      <c r="N17" s="43">
        <f t="shared" si="0"/>
        <v>59.694999694824219</v>
      </c>
      <c r="O17" s="43"/>
      <c r="P17" s="23"/>
      <c r="Q17" s="23"/>
    </row>
    <row r="18" spans="1:17">
      <c r="A18" s="23"/>
      <c r="B18" s="53">
        <v>8</v>
      </c>
      <c r="C18" s="58">
        <v>63.813999176025391</v>
      </c>
      <c r="D18" s="59">
        <v>988956.6875</v>
      </c>
      <c r="E18" s="59">
        <v>0</v>
      </c>
      <c r="F18" s="59">
        <v>-8.9402437210083008E-2</v>
      </c>
      <c r="G18" s="42">
        <v>0</v>
      </c>
      <c r="H18" s="23"/>
      <c r="I18" s="23"/>
      <c r="J18" s="99"/>
      <c r="K18" s="99"/>
      <c r="L18" s="99"/>
      <c r="M18" s="99"/>
      <c r="N18" s="43">
        <f t="shared" si="0"/>
        <v>63.813999176025391</v>
      </c>
      <c r="O18" s="43"/>
      <c r="P18" s="23"/>
      <c r="Q18" s="23"/>
    </row>
    <row r="19" spans="1:17">
      <c r="A19" s="23"/>
      <c r="B19" s="53">
        <v>9</v>
      </c>
      <c r="C19" s="58">
        <v>68.217002868652344</v>
      </c>
      <c r="D19" s="59">
        <v>989157</v>
      </c>
      <c r="E19" s="59">
        <v>0</v>
      </c>
      <c r="F19" s="59">
        <v>-8.2057036459445953E-2</v>
      </c>
      <c r="G19" s="42">
        <v>0</v>
      </c>
      <c r="H19" s="23"/>
      <c r="I19" s="23"/>
      <c r="J19" s="99"/>
      <c r="K19" s="99"/>
      <c r="L19" s="99"/>
      <c r="M19" s="99"/>
      <c r="N19" s="43">
        <f t="shared" si="0"/>
        <v>68.217002868652344</v>
      </c>
      <c r="O19" s="43"/>
      <c r="P19" s="23"/>
      <c r="Q19" s="23"/>
    </row>
    <row r="20" spans="1:17">
      <c r="A20" s="23"/>
      <c r="B20" s="53">
        <v>10</v>
      </c>
      <c r="C20" s="58">
        <v>72.925003051757813</v>
      </c>
      <c r="D20" s="59">
        <v>989141.375</v>
      </c>
      <c r="E20" s="59">
        <v>0</v>
      </c>
      <c r="F20" s="59">
        <v>-9.5216378569602966E-2</v>
      </c>
      <c r="G20" s="42">
        <v>0</v>
      </c>
      <c r="H20" s="23"/>
      <c r="I20" s="23"/>
      <c r="J20" s="99"/>
      <c r="K20" s="99"/>
      <c r="L20" s="99"/>
      <c r="M20" s="99"/>
      <c r="N20" s="43">
        <f t="shared" si="0"/>
        <v>72.925003051757813</v>
      </c>
      <c r="O20" s="43"/>
      <c r="P20" s="23"/>
      <c r="Q20" s="23"/>
    </row>
    <row r="21" spans="1:17">
      <c r="A21" s="23"/>
      <c r="B21" s="53">
        <v>11</v>
      </c>
      <c r="C21" s="58">
        <v>77.957000732421875</v>
      </c>
      <c r="D21" s="59">
        <v>989180.125</v>
      </c>
      <c r="E21" s="59">
        <v>0</v>
      </c>
      <c r="F21" s="59">
        <v>-9.8293162882328033E-2</v>
      </c>
      <c r="G21" s="42">
        <v>0</v>
      </c>
      <c r="H21" s="23"/>
      <c r="I21" s="23"/>
      <c r="J21" s="99"/>
      <c r="K21" s="99"/>
      <c r="L21" s="99"/>
      <c r="M21" s="99"/>
      <c r="N21" s="43">
        <f t="shared" si="0"/>
        <v>77.957000732421875</v>
      </c>
      <c r="O21" s="43"/>
      <c r="P21" s="23"/>
      <c r="Q21" s="23"/>
    </row>
    <row r="22" spans="1:17">
      <c r="A22" s="23"/>
      <c r="B22" s="53">
        <v>12</v>
      </c>
      <c r="C22" s="58">
        <v>83.33599853515625</v>
      </c>
      <c r="D22" s="59">
        <v>989075.1875</v>
      </c>
      <c r="E22" s="59">
        <v>0</v>
      </c>
      <c r="F22" s="59">
        <v>-0.11903680115938187</v>
      </c>
      <c r="G22" s="42">
        <v>0</v>
      </c>
      <c r="H22" s="23"/>
      <c r="I22" s="23"/>
      <c r="J22" s="99"/>
      <c r="K22" s="99"/>
      <c r="L22" s="99"/>
      <c r="M22" s="99"/>
      <c r="N22" s="43">
        <f t="shared" si="0"/>
        <v>83.33599853515625</v>
      </c>
      <c r="O22" s="43"/>
      <c r="P22" s="23"/>
      <c r="Q22" s="23"/>
    </row>
    <row r="23" spans="1:17">
      <c r="A23" s="23"/>
      <c r="B23" s="53">
        <v>13</v>
      </c>
      <c r="C23" s="58">
        <v>89.086997985839844</v>
      </c>
      <c r="D23" s="59">
        <v>989151.6875</v>
      </c>
      <c r="E23" s="59">
        <v>0</v>
      </c>
      <c r="F23" s="59">
        <v>-0.11844170093536377</v>
      </c>
      <c r="G23" s="42">
        <v>0</v>
      </c>
      <c r="H23" s="23"/>
      <c r="I23" s="23"/>
      <c r="J23" s="99"/>
      <c r="K23" s="99"/>
      <c r="L23" s="99"/>
      <c r="M23" s="99"/>
      <c r="N23" s="43">
        <f t="shared" si="0"/>
        <v>89.086997985839844</v>
      </c>
      <c r="O23" s="43"/>
      <c r="P23" s="23"/>
      <c r="Q23" s="23"/>
    </row>
    <row r="24" spans="1:17">
      <c r="A24" s="23"/>
      <c r="B24" s="53">
        <v>14</v>
      </c>
      <c r="C24" s="58">
        <v>95.234001159667969</v>
      </c>
      <c r="D24" s="59">
        <v>989132.5</v>
      </c>
      <c r="E24" s="59">
        <v>0</v>
      </c>
      <c r="F24" s="59">
        <v>-0.12937849760055542</v>
      </c>
      <c r="G24" s="42">
        <v>0</v>
      </c>
      <c r="H24" s="23"/>
      <c r="I24" s="23"/>
      <c r="J24" s="99"/>
      <c r="K24" s="99"/>
      <c r="L24" s="99"/>
      <c r="M24" s="99"/>
      <c r="N24" s="43">
        <f t="shared" si="0"/>
        <v>95.234001159667969</v>
      </c>
      <c r="O24" s="43"/>
      <c r="P24" s="23"/>
      <c r="Q24" s="23"/>
    </row>
    <row r="25" spans="1:17">
      <c r="A25" s="23"/>
      <c r="B25" s="53">
        <v>15</v>
      </c>
      <c r="C25" s="58">
        <v>101.80599975585938</v>
      </c>
      <c r="D25" s="59">
        <v>989170.6875</v>
      </c>
      <c r="E25" s="59">
        <v>0</v>
      </c>
      <c r="F25" s="59">
        <v>-0.14870600402355194</v>
      </c>
      <c r="G25" s="42">
        <v>0</v>
      </c>
      <c r="H25" s="23"/>
      <c r="I25" s="23"/>
      <c r="J25" s="99"/>
      <c r="K25" s="99"/>
      <c r="L25" s="99"/>
      <c r="M25" s="99"/>
      <c r="N25" s="43">
        <f t="shared" si="0"/>
        <v>101.80599975585938</v>
      </c>
      <c r="O25" s="43"/>
      <c r="P25" s="23"/>
      <c r="Q25" s="23"/>
    </row>
    <row r="26" spans="1:17">
      <c r="A26" s="23"/>
      <c r="B26" s="53">
        <v>16</v>
      </c>
      <c r="C26" s="58">
        <v>108.83100128173828</v>
      </c>
      <c r="D26" s="59">
        <v>989185.625</v>
      </c>
      <c r="E26" s="59">
        <v>0</v>
      </c>
      <c r="F26" s="59">
        <v>-0.14823439717292786</v>
      </c>
      <c r="G26" s="42">
        <v>0</v>
      </c>
      <c r="H26" s="23"/>
      <c r="I26" s="23"/>
      <c r="J26" s="99"/>
      <c r="K26" s="99"/>
      <c r="L26" s="99"/>
      <c r="M26" s="99"/>
      <c r="N26" s="43">
        <f t="shared" si="0"/>
        <v>108.83100128173828</v>
      </c>
      <c r="O26" s="43"/>
      <c r="P26" s="23"/>
      <c r="Q26" s="23"/>
    </row>
    <row r="27" spans="1:17">
      <c r="A27" s="23"/>
      <c r="B27" s="53">
        <v>17</v>
      </c>
      <c r="C27" s="58">
        <v>116.33999633789063</v>
      </c>
      <c r="D27" s="59">
        <v>989056.375</v>
      </c>
      <c r="E27" s="59">
        <v>0</v>
      </c>
      <c r="F27" s="59">
        <v>-0.17078240215778351</v>
      </c>
      <c r="G27" s="42">
        <v>0</v>
      </c>
      <c r="H27" s="23"/>
      <c r="I27" s="23"/>
      <c r="J27" s="99"/>
      <c r="K27" s="99"/>
      <c r="L27" s="99"/>
      <c r="M27" s="99"/>
      <c r="N27" s="43">
        <f t="shared" si="0"/>
        <v>116.33999633789063</v>
      </c>
      <c r="O27" s="43"/>
      <c r="P27" s="23"/>
      <c r="Q27" s="23"/>
    </row>
    <row r="28" spans="1:17">
      <c r="A28" s="23"/>
      <c r="B28" s="53">
        <v>18</v>
      </c>
      <c r="C28" s="58">
        <v>124.36799621582031</v>
      </c>
      <c r="D28" s="59">
        <v>989312.6875</v>
      </c>
      <c r="E28" s="59">
        <v>0</v>
      </c>
      <c r="F28" s="59">
        <v>-0.18367080390453339</v>
      </c>
      <c r="G28" s="42">
        <v>0</v>
      </c>
      <c r="H28" s="23"/>
      <c r="I28" s="23"/>
      <c r="J28" s="99"/>
      <c r="K28" s="99"/>
      <c r="L28" s="99"/>
      <c r="M28" s="99"/>
      <c r="N28" s="43">
        <f t="shared" si="0"/>
        <v>124.36799621582031</v>
      </c>
      <c r="O28" s="43"/>
      <c r="P28" s="23"/>
      <c r="Q28" s="23"/>
    </row>
    <row r="29" spans="1:17">
      <c r="A29" s="23"/>
      <c r="B29" s="53">
        <v>19</v>
      </c>
      <c r="C29" s="58">
        <v>132.94999694824219</v>
      </c>
      <c r="D29" s="59">
        <v>989221.625</v>
      </c>
      <c r="E29" s="59">
        <v>0</v>
      </c>
      <c r="F29" s="59">
        <v>-0.20757840573787689</v>
      </c>
      <c r="G29" s="42">
        <v>0</v>
      </c>
      <c r="H29" s="23"/>
      <c r="I29" s="23"/>
      <c r="J29" s="99"/>
      <c r="K29" s="99"/>
      <c r="L29" s="99"/>
      <c r="M29" s="99"/>
      <c r="N29" s="43">
        <f t="shared" si="0"/>
        <v>132.94999694824219</v>
      </c>
      <c r="O29" s="43"/>
      <c r="P29" s="23"/>
      <c r="Q29" s="23"/>
    </row>
    <row r="30" spans="1:17">
      <c r="A30" s="23"/>
      <c r="B30" s="53">
        <v>20</v>
      </c>
      <c r="C30" s="58">
        <v>142.12399291992188</v>
      </c>
      <c r="D30" s="59">
        <v>989197.625</v>
      </c>
      <c r="E30" s="59">
        <v>0</v>
      </c>
      <c r="F30" s="59">
        <v>-0.21876919269561768</v>
      </c>
      <c r="G30" s="42">
        <v>0</v>
      </c>
      <c r="H30" s="23"/>
      <c r="I30" s="23"/>
      <c r="J30" s="99"/>
      <c r="K30" s="99"/>
      <c r="L30" s="99"/>
      <c r="M30" s="99"/>
      <c r="N30" s="43">
        <f t="shared" si="0"/>
        <v>142.12399291992188</v>
      </c>
      <c r="O30" s="43"/>
      <c r="P30" s="23"/>
      <c r="Q30" s="23"/>
    </row>
    <row r="31" spans="1:17">
      <c r="A31" s="23"/>
      <c r="B31" s="53">
        <v>21</v>
      </c>
      <c r="C31" s="58">
        <v>151.9320068359375</v>
      </c>
      <c r="D31" s="59">
        <v>989122.625</v>
      </c>
      <c r="E31" s="59">
        <v>0</v>
      </c>
      <c r="F31" s="59">
        <v>-0.23506970703601837</v>
      </c>
      <c r="G31" s="42">
        <v>0</v>
      </c>
      <c r="H31" s="23"/>
      <c r="I31" s="23"/>
      <c r="J31" s="99"/>
      <c r="K31" s="99"/>
      <c r="L31" s="99"/>
      <c r="M31" s="99"/>
      <c r="N31" s="43">
        <f t="shared" si="0"/>
        <v>151.9320068359375</v>
      </c>
      <c r="O31" s="43"/>
      <c r="P31" s="23"/>
      <c r="Q31" s="23"/>
    </row>
    <row r="32" spans="1:17">
      <c r="A32" s="23"/>
      <c r="B32" s="53">
        <v>22</v>
      </c>
      <c r="C32" s="58">
        <v>162.41499328613281</v>
      </c>
      <c r="D32" s="59">
        <v>989000.1875</v>
      </c>
      <c r="E32" s="59">
        <v>0</v>
      </c>
      <c r="F32" s="59">
        <v>-0.24363219738006592</v>
      </c>
      <c r="G32" s="42">
        <v>0</v>
      </c>
      <c r="H32" s="23"/>
      <c r="I32" s="23"/>
      <c r="J32" s="99"/>
      <c r="K32" s="99"/>
      <c r="L32" s="99"/>
      <c r="M32" s="99"/>
      <c r="N32" s="43">
        <f t="shared" si="0"/>
        <v>162.41499328613281</v>
      </c>
      <c r="O32" s="43"/>
      <c r="P32" s="23"/>
      <c r="Q32" s="23"/>
    </row>
    <row r="33" spans="1:17">
      <c r="A33" s="23"/>
      <c r="B33" s="53">
        <v>23</v>
      </c>
      <c r="C33" s="58">
        <v>173.62300109863281</v>
      </c>
      <c r="D33" s="59">
        <v>989017.8125</v>
      </c>
      <c r="E33" s="59">
        <v>0</v>
      </c>
      <c r="F33" s="59">
        <v>-0.27523830533027649</v>
      </c>
      <c r="G33" s="42">
        <v>0</v>
      </c>
      <c r="H33" s="23"/>
      <c r="I33" s="23"/>
      <c r="J33" s="99"/>
      <c r="K33" s="99"/>
      <c r="L33" s="99"/>
      <c r="M33" s="99"/>
      <c r="N33" s="43">
        <f t="shared" si="0"/>
        <v>173.62300109863281</v>
      </c>
      <c r="O33" s="43"/>
      <c r="P33" s="23"/>
      <c r="Q33" s="23"/>
    </row>
    <row r="34" spans="1:17">
      <c r="A34" s="23"/>
      <c r="B34" s="53">
        <v>24</v>
      </c>
      <c r="C34" s="58">
        <v>185.60400390625</v>
      </c>
      <c r="D34" s="59">
        <v>989274.625</v>
      </c>
      <c r="E34" s="59">
        <v>0</v>
      </c>
      <c r="F34" s="59">
        <v>-0.28093299269676208</v>
      </c>
      <c r="G34" s="42">
        <v>0</v>
      </c>
      <c r="H34" s="23"/>
      <c r="I34" s="23"/>
      <c r="J34" s="99"/>
      <c r="K34" s="99"/>
      <c r="L34" s="99"/>
      <c r="M34" s="99"/>
      <c r="N34" s="43">
        <f t="shared" si="0"/>
        <v>185.60400390625</v>
      </c>
      <c r="O34" s="43"/>
      <c r="P34" s="23"/>
      <c r="Q34" s="23"/>
    </row>
    <row r="35" spans="1:17">
      <c r="A35" s="23"/>
      <c r="B35" s="53">
        <v>25</v>
      </c>
      <c r="C35" s="58">
        <v>198.41099548339844</v>
      </c>
      <c r="D35" s="59">
        <v>989219.875</v>
      </c>
      <c r="E35" s="59">
        <v>0</v>
      </c>
      <c r="F35" s="59">
        <v>-0.29398930072784424</v>
      </c>
      <c r="G35" s="42">
        <v>0</v>
      </c>
      <c r="H35" s="23"/>
      <c r="I35" s="23"/>
      <c r="J35" s="99"/>
      <c r="K35" s="99"/>
      <c r="L35" s="99"/>
      <c r="M35" s="99"/>
      <c r="N35" s="43">
        <f t="shared" si="0"/>
        <v>198.41099548339844</v>
      </c>
      <c r="O35" s="43"/>
      <c r="P35" s="23"/>
      <c r="Q35" s="23"/>
    </row>
    <row r="36" spans="1:17">
      <c r="A36" s="23"/>
      <c r="B36" s="53">
        <v>26</v>
      </c>
      <c r="C36" s="58">
        <v>212.10200500488281</v>
      </c>
      <c r="D36" s="59">
        <v>989230.125</v>
      </c>
      <c r="E36" s="59">
        <v>0</v>
      </c>
      <c r="F36" s="59">
        <v>-0.33277618885040283</v>
      </c>
      <c r="G36" s="42">
        <v>0</v>
      </c>
      <c r="H36" s="23"/>
      <c r="I36" s="23"/>
      <c r="J36" s="99"/>
      <c r="K36" s="99"/>
      <c r="L36" s="99"/>
      <c r="M36" s="99"/>
      <c r="N36" s="43">
        <f t="shared" si="0"/>
        <v>212.10200500488281</v>
      </c>
      <c r="O36" s="43"/>
      <c r="P36" s="23"/>
      <c r="Q36" s="23"/>
    </row>
    <row r="37" spans="1:17">
      <c r="A37" s="23"/>
      <c r="B37" s="53">
        <v>27</v>
      </c>
      <c r="C37" s="58">
        <v>226.73800659179688</v>
      </c>
      <c r="D37" s="59">
        <v>989213.1875</v>
      </c>
      <c r="E37" s="59">
        <v>0</v>
      </c>
      <c r="F37" s="59">
        <v>-0.34209978580474854</v>
      </c>
      <c r="G37" s="42">
        <v>0</v>
      </c>
      <c r="H37" s="23"/>
      <c r="I37" s="23"/>
      <c r="J37" s="99"/>
      <c r="K37" s="99"/>
      <c r="L37" s="99"/>
      <c r="M37" s="99"/>
      <c r="N37" s="43">
        <f t="shared" si="0"/>
        <v>226.73800659179688</v>
      </c>
      <c r="O37" s="43"/>
      <c r="P37" s="23"/>
      <c r="Q37" s="23"/>
    </row>
    <row r="38" spans="1:17">
      <c r="A38" s="23"/>
      <c r="B38" s="53">
        <v>28</v>
      </c>
      <c r="C38" s="58">
        <v>242.38400268554688</v>
      </c>
      <c r="D38" s="59">
        <v>988821.625</v>
      </c>
      <c r="E38" s="59">
        <v>0</v>
      </c>
      <c r="F38" s="59">
        <v>-0.38437739014625549</v>
      </c>
      <c r="G38" s="42">
        <v>0</v>
      </c>
      <c r="H38" s="23"/>
      <c r="I38" s="23"/>
      <c r="J38" s="99"/>
      <c r="K38" s="99"/>
      <c r="L38" s="99"/>
      <c r="M38" s="99"/>
      <c r="N38" s="43">
        <f t="shared" si="0"/>
        <v>242.38400268554688</v>
      </c>
      <c r="O38" s="43"/>
      <c r="P38" s="23"/>
      <c r="Q38" s="23"/>
    </row>
    <row r="39" spans="1:17">
      <c r="A39" s="23"/>
      <c r="B39" s="53">
        <v>29</v>
      </c>
      <c r="C39" s="58">
        <v>259.1090087890625</v>
      </c>
      <c r="D39" s="59">
        <v>989151.6875</v>
      </c>
      <c r="E39" s="59">
        <v>0</v>
      </c>
      <c r="F39" s="59">
        <v>-0.39173710346221924</v>
      </c>
      <c r="G39" s="42">
        <v>0</v>
      </c>
      <c r="H39" s="23"/>
      <c r="I39" s="23"/>
      <c r="J39" s="99"/>
      <c r="K39" s="99"/>
      <c r="L39" s="99"/>
      <c r="M39" s="99"/>
      <c r="N39" s="43">
        <f t="shared" si="0"/>
        <v>259.1090087890625</v>
      </c>
      <c r="O39" s="43"/>
      <c r="P39" s="23"/>
      <c r="Q39" s="23"/>
    </row>
    <row r="40" spans="1:17">
      <c r="A40" s="23"/>
      <c r="B40" s="53">
        <v>30</v>
      </c>
      <c r="C40" s="58">
        <v>276.989013671875</v>
      </c>
      <c r="D40" s="59">
        <v>989220.375</v>
      </c>
      <c r="E40" s="59">
        <v>0</v>
      </c>
      <c r="F40" s="59">
        <v>-0.43953201174736023</v>
      </c>
      <c r="G40" s="42">
        <v>0</v>
      </c>
      <c r="H40" s="23"/>
      <c r="I40" s="23"/>
      <c r="J40" s="99"/>
      <c r="K40" s="99"/>
      <c r="L40" s="99"/>
      <c r="M40" s="99"/>
      <c r="N40" s="43">
        <f t="shared" si="0"/>
        <v>276.989013671875</v>
      </c>
      <c r="O40" s="43"/>
      <c r="P40" s="23"/>
      <c r="Q40" s="23"/>
    </row>
    <row r="41" spans="1:17">
      <c r="A41" s="23"/>
      <c r="B41" s="53">
        <v>31</v>
      </c>
      <c r="C41" s="58">
        <v>296.10198974609375</v>
      </c>
      <c r="D41" s="59">
        <v>988965.125</v>
      </c>
      <c r="E41" s="59">
        <v>0</v>
      </c>
      <c r="F41" s="59">
        <v>-0.45991501212120056</v>
      </c>
      <c r="G41" s="42">
        <v>0</v>
      </c>
      <c r="H41" s="23"/>
      <c r="I41" s="23"/>
      <c r="J41" s="99"/>
      <c r="K41" s="99"/>
      <c r="L41" s="99"/>
      <c r="M41" s="99"/>
      <c r="N41" s="43">
        <f t="shared" si="0"/>
        <v>296.10198974609375</v>
      </c>
      <c r="O41" s="43"/>
      <c r="P41" s="23"/>
      <c r="Q41" s="23"/>
    </row>
    <row r="42" spans="1:17">
      <c r="A42" s="23"/>
      <c r="B42" s="53">
        <v>32</v>
      </c>
      <c r="C42" s="58">
        <v>316.53500366210938</v>
      </c>
      <c r="D42" s="59">
        <v>989065.6875</v>
      </c>
      <c r="E42" s="59">
        <v>0</v>
      </c>
      <c r="F42" s="59">
        <v>-0.49398091435432434</v>
      </c>
      <c r="G42" s="42">
        <v>0</v>
      </c>
      <c r="H42" s="23"/>
      <c r="I42" s="23"/>
      <c r="J42" s="99"/>
      <c r="K42" s="99"/>
      <c r="L42" s="99"/>
      <c r="M42" s="99"/>
      <c r="N42" s="43">
        <f t="shared" si="0"/>
        <v>316.53500366210938</v>
      </c>
      <c r="O42" s="43"/>
      <c r="P42" s="23"/>
      <c r="Q42" s="23"/>
    </row>
    <row r="43" spans="1:17">
      <c r="A43" s="23"/>
      <c r="B43" s="53">
        <v>33</v>
      </c>
      <c r="C43" s="58">
        <v>338.37701416015625</v>
      </c>
      <c r="D43" s="59">
        <v>989205.625</v>
      </c>
      <c r="E43" s="59">
        <v>0</v>
      </c>
      <c r="F43" s="59">
        <v>-0.52614891529083252</v>
      </c>
      <c r="G43" s="42">
        <v>0</v>
      </c>
      <c r="H43" s="23"/>
      <c r="I43" s="23"/>
      <c r="J43" s="99"/>
      <c r="K43" s="99"/>
      <c r="L43" s="99"/>
      <c r="M43" s="99"/>
      <c r="N43" s="43">
        <f t="shared" si="0"/>
        <v>338.37701416015625</v>
      </c>
      <c r="O43" s="43"/>
      <c r="P43" s="23"/>
      <c r="Q43" s="23"/>
    </row>
    <row r="44" spans="1:17">
      <c r="A44" s="23"/>
      <c r="B44" s="53">
        <v>34</v>
      </c>
      <c r="C44" s="58">
        <v>361.72601318359375</v>
      </c>
      <c r="D44" s="59">
        <v>989216.1875</v>
      </c>
      <c r="E44" s="59">
        <v>0</v>
      </c>
      <c r="F44" s="59">
        <v>-0.56093382835388184</v>
      </c>
      <c r="G44" s="42">
        <v>0</v>
      </c>
      <c r="H44" s="23"/>
      <c r="I44" s="23"/>
      <c r="J44" s="99"/>
      <c r="K44" s="99"/>
      <c r="L44" s="99"/>
      <c r="M44" s="99"/>
      <c r="N44" s="43">
        <f t="shared" si="0"/>
        <v>361.72601318359375</v>
      </c>
      <c r="O44" s="43"/>
      <c r="P44" s="23"/>
      <c r="Q44" s="23"/>
    </row>
    <row r="45" spans="1:17">
      <c r="A45" s="23"/>
      <c r="B45" s="53">
        <v>35</v>
      </c>
      <c r="C45" s="58">
        <v>386.68701171875</v>
      </c>
      <c r="D45" s="59">
        <v>989099.875</v>
      </c>
      <c r="E45" s="59">
        <v>0</v>
      </c>
      <c r="F45" s="59">
        <v>-0.61513382196426392</v>
      </c>
      <c r="G45" s="42">
        <v>0</v>
      </c>
      <c r="H45" s="23"/>
      <c r="I45" s="23"/>
      <c r="J45" s="99"/>
      <c r="K45" s="99"/>
      <c r="L45" s="99"/>
      <c r="M45" s="99"/>
      <c r="N45" s="43">
        <f t="shared" si="0"/>
        <v>386.68701171875</v>
      </c>
      <c r="O45" s="43"/>
      <c r="P45" s="23"/>
      <c r="Q45" s="23"/>
    </row>
    <row r="46" spans="1:17">
      <c r="A46" s="23"/>
      <c r="B46" s="53">
        <v>36</v>
      </c>
      <c r="C46" s="58">
        <v>413.3699951171875</v>
      </c>
      <c r="D46" s="59">
        <v>989087.375</v>
      </c>
      <c r="E46" s="59">
        <v>0</v>
      </c>
      <c r="F46" s="59">
        <v>-0.65497738122940063</v>
      </c>
      <c r="G46" s="42">
        <v>0</v>
      </c>
      <c r="H46" s="23"/>
      <c r="I46" s="23"/>
      <c r="J46" s="99"/>
      <c r="K46" s="99"/>
      <c r="L46" s="99"/>
      <c r="M46" s="99"/>
      <c r="N46" s="43">
        <f t="shared" si="0"/>
        <v>413.3699951171875</v>
      </c>
      <c r="O46" s="43"/>
      <c r="P46" s="23"/>
      <c r="Q46" s="23"/>
    </row>
    <row r="47" spans="1:17">
      <c r="A47" s="23"/>
      <c r="B47" s="53">
        <v>37</v>
      </c>
      <c r="C47" s="58">
        <v>441.89401245117188</v>
      </c>
      <c r="D47" s="59">
        <v>989099.125</v>
      </c>
      <c r="E47" s="59">
        <v>0</v>
      </c>
      <c r="F47" s="59">
        <v>-0.69999247789382935</v>
      </c>
      <c r="G47" s="42">
        <v>0</v>
      </c>
      <c r="H47" s="23"/>
      <c r="I47" s="23"/>
      <c r="J47" s="99"/>
      <c r="K47" s="99"/>
      <c r="L47" s="99"/>
      <c r="M47" s="99"/>
      <c r="N47" s="43">
        <f t="shared" si="0"/>
        <v>441.89401245117188</v>
      </c>
      <c r="O47" s="43"/>
      <c r="P47" s="23"/>
      <c r="Q47" s="23"/>
    </row>
    <row r="48" spans="1:17">
      <c r="A48" s="23"/>
      <c r="B48" s="53">
        <v>38</v>
      </c>
      <c r="C48" s="58">
        <v>472.38699340820313</v>
      </c>
      <c r="D48" s="59">
        <v>988913.375</v>
      </c>
      <c r="E48" s="59">
        <v>0</v>
      </c>
      <c r="F48" s="59">
        <v>-0.75443220138549805</v>
      </c>
      <c r="G48" s="42">
        <v>0</v>
      </c>
      <c r="H48" s="23"/>
      <c r="I48" s="23"/>
      <c r="J48" s="99"/>
      <c r="K48" s="99"/>
      <c r="L48" s="99"/>
      <c r="M48" s="99"/>
      <c r="N48" s="43">
        <f t="shared" si="0"/>
        <v>472.38699340820313</v>
      </c>
      <c r="O48" s="43"/>
      <c r="P48" s="23"/>
      <c r="Q48" s="23"/>
    </row>
    <row r="49" spans="1:17">
      <c r="A49" s="23"/>
      <c r="B49" s="53">
        <v>39</v>
      </c>
      <c r="C49" s="58">
        <v>504.9840087890625</v>
      </c>
      <c r="D49" s="59">
        <v>988921.6875</v>
      </c>
      <c r="E49" s="59">
        <v>0</v>
      </c>
      <c r="F49" s="59">
        <v>-0.79797327518463135</v>
      </c>
      <c r="G49" s="42">
        <v>0</v>
      </c>
      <c r="H49" s="23"/>
      <c r="I49" s="23"/>
      <c r="J49" s="99"/>
      <c r="K49" s="99"/>
      <c r="L49" s="99"/>
      <c r="M49" s="99"/>
      <c r="N49" s="43">
        <f t="shared" si="0"/>
        <v>504.9840087890625</v>
      </c>
      <c r="O49" s="43"/>
      <c r="P49" s="23"/>
      <c r="Q49" s="23"/>
    </row>
    <row r="50" spans="1:17">
      <c r="A50" s="23"/>
      <c r="B50" s="53">
        <v>40</v>
      </c>
      <c r="C50" s="58">
        <v>539.8289794921875</v>
      </c>
      <c r="D50" s="59">
        <v>989031.1875</v>
      </c>
      <c r="E50" s="59">
        <v>0</v>
      </c>
      <c r="F50" s="59">
        <v>-0.85752612352371216</v>
      </c>
      <c r="G50" s="42">
        <v>0</v>
      </c>
      <c r="H50" s="23"/>
      <c r="I50" s="23"/>
      <c r="J50" s="99"/>
      <c r="K50" s="99"/>
      <c r="L50" s="99"/>
      <c r="M50" s="99"/>
      <c r="N50" s="43">
        <f t="shared" si="0"/>
        <v>539.8289794921875</v>
      </c>
      <c r="O50" s="43"/>
      <c r="P50" s="23"/>
      <c r="Q50" s="23"/>
    </row>
    <row r="51" spans="1:17">
      <c r="A51" s="23"/>
      <c r="B51" s="53">
        <v>41</v>
      </c>
      <c r="C51" s="58">
        <v>577.08001708984375</v>
      </c>
      <c r="D51" s="59">
        <v>988904.3125</v>
      </c>
      <c r="E51" s="59">
        <v>0</v>
      </c>
      <c r="F51" s="59">
        <v>-0.91627627611160278</v>
      </c>
      <c r="G51" s="42">
        <v>0</v>
      </c>
      <c r="H51" s="23"/>
      <c r="I51" s="23"/>
      <c r="J51" s="99"/>
      <c r="K51" s="99"/>
      <c r="L51" s="99"/>
      <c r="M51" s="99"/>
      <c r="N51" s="43">
        <f t="shared" si="0"/>
        <v>577.08001708984375</v>
      </c>
      <c r="O51" s="43"/>
      <c r="P51" s="23"/>
      <c r="Q51" s="23"/>
    </row>
    <row r="52" spans="1:17">
      <c r="A52" s="23"/>
      <c r="B52" s="53">
        <v>42</v>
      </c>
      <c r="C52" s="58">
        <v>616.9010009765625</v>
      </c>
      <c r="D52" s="59">
        <v>989003.625</v>
      </c>
      <c r="E52" s="59">
        <v>0</v>
      </c>
      <c r="F52" s="59">
        <v>-0.97697597742080688</v>
      </c>
      <c r="G52" s="42">
        <v>0</v>
      </c>
      <c r="H52" s="23"/>
      <c r="I52" s="23"/>
      <c r="J52" s="99"/>
      <c r="K52" s="99"/>
      <c r="L52" s="99"/>
      <c r="M52" s="99"/>
      <c r="N52" s="43">
        <f t="shared" si="0"/>
        <v>616.9010009765625</v>
      </c>
      <c r="O52" s="43"/>
      <c r="P52" s="23"/>
      <c r="Q52" s="23"/>
    </row>
    <row r="53" spans="1:17">
      <c r="A53" s="23"/>
      <c r="B53" s="53">
        <v>43</v>
      </c>
      <c r="C53" s="58">
        <v>659.469970703125</v>
      </c>
      <c r="D53" s="59">
        <v>989021.625</v>
      </c>
      <c r="E53" s="59">
        <v>0</v>
      </c>
      <c r="F53" s="59">
        <v>-1.0513520240783691</v>
      </c>
      <c r="G53" s="42">
        <v>0</v>
      </c>
      <c r="H53" s="23"/>
      <c r="I53" s="23"/>
      <c r="J53" s="99"/>
      <c r="K53" s="99"/>
      <c r="L53" s="99"/>
      <c r="M53" s="99"/>
      <c r="N53" s="43">
        <f t="shared" si="0"/>
        <v>659.469970703125</v>
      </c>
      <c r="O53" s="43"/>
      <c r="P53" s="23"/>
      <c r="Q53" s="23"/>
    </row>
    <row r="54" spans="1:17">
      <c r="A54" s="23"/>
      <c r="B54" s="53">
        <v>44</v>
      </c>
      <c r="C54" s="58">
        <v>704.97601318359375</v>
      </c>
      <c r="D54" s="59">
        <v>988991.1875</v>
      </c>
      <c r="E54" s="59">
        <v>0</v>
      </c>
      <c r="F54" s="59">
        <v>-1.1196080446243286</v>
      </c>
      <c r="G54" s="42">
        <v>0</v>
      </c>
      <c r="H54" s="23"/>
      <c r="I54" s="23"/>
      <c r="J54" s="99"/>
      <c r="K54" s="99"/>
      <c r="L54" s="99"/>
      <c r="M54" s="99"/>
      <c r="N54" s="43">
        <f t="shared" si="0"/>
        <v>704.97601318359375</v>
      </c>
      <c r="O54" s="43"/>
      <c r="P54" s="23"/>
      <c r="Q54" s="23"/>
    </row>
    <row r="55" spans="1:17">
      <c r="A55" s="23"/>
      <c r="B55" s="53">
        <v>45</v>
      </c>
      <c r="C55" s="58">
        <v>753.62200927734375</v>
      </c>
      <c r="D55" s="59">
        <v>989008.3125</v>
      </c>
      <c r="E55" s="59">
        <v>0</v>
      </c>
      <c r="F55" s="59">
        <v>-1.1955260038375854</v>
      </c>
      <c r="G55" s="42">
        <v>0</v>
      </c>
      <c r="H55" s="23"/>
      <c r="I55" s="23"/>
      <c r="J55" s="99"/>
      <c r="K55" s="99"/>
      <c r="L55" s="99"/>
      <c r="M55" s="99"/>
      <c r="N55" s="43">
        <f t="shared" si="0"/>
        <v>753.62200927734375</v>
      </c>
      <c r="O55" s="43"/>
      <c r="P55" s="23"/>
      <c r="Q55" s="23"/>
    </row>
    <row r="56" spans="1:17">
      <c r="A56" s="23"/>
      <c r="B56" s="53">
        <v>46</v>
      </c>
      <c r="C56" s="58">
        <v>805.625</v>
      </c>
      <c r="D56" s="59">
        <v>988950.625</v>
      </c>
      <c r="E56" s="59">
        <v>0</v>
      </c>
      <c r="F56" s="59">
        <v>-1.2778220176696777</v>
      </c>
      <c r="G56" s="42">
        <v>0</v>
      </c>
      <c r="H56" s="23"/>
      <c r="I56" s="23"/>
      <c r="J56" s="99"/>
      <c r="K56" s="99"/>
      <c r="L56" s="99"/>
      <c r="M56" s="99"/>
      <c r="N56" s="43">
        <f t="shared" si="0"/>
        <v>805.625</v>
      </c>
      <c r="O56" s="43"/>
      <c r="P56" s="23"/>
      <c r="Q56" s="23"/>
    </row>
    <row r="57" spans="1:17">
      <c r="A57" s="23"/>
      <c r="B57" s="53">
        <v>47</v>
      </c>
      <c r="C57" s="58">
        <v>861.21697998046875</v>
      </c>
      <c r="D57" s="59">
        <v>988859</v>
      </c>
      <c r="E57" s="59">
        <v>0</v>
      </c>
      <c r="F57" s="59">
        <v>-1.3628940582275391</v>
      </c>
      <c r="G57" s="42">
        <v>0</v>
      </c>
      <c r="H57" s="23"/>
      <c r="I57" s="23"/>
      <c r="J57" s="99"/>
      <c r="K57" s="99"/>
      <c r="L57" s="99"/>
      <c r="M57" s="99"/>
      <c r="N57" s="43">
        <f t="shared" si="0"/>
        <v>861.21697998046875</v>
      </c>
      <c r="O57" s="43"/>
      <c r="P57" s="23"/>
      <c r="Q57" s="23"/>
    </row>
    <row r="58" spans="1:17">
      <c r="A58" s="23"/>
      <c r="B58" s="53">
        <v>48</v>
      </c>
      <c r="C58" s="58">
        <v>920.64398193359375</v>
      </c>
      <c r="D58" s="59">
        <v>988672.3125</v>
      </c>
      <c r="E58" s="59">
        <v>0</v>
      </c>
      <c r="F58" s="59">
        <v>-1.4356310367584229</v>
      </c>
      <c r="G58" s="42">
        <v>0</v>
      </c>
      <c r="H58" s="23"/>
      <c r="I58" s="23"/>
      <c r="J58" s="99"/>
      <c r="K58" s="99"/>
      <c r="L58" s="99"/>
      <c r="M58" s="99"/>
      <c r="N58" s="43">
        <f t="shared" si="0"/>
        <v>920.64398193359375</v>
      </c>
      <c r="O58" s="43"/>
      <c r="P58" s="23"/>
      <c r="Q58" s="23"/>
    </row>
    <row r="59" spans="1:17">
      <c r="A59" s="23"/>
      <c r="B59" s="53">
        <v>49</v>
      </c>
      <c r="C59" s="58">
        <v>984.1719970703125</v>
      </c>
      <c r="D59" s="59">
        <v>988544.3125</v>
      </c>
      <c r="E59" s="59">
        <v>0</v>
      </c>
      <c r="F59" s="59">
        <v>-1.5494749546051025</v>
      </c>
      <c r="G59" s="42">
        <v>0</v>
      </c>
      <c r="H59" s="23"/>
      <c r="I59" s="23"/>
      <c r="J59" s="99"/>
      <c r="K59" s="99"/>
      <c r="L59" s="99"/>
      <c r="M59" s="99"/>
      <c r="N59" s="43">
        <f t="shared" si="0"/>
        <v>984.1719970703125</v>
      </c>
      <c r="O59" s="43"/>
      <c r="P59" s="23"/>
      <c r="Q59" s="23"/>
    </row>
    <row r="60" spans="1:17">
      <c r="A60" s="23"/>
      <c r="B60" s="53">
        <v>50</v>
      </c>
      <c r="C60" s="58">
        <v>1052.083984375</v>
      </c>
      <c r="D60" s="59">
        <v>988536.625</v>
      </c>
      <c r="E60" s="59">
        <v>0</v>
      </c>
      <c r="F60" s="59">
        <v>-1.6609300374984741</v>
      </c>
      <c r="G60" s="42">
        <v>0</v>
      </c>
      <c r="H60" s="23"/>
      <c r="I60" s="23"/>
      <c r="J60" s="99"/>
      <c r="K60" s="99"/>
      <c r="L60" s="99"/>
      <c r="M60" s="99"/>
      <c r="N60" s="43">
        <f t="shared" si="0"/>
        <v>1052.083984375</v>
      </c>
      <c r="O60" s="43"/>
      <c r="P60" s="23"/>
      <c r="Q60" s="23"/>
    </row>
    <row r="61" spans="1:17">
      <c r="A61" s="23"/>
      <c r="B61" s="53">
        <v>51</v>
      </c>
      <c r="C61" s="58">
        <v>1124.6829833984375</v>
      </c>
      <c r="D61" s="59">
        <v>988469.375</v>
      </c>
      <c r="E61" s="59">
        <v>0</v>
      </c>
      <c r="F61" s="59">
        <v>-1.7718249559402466</v>
      </c>
      <c r="G61" s="42">
        <v>0</v>
      </c>
      <c r="H61" s="23"/>
      <c r="I61" s="23"/>
      <c r="J61" s="99"/>
      <c r="K61" s="99"/>
      <c r="L61" s="99"/>
      <c r="M61" s="99"/>
      <c r="N61" s="43">
        <f t="shared" si="0"/>
        <v>1124.6829833984375</v>
      </c>
      <c r="O61" s="43"/>
      <c r="P61" s="23"/>
      <c r="Q61" s="23"/>
    </row>
    <row r="62" spans="1:17">
      <c r="A62" s="23"/>
      <c r="B62" s="53">
        <v>52</v>
      </c>
      <c r="C62" s="58">
        <v>1202.2900390625</v>
      </c>
      <c r="D62" s="59">
        <v>988480.1875</v>
      </c>
      <c r="E62" s="59">
        <v>0</v>
      </c>
      <c r="F62" s="59">
        <v>-1.8956429958343506</v>
      </c>
      <c r="G62" s="42">
        <v>0</v>
      </c>
      <c r="H62" s="23"/>
      <c r="I62" s="23"/>
      <c r="J62" s="99"/>
      <c r="K62" s="99"/>
      <c r="L62" s="99"/>
      <c r="M62" s="99"/>
      <c r="N62" s="43">
        <f t="shared" si="0"/>
        <v>1202.2900390625</v>
      </c>
      <c r="O62" s="43"/>
      <c r="P62" s="23"/>
      <c r="Q62" s="23"/>
    </row>
    <row r="63" spans="1:17">
      <c r="A63" s="23"/>
      <c r="B63" s="53">
        <v>53</v>
      </c>
      <c r="C63" s="58">
        <v>1285.2540283203125</v>
      </c>
      <c r="D63" s="59">
        <v>988396.1875</v>
      </c>
      <c r="E63" s="59">
        <v>0</v>
      </c>
      <c r="F63" s="59">
        <v>-2.0255839824676514</v>
      </c>
      <c r="G63" s="42">
        <v>0</v>
      </c>
      <c r="H63" s="23"/>
      <c r="I63" s="23"/>
      <c r="J63" s="99"/>
      <c r="K63" s="99"/>
      <c r="L63" s="99"/>
      <c r="M63" s="99"/>
      <c r="N63" s="43">
        <f t="shared" si="0"/>
        <v>1285.2540283203125</v>
      </c>
      <c r="O63" s="43"/>
      <c r="P63" s="23"/>
      <c r="Q63" s="23"/>
    </row>
    <row r="64" spans="1:17">
      <c r="A64" s="23"/>
      <c r="B64" s="53">
        <v>54</v>
      </c>
      <c r="C64" s="58">
        <v>1373.9410400390625</v>
      </c>
      <c r="D64" s="59">
        <v>988226.875</v>
      </c>
      <c r="E64" s="59">
        <v>0</v>
      </c>
      <c r="F64" s="59">
        <v>-2.1712110042572021</v>
      </c>
      <c r="G64" s="42">
        <v>0</v>
      </c>
      <c r="H64" s="23"/>
      <c r="I64" s="23"/>
      <c r="J64" s="99"/>
      <c r="K64" s="99"/>
      <c r="L64" s="99"/>
      <c r="M64" s="99"/>
      <c r="N64" s="43">
        <f t="shared" si="0"/>
        <v>1373.9410400390625</v>
      </c>
      <c r="O64" s="43"/>
      <c r="P64" s="23"/>
      <c r="Q64" s="23"/>
    </row>
    <row r="65" spans="1:17">
      <c r="A65" s="23"/>
      <c r="B65" s="53">
        <v>55</v>
      </c>
      <c r="C65" s="58">
        <v>1468.7490234375</v>
      </c>
      <c r="D65" s="59">
        <v>988241.3125</v>
      </c>
      <c r="E65" s="59">
        <v>0</v>
      </c>
      <c r="F65" s="59">
        <v>-2.3100190162658691</v>
      </c>
      <c r="G65" s="42">
        <v>0</v>
      </c>
      <c r="H65" s="23"/>
      <c r="I65" s="23"/>
      <c r="J65" s="99"/>
      <c r="K65" s="99"/>
      <c r="L65" s="99"/>
      <c r="M65" s="99"/>
      <c r="N65" s="43">
        <f t="shared" si="0"/>
        <v>1468.7490234375</v>
      </c>
      <c r="O65" s="43"/>
      <c r="P65" s="23"/>
      <c r="Q65" s="23"/>
    </row>
    <row r="66" spans="1:17">
      <c r="A66" s="23"/>
      <c r="B66" s="53">
        <v>56</v>
      </c>
      <c r="C66" s="58">
        <v>1570.0989990234375</v>
      </c>
      <c r="D66" s="59">
        <v>988147.8125</v>
      </c>
      <c r="E66" s="59">
        <v>0</v>
      </c>
      <c r="F66" s="59">
        <v>-2.4788670539855957</v>
      </c>
      <c r="G66" s="42">
        <v>0</v>
      </c>
      <c r="H66" s="23"/>
      <c r="I66" s="23"/>
      <c r="J66" s="99"/>
      <c r="K66" s="99"/>
      <c r="L66" s="99"/>
      <c r="M66" s="99"/>
      <c r="N66" s="43">
        <f t="shared" si="0"/>
        <v>1570.0989990234375</v>
      </c>
      <c r="O66" s="43"/>
      <c r="P66" s="23"/>
      <c r="Q66" s="23"/>
    </row>
    <row r="67" spans="1:17">
      <c r="A67" s="23"/>
      <c r="B67" s="53">
        <v>57</v>
      </c>
      <c r="C67" s="58">
        <v>1678.4420166015625</v>
      </c>
      <c r="D67" s="59">
        <v>987802.3125</v>
      </c>
      <c r="E67" s="59">
        <v>0</v>
      </c>
      <c r="F67" s="59">
        <v>-2.6464810371398926</v>
      </c>
      <c r="G67" s="42">
        <v>0</v>
      </c>
      <c r="H67" s="23"/>
      <c r="I67" s="23"/>
      <c r="J67" s="99"/>
      <c r="K67" s="99"/>
      <c r="L67" s="99"/>
      <c r="M67" s="99"/>
      <c r="N67" s="43">
        <f t="shared" si="0"/>
        <v>1678.4420166015625</v>
      </c>
      <c r="O67" s="43"/>
      <c r="P67" s="23"/>
      <c r="Q67" s="23"/>
    </row>
    <row r="68" spans="1:17">
      <c r="A68" s="23"/>
      <c r="B68" s="53">
        <v>58</v>
      </c>
      <c r="C68" s="58">
        <v>1794.261962890625</v>
      </c>
      <c r="D68" s="59">
        <v>987788.875</v>
      </c>
      <c r="E68" s="59">
        <v>0</v>
      </c>
      <c r="F68" s="59">
        <v>-2.8398890495300293</v>
      </c>
      <c r="G68" s="42">
        <v>0</v>
      </c>
      <c r="H68" s="23"/>
      <c r="I68" s="23"/>
      <c r="J68" s="99"/>
      <c r="K68" s="99"/>
      <c r="L68" s="99"/>
      <c r="M68" s="99"/>
      <c r="N68" s="43">
        <f t="shared" si="0"/>
        <v>1794.261962890625</v>
      </c>
      <c r="O68" s="43"/>
      <c r="P68" s="23"/>
      <c r="Q68" s="23"/>
    </row>
    <row r="69" spans="1:17">
      <c r="A69" s="23"/>
      <c r="B69" s="53">
        <v>59</v>
      </c>
      <c r="C69" s="58">
        <v>1918.072998046875</v>
      </c>
      <c r="D69" s="59">
        <v>987431.125</v>
      </c>
      <c r="E69" s="59">
        <v>0</v>
      </c>
      <c r="F69" s="59">
        <v>-3.0436511039733887</v>
      </c>
      <c r="G69" s="42">
        <v>0</v>
      </c>
      <c r="H69" s="23"/>
      <c r="I69" s="23"/>
      <c r="J69" s="99"/>
      <c r="K69" s="99"/>
      <c r="L69" s="99"/>
      <c r="M69" s="99"/>
      <c r="N69" s="43">
        <f t="shared" si="0"/>
        <v>1918.072998046875</v>
      </c>
      <c r="O69" s="43"/>
      <c r="P69" s="23"/>
      <c r="Q69" s="23"/>
    </row>
    <row r="70" spans="1:17">
      <c r="A70" s="23"/>
      <c r="B70" s="53">
        <v>60</v>
      </c>
      <c r="C70" s="58">
        <v>2050.427978515625</v>
      </c>
      <c r="D70" s="59">
        <v>987222.1875</v>
      </c>
      <c r="E70" s="59">
        <v>0</v>
      </c>
      <c r="F70" s="59">
        <v>-3.2508900165557861</v>
      </c>
      <c r="G70" s="42">
        <v>0</v>
      </c>
      <c r="H70" s="23"/>
      <c r="I70" s="23"/>
      <c r="J70" s="99"/>
      <c r="K70" s="99"/>
      <c r="L70" s="99"/>
      <c r="M70" s="99"/>
      <c r="N70" s="43">
        <f t="shared" si="0"/>
        <v>2050.427978515625</v>
      </c>
      <c r="O70" s="43"/>
      <c r="P70" s="23"/>
      <c r="Q70" s="23"/>
    </row>
    <row r="71" spans="1:17">
      <c r="A71" s="23"/>
      <c r="B71" s="53">
        <v>61</v>
      </c>
      <c r="C71" s="58">
        <v>2191.916015625</v>
      </c>
      <c r="D71" s="59">
        <v>987052.875</v>
      </c>
      <c r="E71" s="59">
        <v>0</v>
      </c>
      <c r="F71" s="59">
        <v>-3.4714078903198242</v>
      </c>
      <c r="G71" s="42">
        <v>0</v>
      </c>
      <c r="H71" s="23"/>
      <c r="I71" s="23"/>
      <c r="J71" s="99"/>
      <c r="K71" s="99"/>
      <c r="L71" s="99"/>
      <c r="M71" s="99"/>
      <c r="N71" s="43">
        <f t="shared" si="0"/>
        <v>2191.916015625</v>
      </c>
      <c r="O71" s="43"/>
      <c r="P71" s="23"/>
      <c r="Q71" s="23"/>
    </row>
    <row r="72" spans="1:17">
      <c r="A72" s="23"/>
      <c r="B72" s="53">
        <v>62</v>
      </c>
      <c r="C72" s="58">
        <v>2343.16796875</v>
      </c>
      <c r="D72" s="59">
        <v>986826.1875</v>
      </c>
      <c r="E72" s="59">
        <v>0</v>
      </c>
      <c r="F72" s="59">
        <v>-3.7015650272369385</v>
      </c>
      <c r="G72" s="42">
        <v>0</v>
      </c>
      <c r="H72" s="23"/>
      <c r="I72" s="23"/>
      <c r="J72" s="99"/>
      <c r="K72" s="99"/>
      <c r="L72" s="99"/>
      <c r="M72" s="99"/>
      <c r="N72" s="43">
        <f t="shared" si="0"/>
        <v>2343.16796875</v>
      </c>
      <c r="O72" s="43"/>
      <c r="P72" s="23"/>
      <c r="Q72" s="23"/>
    </row>
    <row r="73" spans="1:17">
      <c r="A73" s="23"/>
      <c r="B73" s="53">
        <v>63</v>
      </c>
      <c r="C73" s="58">
        <v>2504.85595703125</v>
      </c>
      <c r="D73" s="59">
        <v>986436.5</v>
      </c>
      <c r="E73" s="59">
        <v>0</v>
      </c>
      <c r="F73" s="59">
        <v>-3.9689569473266602</v>
      </c>
      <c r="G73" s="42">
        <v>0</v>
      </c>
      <c r="H73" s="23"/>
      <c r="I73" s="23"/>
      <c r="J73" s="99"/>
      <c r="K73" s="99"/>
      <c r="L73" s="99"/>
      <c r="M73" s="99"/>
      <c r="N73" s="43">
        <f t="shared" si="0"/>
        <v>2504.85595703125</v>
      </c>
      <c r="O73" s="43"/>
      <c r="P73" s="23"/>
      <c r="Q73" s="23"/>
    </row>
    <row r="74" spans="1:17">
      <c r="A74" s="23"/>
      <c r="B74" s="53">
        <v>64</v>
      </c>
      <c r="C74" s="58">
        <v>2677.701904296875</v>
      </c>
      <c r="D74" s="59">
        <v>986001.625</v>
      </c>
      <c r="E74" s="59">
        <v>0</v>
      </c>
      <c r="F74" s="59">
        <v>-4.2449460029602051</v>
      </c>
      <c r="G74" s="42">
        <v>0</v>
      </c>
      <c r="H74" s="23"/>
      <c r="I74" s="23"/>
      <c r="J74" s="99"/>
      <c r="K74" s="99"/>
      <c r="L74" s="99"/>
      <c r="M74" s="99"/>
      <c r="N74" s="43">
        <f t="shared" si="0"/>
        <v>2677.701904296875</v>
      </c>
      <c r="O74" s="43"/>
      <c r="P74" s="23"/>
      <c r="Q74" s="23"/>
    </row>
    <row r="75" spans="1:17">
      <c r="A75" s="23"/>
      <c r="B75" s="53">
        <v>65</v>
      </c>
      <c r="C75" s="58">
        <v>2862.47412109375</v>
      </c>
      <c r="D75" s="59">
        <v>985614.625</v>
      </c>
      <c r="E75" s="59">
        <v>0</v>
      </c>
      <c r="F75" s="59">
        <v>-4.5358481407165527</v>
      </c>
      <c r="G75" s="42">
        <v>0</v>
      </c>
      <c r="H75" s="23"/>
      <c r="I75" s="23"/>
      <c r="J75" s="99"/>
      <c r="K75" s="99"/>
      <c r="L75" s="99"/>
      <c r="M75" s="99"/>
      <c r="N75" s="43">
        <f t="shared" ref="N75:N138" si="1">IF($L$4=$C$10,C75,IF(D75="","",B75))</f>
        <v>2862.47412109375</v>
      </c>
      <c r="O75" s="43"/>
      <c r="P75" s="23"/>
      <c r="Q75" s="23"/>
    </row>
    <row r="76" spans="1:17">
      <c r="A76" s="23"/>
      <c r="B76" s="53">
        <v>66</v>
      </c>
      <c r="C76" s="58">
        <v>3059.9970703125</v>
      </c>
      <c r="D76" s="59">
        <v>985123</v>
      </c>
      <c r="E76" s="59">
        <v>0</v>
      </c>
      <c r="F76" s="59">
        <v>-4.8543858528137207</v>
      </c>
      <c r="G76" s="42">
        <v>0</v>
      </c>
      <c r="H76" s="23"/>
      <c r="I76" s="23"/>
      <c r="J76" s="99"/>
      <c r="K76" s="99"/>
      <c r="L76" s="99"/>
      <c r="M76" s="99"/>
      <c r="N76" s="43">
        <f t="shared" si="1"/>
        <v>3059.9970703125</v>
      </c>
      <c r="O76" s="43"/>
      <c r="P76" s="23"/>
      <c r="Q76" s="23"/>
    </row>
    <row r="77" spans="1:17">
      <c r="A77" s="23"/>
      <c r="B77" s="53">
        <v>67</v>
      </c>
      <c r="C77" s="58">
        <v>3271.14990234375</v>
      </c>
      <c r="D77" s="59">
        <v>984670</v>
      </c>
      <c r="E77" s="59">
        <v>0</v>
      </c>
      <c r="F77" s="59">
        <v>-5.1848139762878418</v>
      </c>
      <c r="G77" s="42">
        <v>0</v>
      </c>
      <c r="H77" s="23"/>
      <c r="I77" s="23"/>
      <c r="J77" s="99"/>
      <c r="K77" s="99"/>
      <c r="L77" s="99"/>
      <c r="M77" s="99"/>
      <c r="N77" s="43">
        <f t="shared" si="1"/>
        <v>3271.14990234375</v>
      </c>
      <c r="O77" s="43"/>
      <c r="P77" s="23"/>
      <c r="Q77" s="23"/>
    </row>
    <row r="78" spans="1:17">
      <c r="A78" s="23"/>
      <c r="B78" s="53">
        <v>68</v>
      </c>
      <c r="C78" s="58">
        <v>3496.8720703125</v>
      </c>
      <c r="D78" s="59">
        <v>984018.6875</v>
      </c>
      <c r="E78" s="59">
        <v>0</v>
      </c>
      <c r="F78" s="59">
        <v>-5.5350298881530762</v>
      </c>
      <c r="G78" s="42">
        <v>0</v>
      </c>
      <c r="H78" s="23"/>
      <c r="I78" s="23"/>
      <c r="J78" s="99"/>
      <c r="K78" s="99"/>
      <c r="L78" s="99"/>
      <c r="M78" s="99"/>
      <c r="N78" s="43">
        <f t="shared" si="1"/>
        <v>3496.8720703125</v>
      </c>
      <c r="O78" s="43"/>
      <c r="P78" s="23"/>
      <c r="Q78" s="23"/>
    </row>
    <row r="79" spans="1:17">
      <c r="A79" s="23"/>
      <c r="B79" s="53">
        <v>69</v>
      </c>
      <c r="C79" s="58">
        <v>3738.1708984375</v>
      </c>
      <c r="D79" s="59">
        <v>983284.1875</v>
      </c>
      <c r="E79" s="59">
        <v>0</v>
      </c>
      <c r="F79" s="59">
        <v>-5.9077348709106445</v>
      </c>
      <c r="G79" s="42">
        <v>0</v>
      </c>
      <c r="H79" s="23"/>
      <c r="I79" s="23"/>
      <c r="J79" s="99"/>
      <c r="K79" s="99"/>
      <c r="L79" s="99"/>
      <c r="M79" s="99"/>
      <c r="N79" s="43">
        <f t="shared" si="1"/>
        <v>3738.1708984375</v>
      </c>
      <c r="O79" s="43"/>
      <c r="P79" s="23"/>
      <c r="Q79" s="23"/>
    </row>
    <row r="80" spans="1:17">
      <c r="A80" s="23"/>
      <c r="B80" s="53">
        <v>70</v>
      </c>
      <c r="C80" s="58">
        <v>3996.12109375</v>
      </c>
      <c r="D80" s="59">
        <v>982560.375</v>
      </c>
      <c r="E80" s="59">
        <v>0</v>
      </c>
      <c r="F80" s="59">
        <v>-6.3221597671508789</v>
      </c>
      <c r="G80" s="42">
        <v>0</v>
      </c>
      <c r="H80" s="23"/>
      <c r="I80" s="23"/>
      <c r="J80" s="99"/>
      <c r="K80" s="99"/>
      <c r="L80" s="99"/>
      <c r="M80" s="99"/>
      <c r="N80" s="43">
        <f t="shared" si="1"/>
        <v>3996.12109375</v>
      </c>
      <c r="O80" s="43"/>
      <c r="P80" s="23"/>
      <c r="Q80" s="23"/>
    </row>
    <row r="81" spans="1:17">
      <c r="A81" s="23"/>
      <c r="B81" s="53">
        <v>71</v>
      </c>
      <c r="C81" s="58">
        <v>4271.8701171875</v>
      </c>
      <c r="D81" s="59">
        <v>981792.625</v>
      </c>
      <c r="E81" s="59">
        <v>0</v>
      </c>
      <c r="F81" s="59">
        <v>-6.7581892013549805</v>
      </c>
      <c r="G81" s="42">
        <v>0</v>
      </c>
      <c r="H81" s="23"/>
      <c r="I81" s="23"/>
      <c r="J81" s="99"/>
      <c r="K81" s="99"/>
      <c r="L81" s="99"/>
      <c r="M81" s="99"/>
      <c r="N81" s="43">
        <f t="shared" si="1"/>
        <v>4271.8701171875</v>
      </c>
      <c r="O81" s="43"/>
      <c r="P81" s="23"/>
      <c r="Q81" s="23"/>
    </row>
    <row r="82" spans="1:17">
      <c r="A82" s="23"/>
      <c r="B82" s="53">
        <v>72</v>
      </c>
      <c r="C82" s="58">
        <v>4566.64697265625</v>
      </c>
      <c r="D82" s="59">
        <v>980549.625</v>
      </c>
      <c r="E82" s="59">
        <v>0</v>
      </c>
      <c r="F82" s="59">
        <v>-7.2149372100830078</v>
      </c>
      <c r="G82" s="42">
        <v>0</v>
      </c>
      <c r="H82" s="23"/>
      <c r="I82" s="23"/>
      <c r="J82" s="99"/>
      <c r="K82" s="99"/>
      <c r="L82" s="99"/>
      <c r="M82" s="99"/>
      <c r="N82" s="43">
        <f t="shared" si="1"/>
        <v>4566.64697265625</v>
      </c>
      <c r="O82" s="43"/>
      <c r="P82" s="23"/>
      <c r="Q82" s="23"/>
    </row>
    <row r="83" spans="1:17">
      <c r="A83" s="23"/>
      <c r="B83" s="53">
        <v>73</v>
      </c>
      <c r="C83" s="58">
        <v>4881.76416015625</v>
      </c>
      <c r="D83" s="59">
        <v>979382.1875</v>
      </c>
      <c r="E83" s="59">
        <v>0</v>
      </c>
      <c r="F83" s="59">
        <v>-7.7062277793884277</v>
      </c>
      <c r="G83" s="42">
        <v>0</v>
      </c>
      <c r="H83" s="23"/>
      <c r="I83" s="23"/>
      <c r="J83" s="99"/>
      <c r="K83" s="99"/>
      <c r="L83" s="99"/>
      <c r="M83" s="99"/>
      <c r="N83" s="43">
        <f t="shared" si="1"/>
        <v>4881.76416015625</v>
      </c>
      <c r="O83" s="43"/>
      <c r="P83" s="23"/>
      <c r="Q83" s="23"/>
    </row>
    <row r="84" spans="1:17">
      <c r="A84" s="23"/>
      <c r="B84" s="53">
        <v>74</v>
      </c>
      <c r="C84" s="58">
        <v>5218.6259765625</v>
      </c>
      <c r="D84" s="59">
        <v>978057.6875</v>
      </c>
      <c r="E84" s="59">
        <v>0</v>
      </c>
      <c r="F84" s="59">
        <v>-8.2278537750244141</v>
      </c>
      <c r="G84" s="42">
        <v>0</v>
      </c>
      <c r="H84" s="23"/>
      <c r="I84" s="23"/>
      <c r="J84" s="99"/>
      <c r="K84" s="99"/>
      <c r="L84" s="99"/>
      <c r="M84" s="99"/>
      <c r="N84" s="43">
        <f t="shared" si="1"/>
        <v>5218.6259765625</v>
      </c>
      <c r="O84" s="43"/>
      <c r="P84" s="23"/>
      <c r="Q84" s="23"/>
    </row>
    <row r="85" spans="1:17">
      <c r="A85" s="23"/>
      <c r="B85" s="53">
        <v>75</v>
      </c>
      <c r="C85" s="58">
        <v>5578.73291015625</v>
      </c>
      <c r="D85" s="59">
        <v>976641.375</v>
      </c>
      <c r="E85" s="59">
        <v>0</v>
      </c>
      <c r="F85" s="59">
        <v>-8.7930793762207031</v>
      </c>
      <c r="G85" s="42">
        <v>0</v>
      </c>
      <c r="H85" s="23"/>
      <c r="I85" s="23"/>
      <c r="J85" s="99"/>
      <c r="K85" s="99"/>
      <c r="L85" s="99"/>
      <c r="M85" s="99"/>
      <c r="N85" s="43">
        <f t="shared" si="1"/>
        <v>5578.73291015625</v>
      </c>
      <c r="O85" s="43"/>
      <c r="P85" s="23"/>
      <c r="Q85" s="23"/>
    </row>
    <row r="86" spans="1:17">
      <c r="A86" s="23"/>
      <c r="B86" s="53">
        <v>76</v>
      </c>
      <c r="C86" s="58">
        <v>5963.68896484375</v>
      </c>
      <c r="D86" s="59">
        <v>974828</v>
      </c>
      <c r="E86" s="59">
        <v>0</v>
      </c>
      <c r="F86" s="59">
        <v>-9.3835458755493164</v>
      </c>
      <c r="G86" s="42">
        <v>0</v>
      </c>
      <c r="H86" s="23"/>
      <c r="I86" s="23"/>
      <c r="J86" s="99"/>
      <c r="K86" s="99"/>
      <c r="L86" s="99"/>
      <c r="M86" s="99"/>
      <c r="N86" s="43">
        <f t="shared" si="1"/>
        <v>5963.68896484375</v>
      </c>
      <c r="O86" s="43"/>
      <c r="P86" s="23"/>
      <c r="Q86" s="23"/>
    </row>
    <row r="87" spans="1:17">
      <c r="A87" s="23"/>
      <c r="B87" s="53">
        <v>77</v>
      </c>
      <c r="C87" s="58">
        <v>6375.208984375</v>
      </c>
      <c r="D87" s="59">
        <v>972987.5</v>
      </c>
      <c r="E87" s="59">
        <v>0</v>
      </c>
      <c r="F87" s="59">
        <v>-10.015810012817383</v>
      </c>
      <c r="G87" s="42">
        <v>0</v>
      </c>
      <c r="H87" s="23"/>
      <c r="I87" s="23"/>
      <c r="J87" s="99"/>
      <c r="K87" s="99"/>
      <c r="L87" s="99"/>
      <c r="M87" s="99"/>
      <c r="N87" s="43">
        <f t="shared" si="1"/>
        <v>6375.208984375</v>
      </c>
      <c r="O87" s="43"/>
      <c r="P87" s="23"/>
      <c r="Q87" s="23"/>
    </row>
    <row r="88" spans="1:17">
      <c r="A88" s="23"/>
      <c r="B88" s="53">
        <v>78</v>
      </c>
      <c r="C88" s="58">
        <v>6815.125</v>
      </c>
      <c r="D88" s="59">
        <v>970886.375</v>
      </c>
      <c r="E88" s="59">
        <v>0</v>
      </c>
      <c r="F88" s="59">
        <v>-10.686960220336914</v>
      </c>
      <c r="G88" s="42">
        <v>0</v>
      </c>
      <c r="H88" s="23"/>
      <c r="I88" s="23"/>
      <c r="J88" s="99"/>
      <c r="K88" s="99"/>
      <c r="L88" s="99"/>
      <c r="M88" s="99"/>
      <c r="N88" s="43">
        <f t="shared" si="1"/>
        <v>6815.125</v>
      </c>
      <c r="O88" s="43"/>
      <c r="P88" s="23"/>
      <c r="Q88" s="23"/>
    </row>
    <row r="89" spans="1:17">
      <c r="A89" s="23"/>
      <c r="B89" s="53">
        <v>79</v>
      </c>
      <c r="C89" s="58">
        <v>7285.39697265625</v>
      </c>
      <c r="D89" s="59">
        <v>968363</v>
      </c>
      <c r="E89" s="59">
        <v>0</v>
      </c>
      <c r="F89" s="59">
        <v>-11.410079956054688</v>
      </c>
      <c r="G89" s="42">
        <v>0</v>
      </c>
      <c r="H89" s="23"/>
      <c r="I89" s="23"/>
      <c r="J89" s="99"/>
      <c r="K89" s="99"/>
      <c r="L89" s="99"/>
      <c r="M89" s="99"/>
      <c r="N89" s="43">
        <f t="shared" si="1"/>
        <v>7285.39697265625</v>
      </c>
      <c r="O89" s="43"/>
      <c r="P89" s="23"/>
      <c r="Q89" s="23"/>
    </row>
    <row r="90" spans="1:17">
      <c r="A90" s="23"/>
      <c r="B90" s="53">
        <v>80</v>
      </c>
      <c r="C90" s="58">
        <v>7788.119140625</v>
      </c>
      <c r="D90" s="59">
        <v>965690.5</v>
      </c>
      <c r="E90" s="59">
        <v>0</v>
      </c>
      <c r="F90" s="59">
        <v>-12.16703987121582</v>
      </c>
      <c r="G90" s="42">
        <v>0</v>
      </c>
      <c r="H90" s="23"/>
      <c r="I90" s="23"/>
      <c r="J90" s="99"/>
      <c r="K90" s="99"/>
      <c r="L90" s="99"/>
      <c r="M90" s="99"/>
      <c r="N90" s="43">
        <f t="shared" si="1"/>
        <v>7788.119140625</v>
      </c>
      <c r="O90" s="43"/>
      <c r="P90" s="23"/>
      <c r="Q90" s="23"/>
    </row>
    <row r="91" spans="1:17">
      <c r="A91" s="23"/>
      <c r="B91" s="53">
        <v>81</v>
      </c>
      <c r="C91" s="58">
        <v>8325.5322265625</v>
      </c>
      <c r="D91" s="59">
        <v>962373.1875</v>
      </c>
      <c r="E91" s="59">
        <v>0</v>
      </c>
      <c r="F91" s="59">
        <v>-12.981630325317383</v>
      </c>
      <c r="G91" s="42">
        <v>0</v>
      </c>
      <c r="H91" s="23"/>
      <c r="I91" s="23"/>
      <c r="J91" s="99"/>
      <c r="K91" s="99"/>
      <c r="L91" s="99"/>
      <c r="M91" s="99"/>
      <c r="N91" s="43">
        <f t="shared" si="1"/>
        <v>8325.5322265625</v>
      </c>
      <c r="O91" s="43"/>
      <c r="P91" s="23"/>
      <c r="Q91" s="23"/>
    </row>
    <row r="92" spans="1:17">
      <c r="A92" s="23"/>
      <c r="B92" s="53">
        <v>82</v>
      </c>
      <c r="C92" s="58">
        <v>8900.029296875</v>
      </c>
      <c r="D92" s="59">
        <v>959110.875</v>
      </c>
      <c r="E92" s="59">
        <v>0</v>
      </c>
      <c r="F92" s="59">
        <v>-13.840410232543945</v>
      </c>
      <c r="G92" s="42">
        <v>0</v>
      </c>
      <c r="H92" s="23"/>
      <c r="I92" s="23"/>
      <c r="J92" s="99"/>
      <c r="K92" s="99"/>
      <c r="L92" s="99"/>
      <c r="M92" s="99"/>
      <c r="N92" s="43">
        <f t="shared" si="1"/>
        <v>8900.029296875</v>
      </c>
      <c r="O92" s="43"/>
      <c r="P92" s="23"/>
      <c r="Q92" s="23"/>
    </row>
    <row r="93" spans="1:17">
      <c r="A93" s="23"/>
      <c r="B93" s="53">
        <v>83</v>
      </c>
      <c r="C93" s="58">
        <v>9514.16796875</v>
      </c>
      <c r="D93" s="59">
        <v>955232</v>
      </c>
      <c r="E93" s="59">
        <v>0</v>
      </c>
      <c r="F93" s="59">
        <v>-14.779950141906738</v>
      </c>
      <c r="G93" s="42">
        <v>0</v>
      </c>
      <c r="H93" s="23"/>
      <c r="I93" s="23"/>
      <c r="J93" s="99"/>
      <c r="K93" s="99"/>
      <c r="L93" s="99"/>
      <c r="M93" s="99"/>
      <c r="N93" s="43">
        <f t="shared" si="1"/>
        <v>9514.16796875</v>
      </c>
      <c r="O93" s="43"/>
      <c r="P93" s="23"/>
      <c r="Q93" s="23"/>
    </row>
    <row r="94" spans="1:17">
      <c r="A94" s="23"/>
      <c r="B94" s="53">
        <v>84</v>
      </c>
      <c r="C94" s="58">
        <v>10170.6845703125</v>
      </c>
      <c r="D94" s="59">
        <v>950609.375</v>
      </c>
      <c r="E94" s="59">
        <v>0</v>
      </c>
      <c r="F94" s="59">
        <v>-15.725810050964355</v>
      </c>
      <c r="G94" s="42">
        <v>0</v>
      </c>
      <c r="H94" s="23"/>
      <c r="I94" s="23"/>
      <c r="J94" s="99"/>
      <c r="K94" s="99"/>
      <c r="L94" s="99"/>
      <c r="M94" s="99"/>
      <c r="N94" s="43">
        <f t="shared" si="1"/>
        <v>10170.6845703125</v>
      </c>
      <c r="O94" s="43"/>
      <c r="P94" s="23"/>
      <c r="Q94" s="23"/>
    </row>
    <row r="95" spans="1:17">
      <c r="A95" s="23"/>
      <c r="B95" s="53">
        <v>85</v>
      </c>
      <c r="C95" s="58">
        <v>10872.5048828125</v>
      </c>
      <c r="D95" s="59">
        <v>945644.6875</v>
      </c>
      <c r="E95" s="59">
        <v>0</v>
      </c>
      <c r="F95" s="59">
        <v>-16.745550155639648</v>
      </c>
      <c r="G95" s="42">
        <v>0</v>
      </c>
      <c r="H95" s="23"/>
      <c r="I95" s="23"/>
      <c r="J95" s="99"/>
      <c r="K95" s="99"/>
      <c r="L95" s="99"/>
      <c r="M95" s="99"/>
      <c r="N95" s="43">
        <f t="shared" si="1"/>
        <v>10872.5048828125</v>
      </c>
      <c r="O95" s="43"/>
      <c r="P95" s="23"/>
      <c r="Q95" s="23"/>
    </row>
    <row r="96" spans="1:17">
      <c r="A96" s="23"/>
      <c r="B96" s="53">
        <v>86</v>
      </c>
      <c r="C96" s="58">
        <v>11622.7529296875</v>
      </c>
      <c r="D96" s="59">
        <v>940008.1875</v>
      </c>
      <c r="E96" s="59">
        <v>0</v>
      </c>
      <c r="F96" s="59">
        <v>-17.830219268798828</v>
      </c>
      <c r="G96" s="42">
        <v>0</v>
      </c>
      <c r="H96" s="23"/>
      <c r="I96" s="23"/>
      <c r="J96" s="99"/>
      <c r="K96" s="99"/>
      <c r="L96" s="99"/>
      <c r="M96" s="99"/>
      <c r="N96" s="43">
        <f t="shared" si="1"/>
        <v>11622.7529296875</v>
      </c>
      <c r="O96" s="43"/>
      <c r="P96" s="23"/>
      <c r="Q96" s="23"/>
    </row>
    <row r="97" spans="1:17">
      <c r="A97" s="23"/>
      <c r="B97" s="53">
        <v>87</v>
      </c>
      <c r="C97" s="58">
        <v>12424.771484375</v>
      </c>
      <c r="D97" s="59">
        <v>933787.875</v>
      </c>
      <c r="E97" s="59">
        <v>0</v>
      </c>
      <c r="F97" s="59">
        <v>-18.973030090332031</v>
      </c>
      <c r="G97" s="42">
        <v>0</v>
      </c>
      <c r="H97" s="23"/>
      <c r="I97" s="23"/>
      <c r="J97" s="99"/>
      <c r="K97" s="99"/>
      <c r="L97" s="99"/>
      <c r="M97" s="99"/>
      <c r="N97" s="43">
        <f t="shared" si="1"/>
        <v>12424.771484375</v>
      </c>
      <c r="O97" s="43"/>
      <c r="P97" s="23"/>
      <c r="Q97" s="23"/>
    </row>
    <row r="98" spans="1:17">
      <c r="A98" s="23"/>
      <c r="B98" s="53">
        <v>88</v>
      </c>
      <c r="C98" s="58">
        <v>13282.1318359375</v>
      </c>
      <c r="D98" s="59">
        <v>926669.125</v>
      </c>
      <c r="E98" s="59">
        <v>0</v>
      </c>
      <c r="F98" s="59">
        <v>-20.1610107421875</v>
      </c>
      <c r="G98" s="42">
        <v>0</v>
      </c>
      <c r="H98" s="23"/>
      <c r="I98" s="23"/>
      <c r="J98" s="99"/>
      <c r="K98" s="99"/>
      <c r="L98" s="99"/>
      <c r="M98" s="99"/>
      <c r="N98" s="43">
        <f t="shared" si="1"/>
        <v>13282.1318359375</v>
      </c>
      <c r="O98" s="43"/>
      <c r="P98" s="23"/>
      <c r="Q98" s="23"/>
    </row>
    <row r="99" spans="1:17">
      <c r="A99" s="23"/>
      <c r="B99" s="53">
        <v>89</v>
      </c>
      <c r="C99" s="58">
        <v>14198.6552734375</v>
      </c>
      <c r="D99" s="59">
        <v>918723</v>
      </c>
      <c r="E99" s="59">
        <v>0</v>
      </c>
      <c r="F99" s="59">
        <v>-21.432390213012695</v>
      </c>
      <c r="G99" s="42">
        <v>0</v>
      </c>
      <c r="H99" s="23"/>
      <c r="I99" s="23"/>
      <c r="J99" s="99"/>
      <c r="K99" s="99"/>
      <c r="L99" s="99"/>
      <c r="M99" s="99"/>
      <c r="N99" s="43">
        <f t="shared" si="1"/>
        <v>14198.6552734375</v>
      </c>
      <c r="O99" s="43"/>
      <c r="P99" s="23"/>
      <c r="Q99" s="23"/>
    </row>
    <row r="100" spans="1:17">
      <c r="A100" s="23"/>
      <c r="B100" s="53">
        <v>90</v>
      </c>
      <c r="C100" s="58">
        <v>15178.4208984375</v>
      </c>
      <c r="D100" s="59">
        <v>910046.625</v>
      </c>
      <c r="E100" s="59">
        <v>0</v>
      </c>
      <c r="F100" s="59">
        <v>-22.750749588012695</v>
      </c>
      <c r="G100" s="42">
        <v>0</v>
      </c>
      <c r="H100" s="23"/>
      <c r="I100" s="23"/>
      <c r="J100" s="99"/>
      <c r="K100" s="99"/>
      <c r="L100" s="99"/>
      <c r="M100" s="99"/>
      <c r="N100" s="43">
        <f t="shared" si="1"/>
        <v>15178.4208984375</v>
      </c>
      <c r="O100" s="43"/>
      <c r="P100" s="23"/>
      <c r="Q100" s="23"/>
    </row>
    <row r="101" spans="1:17">
      <c r="A101" s="23"/>
      <c r="B101" s="53">
        <v>91</v>
      </c>
      <c r="C101" s="58">
        <v>16225.7958984375</v>
      </c>
      <c r="D101" s="59">
        <v>900380.1875</v>
      </c>
      <c r="E101" s="59">
        <v>0</v>
      </c>
      <c r="F101" s="59">
        <v>-24.142810821533203</v>
      </c>
      <c r="G101" s="42">
        <v>0</v>
      </c>
      <c r="H101" s="23"/>
      <c r="I101" s="23"/>
      <c r="J101" s="99"/>
      <c r="K101" s="99"/>
      <c r="L101" s="99"/>
      <c r="M101" s="99"/>
      <c r="N101" s="43">
        <f t="shared" si="1"/>
        <v>16225.7958984375</v>
      </c>
      <c r="O101" s="43"/>
      <c r="P101" s="23"/>
      <c r="Q101" s="23"/>
    </row>
    <row r="102" spans="1:17">
      <c r="A102" s="23"/>
      <c r="B102" s="53">
        <v>92</v>
      </c>
      <c r="C102" s="58">
        <v>17345.443359375</v>
      </c>
      <c r="D102" s="59">
        <v>889743.8125</v>
      </c>
      <c r="E102" s="59">
        <v>0</v>
      </c>
      <c r="F102" s="59">
        <v>-25.5872802734375</v>
      </c>
      <c r="G102" s="42">
        <v>0</v>
      </c>
      <c r="H102" s="23"/>
      <c r="I102" s="23"/>
      <c r="J102" s="99"/>
      <c r="K102" s="99"/>
      <c r="L102" s="99"/>
      <c r="M102" s="99"/>
      <c r="N102" s="43">
        <f t="shared" si="1"/>
        <v>17345.443359375</v>
      </c>
      <c r="O102" s="43"/>
      <c r="P102" s="23"/>
      <c r="Q102" s="23"/>
    </row>
    <row r="103" spans="1:17">
      <c r="A103" s="23"/>
      <c r="B103" s="53">
        <v>93</v>
      </c>
      <c r="C103" s="58">
        <v>18542.3515625</v>
      </c>
      <c r="D103" s="59">
        <v>878000.6875</v>
      </c>
      <c r="E103" s="59">
        <v>0</v>
      </c>
      <c r="F103" s="59">
        <v>-27.10059928894043</v>
      </c>
      <c r="G103" s="42">
        <v>0</v>
      </c>
      <c r="H103" s="23"/>
      <c r="I103" s="23"/>
      <c r="J103" s="99"/>
      <c r="K103" s="99"/>
      <c r="L103" s="99"/>
      <c r="M103" s="99"/>
      <c r="N103" s="43">
        <f t="shared" si="1"/>
        <v>18542.3515625</v>
      </c>
      <c r="O103" s="43"/>
      <c r="P103" s="23"/>
      <c r="Q103" s="23"/>
    </row>
    <row r="104" spans="1:17">
      <c r="A104" s="23"/>
      <c r="B104" s="53">
        <v>94</v>
      </c>
      <c r="C104" s="58">
        <v>19821.8515625</v>
      </c>
      <c r="D104" s="59">
        <v>865210</v>
      </c>
      <c r="E104" s="59">
        <v>0</v>
      </c>
      <c r="F104" s="59">
        <v>-28.671039581298828</v>
      </c>
      <c r="G104" s="42">
        <v>0</v>
      </c>
      <c r="H104" s="23"/>
      <c r="I104" s="23"/>
      <c r="J104" s="99"/>
      <c r="K104" s="99"/>
      <c r="L104" s="99"/>
      <c r="M104" s="99"/>
      <c r="N104" s="43">
        <f t="shared" si="1"/>
        <v>19821.8515625</v>
      </c>
      <c r="O104" s="43"/>
      <c r="P104" s="23"/>
      <c r="Q104" s="23"/>
    </row>
    <row r="105" spans="1:17">
      <c r="A105" s="23"/>
      <c r="B105" s="53">
        <v>95</v>
      </c>
      <c r="C105" s="58">
        <v>21189.640625</v>
      </c>
      <c r="D105" s="59">
        <v>851161.1875</v>
      </c>
      <c r="E105" s="59">
        <v>0</v>
      </c>
      <c r="F105" s="59">
        <v>-30.306350708007813</v>
      </c>
      <c r="G105" s="42">
        <v>0</v>
      </c>
      <c r="H105" s="23"/>
      <c r="I105" s="23"/>
      <c r="J105" s="99"/>
      <c r="K105" s="99"/>
      <c r="L105" s="99"/>
      <c r="M105" s="99"/>
      <c r="N105" s="43">
        <f t="shared" si="1"/>
        <v>21189.640625</v>
      </c>
      <c r="O105" s="43"/>
      <c r="P105" s="23"/>
      <c r="Q105" s="23"/>
    </row>
    <row r="106" spans="1:17">
      <c r="A106" s="23"/>
      <c r="B106" s="53">
        <v>96</v>
      </c>
      <c r="C106" s="58">
        <v>22651.814453125</v>
      </c>
      <c r="D106" s="59">
        <v>836090.125</v>
      </c>
      <c r="E106" s="59">
        <v>0</v>
      </c>
      <c r="F106" s="59">
        <v>-31.98076057434082</v>
      </c>
      <c r="G106" s="42">
        <v>0</v>
      </c>
      <c r="H106" s="23"/>
      <c r="I106" s="23"/>
      <c r="J106" s="99"/>
      <c r="K106" s="99"/>
      <c r="L106" s="99"/>
      <c r="M106" s="99"/>
      <c r="N106" s="43">
        <f t="shared" si="1"/>
        <v>22651.814453125</v>
      </c>
      <c r="O106" s="43"/>
      <c r="P106" s="23"/>
      <c r="Q106" s="23"/>
    </row>
    <row r="107" spans="1:17">
      <c r="A107" s="23"/>
      <c r="B107" s="53">
        <v>97</v>
      </c>
      <c r="C107" s="58">
        <v>24214.884765625</v>
      </c>
      <c r="D107" s="59">
        <v>819702.625</v>
      </c>
      <c r="E107" s="59">
        <v>0</v>
      </c>
      <c r="F107" s="59">
        <v>-33.705429077148438</v>
      </c>
      <c r="G107" s="42">
        <v>0</v>
      </c>
      <c r="H107" s="23"/>
      <c r="I107" s="23"/>
      <c r="J107" s="99"/>
      <c r="K107" s="99"/>
      <c r="L107" s="99"/>
      <c r="M107" s="99"/>
      <c r="N107" s="43">
        <f t="shared" si="1"/>
        <v>24214.884765625</v>
      </c>
      <c r="O107" s="43"/>
      <c r="P107" s="23"/>
      <c r="Q107" s="23"/>
    </row>
    <row r="108" spans="1:17">
      <c r="A108" s="23"/>
      <c r="B108" s="53">
        <v>98</v>
      </c>
      <c r="C108" s="58">
        <v>25885.8125</v>
      </c>
      <c r="D108" s="59">
        <v>802136.6875</v>
      </c>
      <c r="E108" s="59">
        <v>0</v>
      </c>
      <c r="F108" s="59">
        <v>-35.473911285400391</v>
      </c>
      <c r="G108" s="42">
        <v>0</v>
      </c>
      <c r="H108" s="23"/>
      <c r="I108" s="23"/>
      <c r="J108" s="99"/>
      <c r="K108" s="99"/>
      <c r="L108" s="99"/>
      <c r="M108" s="99"/>
      <c r="N108" s="43">
        <f t="shared" si="1"/>
        <v>25885.8125</v>
      </c>
      <c r="O108" s="43"/>
      <c r="P108" s="23"/>
      <c r="Q108" s="23"/>
    </row>
    <row r="109" spans="1:17">
      <c r="A109" s="23"/>
      <c r="B109" s="53">
        <v>99</v>
      </c>
      <c r="C109" s="58">
        <v>27672.041015625</v>
      </c>
      <c r="D109" s="59">
        <v>783466.6875</v>
      </c>
      <c r="E109" s="59">
        <v>0</v>
      </c>
      <c r="F109" s="59">
        <v>-37.291370391845703</v>
      </c>
      <c r="G109" s="42">
        <v>0</v>
      </c>
      <c r="H109" s="23"/>
      <c r="I109" s="23"/>
      <c r="J109" s="99"/>
      <c r="K109" s="99"/>
      <c r="L109" s="99"/>
      <c r="M109" s="99"/>
      <c r="N109" s="43">
        <f t="shared" si="1"/>
        <v>27672.041015625</v>
      </c>
      <c r="O109" s="43"/>
      <c r="P109" s="23"/>
      <c r="Q109" s="23"/>
    </row>
    <row r="110" spans="1:17">
      <c r="A110" s="23"/>
      <c r="B110" s="53">
        <v>100</v>
      </c>
      <c r="C110" s="58">
        <v>29581.52734375</v>
      </c>
      <c r="D110" s="59">
        <v>763621.5</v>
      </c>
      <c r="E110" s="59">
        <v>0</v>
      </c>
      <c r="F110" s="59">
        <v>-39.133399963378906</v>
      </c>
      <c r="G110" s="42">
        <v>0</v>
      </c>
      <c r="H110" s="23"/>
      <c r="I110" s="23"/>
      <c r="J110" s="99"/>
      <c r="K110" s="99"/>
      <c r="L110" s="99"/>
      <c r="M110" s="99"/>
      <c r="N110" s="43">
        <f t="shared" si="1"/>
        <v>29581.52734375</v>
      </c>
      <c r="O110" s="43"/>
      <c r="P110" s="23"/>
      <c r="Q110" s="23"/>
    </row>
    <row r="111" spans="1:17">
      <c r="A111" s="23"/>
      <c r="B111" s="53">
        <v>101</v>
      </c>
      <c r="C111" s="58">
        <v>31622.77734375</v>
      </c>
      <c r="D111" s="59">
        <v>742764.875</v>
      </c>
      <c r="E111" s="59">
        <v>0</v>
      </c>
      <c r="F111" s="59">
        <v>-41.000770568847656</v>
      </c>
      <c r="G111" s="42">
        <v>0</v>
      </c>
      <c r="H111" s="23"/>
      <c r="I111" s="23"/>
      <c r="J111" s="99"/>
      <c r="K111" s="99"/>
      <c r="L111" s="99"/>
      <c r="M111" s="99"/>
      <c r="N111" s="43">
        <f t="shared" si="1"/>
        <v>31622.77734375</v>
      </c>
      <c r="O111" s="43"/>
      <c r="P111" s="23"/>
      <c r="Q111" s="23"/>
    </row>
    <row r="112" spans="1:17">
      <c r="A112" s="23"/>
      <c r="B112" s="53">
        <v>102</v>
      </c>
      <c r="C112" s="58">
        <v>33804.87890625</v>
      </c>
      <c r="D112" s="59">
        <v>720861.125</v>
      </c>
      <c r="E112" s="59">
        <v>0</v>
      </c>
      <c r="F112" s="59">
        <v>-42.880340576171875</v>
      </c>
      <c r="G112" s="42">
        <v>0</v>
      </c>
      <c r="H112" s="23"/>
      <c r="I112" s="23"/>
      <c r="J112" s="99"/>
      <c r="K112" s="99"/>
      <c r="L112" s="99"/>
      <c r="M112" s="99"/>
      <c r="N112" s="43">
        <f t="shared" si="1"/>
        <v>33804.87890625</v>
      </c>
      <c r="O112" s="43"/>
      <c r="P112" s="23"/>
      <c r="Q112" s="23"/>
    </row>
    <row r="113" spans="1:17">
      <c r="A113" s="23"/>
      <c r="B113" s="53">
        <v>103</v>
      </c>
      <c r="C113" s="58">
        <v>36137.55859375</v>
      </c>
      <c r="D113" s="59">
        <v>698043.6875</v>
      </c>
      <c r="E113" s="59">
        <v>0</v>
      </c>
      <c r="F113" s="59">
        <v>-44.776439666748047</v>
      </c>
      <c r="G113" s="42">
        <v>0</v>
      </c>
      <c r="H113" s="23"/>
      <c r="I113" s="23"/>
      <c r="J113" s="99"/>
      <c r="K113" s="99"/>
      <c r="L113" s="99"/>
      <c r="M113" s="99"/>
      <c r="N113" s="43">
        <f t="shared" si="1"/>
        <v>36137.55859375</v>
      </c>
      <c r="O113" s="43"/>
      <c r="P113" s="23"/>
      <c r="Q113" s="23"/>
    </row>
    <row r="114" spans="1:17">
      <c r="A114" s="23"/>
      <c r="B114" s="53">
        <v>104</v>
      </c>
      <c r="C114" s="58">
        <v>38631.19921875</v>
      </c>
      <c r="D114" s="59">
        <v>674551.625</v>
      </c>
      <c r="E114" s="59">
        <v>0</v>
      </c>
      <c r="F114" s="59">
        <v>-46.659549713134766</v>
      </c>
      <c r="G114" s="42">
        <v>0</v>
      </c>
      <c r="H114" s="23"/>
      <c r="I114" s="23"/>
      <c r="J114" s="99"/>
      <c r="K114" s="99"/>
      <c r="L114" s="99"/>
      <c r="M114" s="99"/>
      <c r="N114" s="43">
        <f t="shared" si="1"/>
        <v>38631.19921875</v>
      </c>
      <c r="O114" s="43"/>
      <c r="P114" s="23"/>
      <c r="Q114" s="23"/>
    </row>
    <row r="115" spans="1:17">
      <c r="A115" s="23"/>
      <c r="B115" s="53">
        <v>105</v>
      </c>
      <c r="C115" s="58">
        <v>41296.9140625</v>
      </c>
      <c r="D115" s="59">
        <v>650425</v>
      </c>
      <c r="E115" s="59">
        <v>0</v>
      </c>
      <c r="F115" s="59">
        <v>-48.547580718994141</v>
      </c>
      <c r="G115" s="42">
        <v>0</v>
      </c>
      <c r="H115" s="23"/>
      <c r="I115" s="23"/>
      <c r="J115" s="99"/>
      <c r="K115" s="99"/>
      <c r="L115" s="99"/>
      <c r="M115" s="99"/>
      <c r="N115" s="43">
        <f t="shared" si="1"/>
        <v>41296.9140625</v>
      </c>
      <c r="O115" s="43"/>
      <c r="P115" s="23"/>
      <c r="Q115" s="23"/>
    </row>
    <row r="116" spans="1:17">
      <c r="A116" s="23"/>
      <c r="B116" s="53">
        <v>106</v>
      </c>
      <c r="C116" s="58">
        <v>44146.57421875</v>
      </c>
      <c r="D116" s="59">
        <v>625692.5</v>
      </c>
      <c r="E116" s="59">
        <v>0</v>
      </c>
      <c r="F116" s="59">
        <v>-50.416671752929688</v>
      </c>
      <c r="G116" s="42">
        <v>0</v>
      </c>
      <c r="H116" s="23"/>
      <c r="I116" s="23"/>
      <c r="J116" s="99"/>
      <c r="K116" s="99"/>
      <c r="L116" s="99"/>
      <c r="M116" s="99"/>
      <c r="N116" s="43">
        <f t="shared" si="1"/>
        <v>44146.57421875</v>
      </c>
      <c r="O116" s="43"/>
      <c r="P116" s="23"/>
      <c r="Q116" s="23"/>
    </row>
    <row r="117" spans="1:17">
      <c r="A117" s="23"/>
      <c r="B117" s="53">
        <v>107</v>
      </c>
      <c r="C117" s="58">
        <v>47192.87109375</v>
      </c>
      <c r="D117" s="59">
        <v>600747.375</v>
      </c>
      <c r="E117" s="59">
        <v>0</v>
      </c>
      <c r="F117" s="59">
        <v>-52.253490447998047</v>
      </c>
      <c r="G117" s="42">
        <v>0</v>
      </c>
      <c r="H117" s="23"/>
      <c r="I117" s="23"/>
      <c r="J117" s="99"/>
      <c r="K117" s="99"/>
      <c r="L117" s="99"/>
      <c r="M117" s="99"/>
      <c r="N117" s="43">
        <f t="shared" si="1"/>
        <v>47192.87109375</v>
      </c>
      <c r="O117" s="43"/>
      <c r="P117" s="23"/>
      <c r="Q117" s="23"/>
    </row>
    <row r="118" spans="1:17">
      <c r="A118" s="23"/>
      <c r="B118" s="53">
        <v>108</v>
      </c>
      <c r="C118" s="58">
        <v>50449.375</v>
      </c>
      <c r="D118" s="59">
        <v>575618.8125</v>
      </c>
      <c r="E118" s="59">
        <v>0</v>
      </c>
      <c r="F118" s="59">
        <v>-54.060291290283203</v>
      </c>
      <c r="G118" s="42">
        <v>0</v>
      </c>
      <c r="H118" s="23"/>
      <c r="I118" s="23"/>
      <c r="J118" s="99"/>
      <c r="K118" s="99"/>
      <c r="L118" s="99"/>
      <c r="M118" s="99"/>
      <c r="N118" s="43">
        <f t="shared" si="1"/>
        <v>50449.375</v>
      </c>
      <c r="O118" s="43"/>
      <c r="P118" s="23"/>
      <c r="Q118" s="23"/>
    </row>
    <row r="119" spans="1:17">
      <c r="A119" s="23"/>
      <c r="B119" s="53">
        <v>109</v>
      </c>
      <c r="C119" s="58">
        <v>53930.59375</v>
      </c>
      <c r="D119" s="59">
        <v>550413.625</v>
      </c>
      <c r="E119" s="59">
        <v>0</v>
      </c>
      <c r="F119" s="59">
        <v>-55.833629608154297</v>
      </c>
      <c r="G119" s="42">
        <v>0</v>
      </c>
      <c r="H119" s="23"/>
      <c r="I119" s="23"/>
      <c r="J119" s="99"/>
      <c r="K119" s="99"/>
      <c r="L119" s="99"/>
      <c r="M119" s="99"/>
      <c r="N119" s="43">
        <f t="shared" si="1"/>
        <v>53930.59375</v>
      </c>
      <c r="O119" s="43"/>
      <c r="P119" s="23"/>
      <c r="Q119" s="23"/>
    </row>
    <row r="120" spans="1:17">
      <c r="A120" s="23"/>
      <c r="B120" s="53">
        <v>110</v>
      </c>
      <c r="C120" s="58">
        <v>57652.03125</v>
      </c>
      <c r="D120" s="59">
        <v>525340.625</v>
      </c>
      <c r="E120" s="59">
        <v>0</v>
      </c>
      <c r="F120" s="59">
        <v>-57.566440582275391</v>
      </c>
      <c r="G120" s="42">
        <v>0</v>
      </c>
      <c r="H120" s="23"/>
      <c r="I120" s="23"/>
      <c r="J120" s="99"/>
      <c r="K120" s="99"/>
      <c r="L120" s="99"/>
      <c r="M120" s="99"/>
      <c r="N120" s="43">
        <f t="shared" si="1"/>
        <v>57652.03125</v>
      </c>
      <c r="O120" s="43"/>
      <c r="P120" s="23"/>
      <c r="Q120" s="23"/>
    </row>
    <row r="121" spans="1:17">
      <c r="A121" s="23"/>
      <c r="B121" s="53">
        <v>111</v>
      </c>
      <c r="C121" s="58">
        <v>61630.26171875</v>
      </c>
      <c r="D121" s="59">
        <v>500508.1875</v>
      </c>
      <c r="E121" s="59">
        <v>0</v>
      </c>
      <c r="F121" s="59">
        <v>-59.243499755859375</v>
      </c>
      <c r="G121" s="42">
        <v>0</v>
      </c>
      <c r="H121" s="23"/>
      <c r="I121" s="23"/>
      <c r="J121" s="99"/>
      <c r="K121" s="99"/>
      <c r="L121" s="99"/>
      <c r="M121" s="99"/>
      <c r="N121" s="43">
        <f t="shared" si="1"/>
        <v>61630.26171875</v>
      </c>
      <c r="O121" s="43"/>
      <c r="P121" s="23"/>
      <c r="Q121" s="23"/>
    </row>
    <row r="122" spans="1:17">
      <c r="A122" s="23"/>
      <c r="B122" s="53">
        <v>112</v>
      </c>
      <c r="C122" s="58">
        <v>65883.0078125</v>
      </c>
      <c r="D122" s="59">
        <v>476083.8125</v>
      </c>
      <c r="E122" s="59">
        <v>0</v>
      </c>
      <c r="F122" s="59">
        <v>-60.869041442871094</v>
      </c>
      <c r="G122" s="42">
        <v>0</v>
      </c>
      <c r="H122" s="23"/>
      <c r="I122" s="23"/>
      <c r="J122" s="99"/>
      <c r="K122" s="99"/>
      <c r="L122" s="99"/>
      <c r="M122" s="99"/>
      <c r="N122" s="43">
        <f t="shared" si="1"/>
        <v>65883.0078125</v>
      </c>
      <c r="O122" s="43"/>
      <c r="P122" s="23"/>
      <c r="Q122" s="23"/>
    </row>
    <row r="123" spans="1:17">
      <c r="A123" s="23"/>
      <c r="B123" s="53">
        <v>113</v>
      </c>
      <c r="C123" s="58">
        <v>70429.203125</v>
      </c>
      <c r="D123" s="59">
        <v>452116</v>
      </c>
      <c r="E123" s="59">
        <v>0</v>
      </c>
      <c r="F123" s="59">
        <v>-62.451339721679688</v>
      </c>
      <c r="G123" s="42">
        <v>0</v>
      </c>
      <c r="H123" s="23"/>
      <c r="I123" s="23"/>
      <c r="J123" s="99"/>
      <c r="K123" s="99"/>
      <c r="L123" s="99"/>
      <c r="M123" s="99"/>
      <c r="N123" s="43">
        <f t="shared" si="1"/>
        <v>70429.203125</v>
      </c>
      <c r="O123" s="43"/>
      <c r="P123" s="23"/>
      <c r="Q123" s="23"/>
    </row>
    <row r="124" spans="1:17">
      <c r="A124" s="23"/>
      <c r="B124" s="53">
        <v>114</v>
      </c>
      <c r="C124" s="58">
        <v>75289.1171875</v>
      </c>
      <c r="D124" s="59">
        <v>428694.6875</v>
      </c>
      <c r="E124" s="59">
        <v>0</v>
      </c>
      <c r="F124" s="59">
        <v>-63.952301025390625</v>
      </c>
      <c r="G124" s="42">
        <v>0</v>
      </c>
      <c r="H124" s="23"/>
      <c r="I124" s="23"/>
      <c r="J124" s="99"/>
      <c r="K124" s="99"/>
      <c r="L124" s="99"/>
      <c r="M124" s="99"/>
      <c r="N124" s="43">
        <f t="shared" si="1"/>
        <v>75289.1171875</v>
      </c>
      <c r="O124" s="43"/>
      <c r="P124" s="23"/>
      <c r="Q124" s="23"/>
    </row>
    <row r="125" spans="1:17">
      <c r="A125" s="23"/>
      <c r="B125" s="53">
        <v>115</v>
      </c>
      <c r="C125" s="58">
        <v>80484.3828125</v>
      </c>
      <c r="D125" s="59">
        <v>405955.90625</v>
      </c>
      <c r="E125" s="59">
        <v>0</v>
      </c>
      <c r="F125" s="59">
        <v>-65.408096313476563</v>
      </c>
      <c r="G125" s="42">
        <v>0</v>
      </c>
      <c r="H125" s="23"/>
      <c r="I125" s="23"/>
      <c r="J125" s="99"/>
      <c r="K125" s="99"/>
      <c r="L125" s="99"/>
      <c r="M125" s="99"/>
      <c r="N125" s="43">
        <f t="shared" si="1"/>
        <v>80484.3828125</v>
      </c>
      <c r="O125" s="43"/>
      <c r="P125" s="23"/>
      <c r="Q125" s="23"/>
    </row>
    <row r="126" spans="1:17">
      <c r="A126" s="23"/>
      <c r="B126" s="53">
        <v>116</v>
      </c>
      <c r="C126" s="58">
        <v>86038.140625</v>
      </c>
      <c r="D126" s="59">
        <v>383963.59375</v>
      </c>
      <c r="E126" s="59">
        <v>0</v>
      </c>
      <c r="F126" s="59">
        <v>-66.794120788574219</v>
      </c>
      <c r="G126" s="42">
        <v>0</v>
      </c>
      <c r="H126" s="23"/>
      <c r="I126" s="23"/>
      <c r="J126" s="99"/>
      <c r="K126" s="99"/>
      <c r="L126" s="99"/>
      <c r="M126" s="99"/>
      <c r="N126" s="43">
        <f t="shared" si="1"/>
        <v>86038.140625</v>
      </c>
      <c r="O126" s="43"/>
      <c r="P126" s="23"/>
      <c r="Q126" s="23"/>
    </row>
    <row r="127" spans="1:17">
      <c r="A127" s="23"/>
      <c r="B127" s="53">
        <v>117</v>
      </c>
      <c r="C127" s="58">
        <v>91975.125</v>
      </c>
      <c r="D127" s="59">
        <v>362742.09375</v>
      </c>
      <c r="E127" s="59">
        <v>0</v>
      </c>
      <c r="F127" s="59">
        <v>-68.114959716796875</v>
      </c>
      <c r="G127" s="42">
        <v>0</v>
      </c>
      <c r="H127" s="23"/>
      <c r="I127" s="23"/>
      <c r="J127" s="99"/>
      <c r="K127" s="99"/>
      <c r="L127" s="99"/>
      <c r="M127" s="99"/>
      <c r="N127" s="43">
        <f t="shared" si="1"/>
        <v>91975.125</v>
      </c>
      <c r="O127" s="43"/>
      <c r="P127" s="23"/>
      <c r="Q127" s="23"/>
    </row>
    <row r="128" spans="1:17">
      <c r="A128" s="23"/>
      <c r="B128" s="53">
        <v>118</v>
      </c>
      <c r="C128" s="58">
        <v>98321.796875</v>
      </c>
      <c r="D128" s="59">
        <v>342397.59375</v>
      </c>
      <c r="E128" s="59">
        <v>0</v>
      </c>
      <c r="F128" s="59">
        <v>-69.370536804199219</v>
      </c>
      <c r="G128" s="42">
        <v>0</v>
      </c>
      <c r="H128" s="23"/>
      <c r="I128" s="23"/>
      <c r="J128" s="99"/>
      <c r="K128" s="99"/>
      <c r="L128" s="99"/>
      <c r="M128" s="99"/>
      <c r="N128" s="43">
        <f t="shared" si="1"/>
        <v>98321.796875</v>
      </c>
      <c r="O128" s="43"/>
      <c r="P128" s="23"/>
      <c r="Q128" s="23"/>
    </row>
    <row r="129" spans="1:17">
      <c r="A129" s="23"/>
      <c r="B129" s="53">
        <v>119</v>
      </c>
      <c r="C129" s="58">
        <v>105106.40625</v>
      </c>
      <c r="D129" s="59">
        <v>322837.8125</v>
      </c>
      <c r="E129" s="59">
        <v>0</v>
      </c>
      <c r="F129" s="59">
        <v>-70.570953369140625</v>
      </c>
      <c r="G129" s="42">
        <v>0</v>
      </c>
      <c r="H129" s="23"/>
      <c r="I129" s="23"/>
      <c r="J129" s="99"/>
      <c r="K129" s="99"/>
      <c r="L129" s="99"/>
      <c r="M129" s="99"/>
      <c r="N129" s="43">
        <f t="shared" si="1"/>
        <v>105106.40625</v>
      </c>
      <c r="O129" s="43"/>
      <c r="P129" s="23"/>
      <c r="Q129" s="23"/>
    </row>
    <row r="130" spans="1:17">
      <c r="A130" s="23"/>
      <c r="B130" s="53">
        <v>120</v>
      </c>
      <c r="C130" s="58">
        <v>112359.1875</v>
      </c>
      <c r="D130" s="59">
        <v>304129.6875</v>
      </c>
      <c r="E130" s="59">
        <v>0</v>
      </c>
      <c r="F130" s="59">
        <v>-71.714057922363281</v>
      </c>
      <c r="G130" s="42">
        <v>0</v>
      </c>
      <c r="H130" s="23"/>
      <c r="I130" s="23"/>
      <c r="J130" s="99"/>
      <c r="K130" s="99"/>
      <c r="L130" s="99"/>
      <c r="M130" s="99"/>
      <c r="N130" s="43">
        <f t="shared" si="1"/>
        <v>112359.1875</v>
      </c>
      <c r="O130" s="43"/>
      <c r="P130" s="23"/>
      <c r="Q130" s="23"/>
    </row>
    <row r="131" spans="1:17">
      <c r="A131" s="23"/>
      <c r="B131" s="53">
        <v>121</v>
      </c>
      <c r="C131" s="58">
        <v>120112.4453125</v>
      </c>
      <c r="D131" s="59">
        <v>286320.40625</v>
      </c>
      <c r="E131" s="59">
        <v>0</v>
      </c>
      <c r="F131" s="59">
        <v>-72.791648864746094</v>
      </c>
      <c r="G131" s="42">
        <v>0</v>
      </c>
      <c r="H131" s="23"/>
      <c r="I131" s="23"/>
      <c r="J131" s="99"/>
      <c r="K131" s="99"/>
      <c r="L131" s="99"/>
      <c r="M131" s="99"/>
      <c r="N131" s="43">
        <f t="shared" si="1"/>
        <v>120112.4453125</v>
      </c>
      <c r="O131" s="43"/>
      <c r="P131" s="23"/>
      <c r="Q131" s="23"/>
    </row>
    <row r="132" spans="1:17">
      <c r="A132" s="23"/>
      <c r="B132" s="53">
        <v>122</v>
      </c>
      <c r="C132" s="58">
        <v>128400.703125</v>
      </c>
      <c r="D132" s="59">
        <v>269356.8125</v>
      </c>
      <c r="E132" s="59">
        <v>0</v>
      </c>
      <c r="F132" s="59">
        <v>-73.815338134765625</v>
      </c>
      <c r="G132" s="42">
        <v>0</v>
      </c>
      <c r="H132" s="23"/>
      <c r="I132" s="23"/>
      <c r="J132" s="99"/>
      <c r="K132" s="99"/>
      <c r="L132" s="99"/>
      <c r="M132" s="99"/>
      <c r="N132" s="43">
        <f t="shared" si="1"/>
        <v>128400.703125</v>
      </c>
      <c r="O132" s="43"/>
      <c r="P132" s="23"/>
      <c r="Q132" s="23"/>
    </row>
    <row r="133" spans="1:17">
      <c r="A133" s="23"/>
      <c r="B133" s="53">
        <v>123</v>
      </c>
      <c r="C133" s="58">
        <v>137260.890625</v>
      </c>
      <c r="D133" s="59">
        <v>253159.296875</v>
      </c>
      <c r="E133" s="59">
        <v>0</v>
      </c>
      <c r="F133" s="59">
        <v>-74.764358520507813</v>
      </c>
      <c r="G133" s="42">
        <v>0</v>
      </c>
      <c r="H133" s="23"/>
      <c r="I133" s="23"/>
      <c r="J133" s="99"/>
      <c r="K133" s="99"/>
      <c r="L133" s="99"/>
      <c r="M133" s="99"/>
      <c r="N133" s="43">
        <f t="shared" si="1"/>
        <v>137260.890625</v>
      </c>
      <c r="O133" s="43"/>
      <c r="P133" s="23"/>
      <c r="Q133" s="23"/>
    </row>
    <row r="134" spans="1:17">
      <c r="A134" s="23"/>
      <c r="B134" s="53">
        <v>124</v>
      </c>
      <c r="C134" s="58">
        <v>146732.46875</v>
      </c>
      <c r="D134" s="59">
        <v>237871.90625</v>
      </c>
      <c r="E134" s="59">
        <v>0</v>
      </c>
      <c r="F134" s="59">
        <v>-75.673980712890625</v>
      </c>
      <c r="G134" s="42">
        <v>0</v>
      </c>
      <c r="H134" s="23"/>
      <c r="I134" s="23"/>
      <c r="J134" s="99"/>
      <c r="K134" s="99"/>
      <c r="L134" s="99"/>
      <c r="M134" s="99"/>
      <c r="N134" s="43">
        <f t="shared" si="1"/>
        <v>146732.46875</v>
      </c>
      <c r="O134" s="43"/>
      <c r="P134" s="23"/>
      <c r="Q134" s="23"/>
    </row>
    <row r="135" spans="1:17">
      <c r="A135" s="23"/>
      <c r="B135" s="53">
        <v>125</v>
      </c>
      <c r="C135" s="58">
        <v>156857.609375</v>
      </c>
      <c r="D135" s="59">
        <v>223420</v>
      </c>
      <c r="E135" s="59">
        <v>0</v>
      </c>
      <c r="F135" s="59">
        <v>-76.534492492675781</v>
      </c>
      <c r="G135" s="42">
        <v>0</v>
      </c>
      <c r="H135" s="23"/>
      <c r="I135" s="23"/>
      <c r="J135" s="99"/>
      <c r="K135" s="99"/>
      <c r="L135" s="99"/>
      <c r="M135" s="99"/>
      <c r="N135" s="43">
        <f t="shared" si="1"/>
        <v>156857.609375</v>
      </c>
      <c r="O135" s="43"/>
      <c r="P135" s="23"/>
      <c r="Q135" s="23"/>
    </row>
    <row r="136" spans="1:17">
      <c r="A136" s="23"/>
      <c r="B136" s="53">
        <v>126</v>
      </c>
      <c r="C136" s="58">
        <v>167681.4375</v>
      </c>
      <c r="D136" s="59">
        <v>209784.796875</v>
      </c>
      <c r="E136" s="59">
        <v>0</v>
      </c>
      <c r="F136" s="59">
        <v>-77.346336364746094</v>
      </c>
      <c r="G136" s="42">
        <v>0</v>
      </c>
      <c r="H136" s="23"/>
      <c r="I136" s="23"/>
      <c r="J136" s="99"/>
      <c r="K136" s="99"/>
      <c r="L136" s="99"/>
      <c r="M136" s="99"/>
      <c r="N136" s="43">
        <f t="shared" si="1"/>
        <v>167681.4375</v>
      </c>
      <c r="O136" s="43"/>
      <c r="P136" s="23"/>
      <c r="Q136" s="23"/>
    </row>
    <row r="137" spans="1:17">
      <c r="A137" s="23"/>
      <c r="B137" s="53">
        <v>127</v>
      </c>
      <c r="C137" s="58">
        <v>179252.15625</v>
      </c>
      <c r="D137" s="59">
        <v>196877.796875</v>
      </c>
      <c r="E137" s="59">
        <v>0</v>
      </c>
      <c r="F137" s="59">
        <v>-78.110977172851563</v>
      </c>
      <c r="G137" s="42">
        <v>0</v>
      </c>
      <c r="H137" s="23"/>
      <c r="I137" s="23"/>
      <c r="J137" s="99"/>
      <c r="K137" s="99"/>
      <c r="L137" s="99"/>
      <c r="M137" s="99"/>
      <c r="N137" s="43">
        <f t="shared" si="1"/>
        <v>179252.15625</v>
      </c>
      <c r="O137" s="43"/>
      <c r="P137" s="23"/>
      <c r="Q137" s="23"/>
    </row>
    <row r="138" spans="1:17">
      <c r="A138" s="23"/>
      <c r="B138" s="53">
        <v>128</v>
      </c>
      <c r="C138" s="58">
        <v>191621.3125</v>
      </c>
      <c r="D138" s="59">
        <v>184701.796875</v>
      </c>
      <c r="E138" s="59">
        <v>0</v>
      </c>
      <c r="F138" s="59">
        <v>-78.831260681152344</v>
      </c>
      <c r="G138" s="42">
        <v>0</v>
      </c>
      <c r="H138" s="23"/>
      <c r="I138" s="23"/>
      <c r="J138" s="99"/>
      <c r="K138" s="99"/>
      <c r="L138" s="99"/>
      <c r="M138" s="99"/>
      <c r="N138" s="43">
        <f t="shared" si="1"/>
        <v>191621.3125</v>
      </c>
      <c r="O138" s="43"/>
      <c r="P138" s="23"/>
      <c r="Q138" s="23"/>
    </row>
    <row r="139" spans="1:17">
      <c r="A139" s="23"/>
      <c r="B139" s="53">
        <v>129</v>
      </c>
      <c r="C139" s="58">
        <v>204843.984375</v>
      </c>
      <c r="D139" s="59">
        <v>173226.40625</v>
      </c>
      <c r="E139" s="59">
        <v>0</v>
      </c>
      <c r="F139" s="59">
        <v>-79.501609802246094</v>
      </c>
      <c r="G139" s="42">
        <v>0</v>
      </c>
      <c r="H139" s="23"/>
      <c r="I139" s="23"/>
      <c r="J139" s="99"/>
      <c r="K139" s="99"/>
      <c r="L139" s="99"/>
      <c r="M139" s="99"/>
      <c r="N139" s="43">
        <f t="shared" ref="N139:N202" si="2">IF($L$4=$C$10,C139,IF(D139="","",B139))</f>
        <v>204843.984375</v>
      </c>
      <c r="O139" s="43"/>
      <c r="P139" s="23"/>
      <c r="Q139" s="23"/>
    </row>
    <row r="140" spans="1:17">
      <c r="A140" s="23"/>
      <c r="B140" s="53">
        <v>130</v>
      </c>
      <c r="C140" s="58">
        <v>218979.0625</v>
      </c>
      <c r="D140" s="59">
        <v>162422.09375</v>
      </c>
      <c r="E140" s="59">
        <v>0</v>
      </c>
      <c r="F140" s="59">
        <v>-80.141471862792969</v>
      </c>
      <c r="G140" s="42">
        <v>0</v>
      </c>
      <c r="H140" s="23"/>
      <c r="I140" s="23"/>
      <c r="J140" s="99"/>
      <c r="K140" s="99"/>
      <c r="L140" s="99"/>
      <c r="M140" s="99"/>
      <c r="N140" s="43">
        <f t="shared" si="2"/>
        <v>218979.0625</v>
      </c>
      <c r="O140" s="43"/>
      <c r="P140" s="23"/>
      <c r="Q140" s="23"/>
    </row>
    <row r="141" spans="1:17">
      <c r="A141" s="23"/>
      <c r="B141" s="53">
        <v>131</v>
      </c>
      <c r="C141" s="58">
        <v>234089.53125</v>
      </c>
      <c r="D141" s="59">
        <v>152252.40625</v>
      </c>
      <c r="E141" s="59">
        <v>0</v>
      </c>
      <c r="F141" s="59">
        <v>-80.731781005859375</v>
      </c>
      <c r="G141" s="42">
        <v>0</v>
      </c>
      <c r="H141" s="23"/>
      <c r="I141" s="23"/>
      <c r="J141" s="99"/>
      <c r="K141" s="99"/>
      <c r="L141" s="99"/>
      <c r="M141" s="99"/>
      <c r="N141" s="43">
        <f t="shared" si="2"/>
        <v>234089.53125</v>
      </c>
      <c r="O141" s="43"/>
      <c r="P141" s="23"/>
      <c r="Q141" s="23"/>
    </row>
    <row r="142" spans="1:17">
      <c r="A142" s="23"/>
      <c r="B142" s="53">
        <v>132</v>
      </c>
      <c r="C142" s="58">
        <v>250242.6875</v>
      </c>
      <c r="D142" s="59">
        <v>142715.59375</v>
      </c>
      <c r="E142" s="59">
        <v>0</v>
      </c>
      <c r="F142" s="59">
        <v>-81.294120788574219</v>
      </c>
      <c r="G142" s="42">
        <v>0</v>
      </c>
      <c r="H142" s="23"/>
      <c r="I142" s="23"/>
      <c r="J142" s="99"/>
      <c r="K142" s="99"/>
      <c r="L142" s="99"/>
      <c r="M142" s="99"/>
      <c r="N142" s="43">
        <f t="shared" si="2"/>
        <v>250242.6875</v>
      </c>
      <c r="O142" s="43"/>
      <c r="P142" s="23"/>
      <c r="Q142" s="23"/>
    </row>
    <row r="143" spans="1:17">
      <c r="A143" s="23"/>
      <c r="B143" s="53">
        <v>133</v>
      </c>
      <c r="C143" s="58">
        <v>267510.46875</v>
      </c>
      <c r="D143" s="59">
        <v>133736.203125</v>
      </c>
      <c r="E143" s="59">
        <v>0</v>
      </c>
      <c r="F143" s="59">
        <v>-81.817146301269531</v>
      </c>
      <c r="G143" s="42">
        <v>0</v>
      </c>
      <c r="H143" s="23"/>
      <c r="I143" s="23"/>
      <c r="J143" s="99"/>
      <c r="K143" s="99"/>
      <c r="L143" s="99"/>
      <c r="M143" s="99"/>
      <c r="N143" s="43">
        <f t="shared" si="2"/>
        <v>267510.46875</v>
      </c>
      <c r="O143" s="43"/>
      <c r="P143" s="23"/>
      <c r="Q143" s="23"/>
    </row>
    <row r="144" spans="1:17">
      <c r="A144" s="23"/>
      <c r="B144" s="53">
        <v>134</v>
      </c>
      <c r="C144" s="58">
        <v>285969.8125</v>
      </c>
      <c r="D144" s="59">
        <v>125288</v>
      </c>
      <c r="E144" s="59">
        <v>0</v>
      </c>
      <c r="F144" s="59">
        <v>-82.306053161621094</v>
      </c>
      <c r="G144" s="42">
        <v>0</v>
      </c>
      <c r="H144" s="23"/>
      <c r="I144" s="23"/>
      <c r="J144" s="99"/>
      <c r="K144" s="99"/>
      <c r="L144" s="99"/>
      <c r="M144" s="99"/>
      <c r="N144" s="43">
        <f t="shared" si="2"/>
        <v>285969.8125</v>
      </c>
      <c r="O144" s="43"/>
      <c r="P144" s="23"/>
      <c r="Q144" s="23"/>
    </row>
    <row r="145" spans="1:17">
      <c r="A145" s="23"/>
      <c r="B145" s="53">
        <v>135</v>
      </c>
      <c r="C145" s="58">
        <v>305702.9375</v>
      </c>
      <c r="D145" s="59">
        <v>117369.296875</v>
      </c>
      <c r="E145" s="59">
        <v>0</v>
      </c>
      <c r="F145" s="59">
        <v>-82.758979797363281</v>
      </c>
      <c r="G145" s="42">
        <v>0</v>
      </c>
      <c r="H145" s="23"/>
      <c r="I145" s="23"/>
      <c r="J145" s="99"/>
      <c r="K145" s="99"/>
      <c r="L145" s="99"/>
      <c r="M145" s="99"/>
      <c r="N145" s="43">
        <f t="shared" si="2"/>
        <v>305702.9375</v>
      </c>
      <c r="O145" s="43"/>
      <c r="P145" s="23"/>
      <c r="Q145" s="23"/>
    </row>
    <row r="146" spans="1:17">
      <c r="A146" s="23"/>
      <c r="B146" s="53">
        <v>136</v>
      </c>
      <c r="C146" s="58">
        <v>326797.71875</v>
      </c>
      <c r="D146" s="59">
        <v>109946.703125</v>
      </c>
      <c r="E146" s="59">
        <v>0</v>
      </c>
      <c r="F146" s="59">
        <v>-83.199722290039063</v>
      </c>
      <c r="G146" s="42">
        <v>0</v>
      </c>
      <c r="H146" s="23"/>
      <c r="I146" s="23"/>
      <c r="J146" s="99"/>
      <c r="K146" s="99"/>
      <c r="L146" s="99"/>
      <c r="M146" s="99"/>
      <c r="N146" s="43">
        <f t="shared" si="2"/>
        <v>326797.71875</v>
      </c>
      <c r="O146" s="43"/>
      <c r="P146" s="23"/>
      <c r="Q146" s="23"/>
    </row>
    <row r="147" spans="1:17">
      <c r="A147" s="23"/>
      <c r="B147" s="53">
        <v>137</v>
      </c>
      <c r="C147" s="58">
        <v>349348.125</v>
      </c>
      <c r="D147" s="59">
        <v>102978.203125</v>
      </c>
      <c r="E147" s="59">
        <v>0</v>
      </c>
      <c r="F147" s="59">
        <v>-83.6085205078125</v>
      </c>
      <c r="G147" s="42">
        <v>0</v>
      </c>
      <c r="H147" s="23"/>
      <c r="I147" s="23"/>
      <c r="J147" s="99"/>
      <c r="K147" s="99"/>
      <c r="L147" s="99"/>
      <c r="M147" s="99"/>
      <c r="N147" s="43">
        <f t="shared" si="2"/>
        <v>349348.125</v>
      </c>
      <c r="O147" s="43"/>
      <c r="P147" s="23"/>
      <c r="Q147" s="23"/>
    </row>
    <row r="148" spans="1:17">
      <c r="A148" s="23"/>
      <c r="B148" s="53">
        <v>138</v>
      </c>
      <c r="C148" s="58">
        <v>373454.59375</v>
      </c>
      <c r="D148" s="59">
        <v>96440.1171875</v>
      </c>
      <c r="E148" s="59">
        <v>0</v>
      </c>
      <c r="F148" s="59">
        <v>-83.988677978515625</v>
      </c>
      <c r="G148" s="42">
        <v>0</v>
      </c>
      <c r="H148" s="23"/>
      <c r="I148" s="23"/>
      <c r="J148" s="99"/>
      <c r="K148" s="99"/>
      <c r="L148" s="99"/>
      <c r="M148" s="99"/>
      <c r="N148" s="43">
        <f t="shared" si="2"/>
        <v>373454.59375</v>
      </c>
      <c r="O148" s="43"/>
      <c r="P148" s="23"/>
      <c r="Q148" s="23"/>
    </row>
    <row r="149" spans="1:17">
      <c r="A149" s="23"/>
      <c r="B149" s="53">
        <v>139</v>
      </c>
      <c r="C149" s="58">
        <v>399224.53125</v>
      </c>
      <c r="D149" s="59">
        <v>90310.546875</v>
      </c>
      <c r="E149" s="59">
        <v>0</v>
      </c>
      <c r="F149" s="59">
        <v>-84.340507507324219</v>
      </c>
      <c r="G149" s="42">
        <v>0</v>
      </c>
      <c r="H149" s="23"/>
      <c r="I149" s="23"/>
      <c r="J149" s="99"/>
      <c r="K149" s="99"/>
      <c r="L149" s="99"/>
      <c r="M149" s="99"/>
      <c r="N149" s="43">
        <f t="shared" si="2"/>
        <v>399224.53125</v>
      </c>
      <c r="O149" s="43"/>
      <c r="P149" s="23"/>
      <c r="Q149" s="23"/>
    </row>
    <row r="150" spans="1:17">
      <c r="A150" s="23"/>
      <c r="B150" s="53">
        <v>140</v>
      </c>
      <c r="C150" s="58">
        <v>426772.6875</v>
      </c>
      <c r="D150" s="59">
        <v>84567.9375</v>
      </c>
      <c r="E150" s="59">
        <v>0</v>
      </c>
      <c r="F150" s="59">
        <v>-84.674568176269531</v>
      </c>
      <c r="G150" s="42">
        <v>0</v>
      </c>
      <c r="H150" s="23"/>
      <c r="I150" s="23"/>
      <c r="J150" s="99"/>
      <c r="K150" s="99"/>
      <c r="L150" s="99"/>
      <c r="M150" s="99"/>
      <c r="N150" s="43">
        <f t="shared" si="2"/>
        <v>426772.6875</v>
      </c>
      <c r="O150" s="43"/>
      <c r="P150" s="23"/>
      <c r="Q150" s="23"/>
    </row>
    <row r="151" spans="1:17">
      <c r="A151" s="23"/>
      <c r="B151" s="53">
        <v>141</v>
      </c>
      <c r="C151" s="58">
        <v>456221.78125</v>
      </c>
      <c r="D151" s="59">
        <v>79184</v>
      </c>
      <c r="E151" s="59">
        <v>0</v>
      </c>
      <c r="F151" s="59">
        <v>-84.99188232421875</v>
      </c>
      <c r="G151" s="42">
        <v>0</v>
      </c>
      <c r="H151" s="23"/>
      <c r="I151" s="23"/>
      <c r="J151" s="99"/>
      <c r="K151" s="99"/>
      <c r="L151" s="99"/>
      <c r="M151" s="99"/>
      <c r="N151" s="43">
        <f t="shared" si="2"/>
        <v>456221.78125</v>
      </c>
      <c r="O151" s="43"/>
      <c r="P151" s="23"/>
      <c r="Q151" s="23"/>
    </row>
    <row r="152" spans="1:17">
      <c r="A152" s="23"/>
      <c r="B152" s="53">
        <v>142</v>
      </c>
      <c r="C152" s="58">
        <v>487702.96875</v>
      </c>
      <c r="D152" s="59">
        <v>74147.2578125</v>
      </c>
      <c r="E152" s="59">
        <v>0</v>
      </c>
      <c r="F152" s="59">
        <v>-85.284072875976563</v>
      </c>
      <c r="G152" s="42">
        <v>0</v>
      </c>
      <c r="H152" s="23"/>
      <c r="I152" s="23"/>
      <c r="J152" s="99"/>
      <c r="K152" s="99"/>
      <c r="L152" s="99"/>
      <c r="M152" s="99"/>
      <c r="N152" s="43">
        <f t="shared" si="2"/>
        <v>487702.96875</v>
      </c>
      <c r="O152" s="43"/>
      <c r="P152" s="23"/>
      <c r="Q152" s="23"/>
    </row>
    <row r="153" spans="1:17">
      <c r="A153" s="23"/>
      <c r="B153" s="53">
        <v>143</v>
      </c>
      <c r="C153" s="58">
        <v>521356.5</v>
      </c>
      <c r="D153" s="59">
        <v>69425.34375</v>
      </c>
      <c r="E153" s="59">
        <v>0</v>
      </c>
      <c r="F153" s="59">
        <v>-85.560539245605469</v>
      </c>
      <c r="G153" s="42">
        <v>0</v>
      </c>
      <c r="H153" s="23"/>
      <c r="I153" s="23"/>
      <c r="J153" s="99"/>
      <c r="K153" s="99"/>
      <c r="L153" s="99"/>
      <c r="M153" s="99"/>
      <c r="N153" s="43">
        <f t="shared" si="2"/>
        <v>521356.5</v>
      </c>
      <c r="O153" s="43"/>
      <c r="P153" s="23"/>
      <c r="Q153" s="23"/>
    </row>
    <row r="154" spans="1:17">
      <c r="A154" s="23"/>
      <c r="B154" s="53">
        <v>144</v>
      </c>
      <c r="C154" s="58">
        <v>557332.3125</v>
      </c>
      <c r="D154" s="59">
        <v>65006.25</v>
      </c>
      <c r="E154" s="59">
        <v>0</v>
      </c>
      <c r="F154" s="59">
        <v>-85.81646728515625</v>
      </c>
      <c r="G154" s="42">
        <v>0</v>
      </c>
      <c r="H154" s="23"/>
      <c r="I154" s="23"/>
      <c r="J154" s="99"/>
      <c r="K154" s="99"/>
      <c r="L154" s="99"/>
      <c r="M154" s="99"/>
      <c r="N154" s="43">
        <f t="shared" si="2"/>
        <v>557332.3125</v>
      </c>
      <c r="O154" s="43"/>
      <c r="P154" s="23"/>
      <c r="Q154" s="23"/>
    </row>
    <row r="155" spans="1:17">
      <c r="A155" s="23"/>
      <c r="B155" s="53">
        <v>145</v>
      </c>
      <c r="C155" s="58">
        <v>595790.5625</v>
      </c>
      <c r="D155" s="59">
        <v>60863.78125</v>
      </c>
      <c r="E155" s="59">
        <v>0</v>
      </c>
      <c r="F155" s="59">
        <v>-86.052497863769531</v>
      </c>
      <c r="G155" s="42">
        <v>0</v>
      </c>
      <c r="H155" s="23"/>
      <c r="I155" s="23"/>
      <c r="J155" s="99"/>
      <c r="K155" s="99"/>
      <c r="L155" s="99"/>
      <c r="M155" s="99"/>
      <c r="N155" s="43">
        <f t="shared" si="2"/>
        <v>595790.5625</v>
      </c>
      <c r="O155" s="43"/>
      <c r="P155" s="23"/>
      <c r="Q155" s="23"/>
    </row>
    <row r="156" spans="1:17">
      <c r="A156" s="23"/>
      <c r="B156" s="53">
        <v>146</v>
      </c>
      <c r="C156" s="58">
        <v>636902.5625</v>
      </c>
      <c r="D156" s="59">
        <v>56988.69921875</v>
      </c>
      <c r="E156" s="59">
        <v>0</v>
      </c>
      <c r="F156" s="59">
        <v>-86.282463073730469</v>
      </c>
      <c r="G156" s="42">
        <v>0</v>
      </c>
      <c r="H156" s="23"/>
      <c r="I156" s="23"/>
      <c r="J156" s="99"/>
      <c r="K156" s="99"/>
      <c r="L156" s="99"/>
      <c r="M156" s="99"/>
      <c r="N156" s="43">
        <f t="shared" si="2"/>
        <v>636902.5625</v>
      </c>
      <c r="O156" s="43"/>
      <c r="P156" s="23"/>
      <c r="Q156" s="23"/>
    </row>
    <row r="157" spans="1:17">
      <c r="A157" s="23"/>
      <c r="B157" s="53">
        <v>147</v>
      </c>
      <c r="C157" s="58">
        <v>680851.5</v>
      </c>
      <c r="D157" s="59">
        <v>53359.08984375</v>
      </c>
      <c r="E157" s="59">
        <v>0</v>
      </c>
      <c r="F157" s="59">
        <v>-86.491378784179688</v>
      </c>
      <c r="G157" s="42">
        <v>0</v>
      </c>
      <c r="H157" s="23"/>
      <c r="I157" s="23"/>
      <c r="J157" s="99"/>
      <c r="K157" s="99"/>
      <c r="L157" s="99"/>
      <c r="M157" s="99"/>
      <c r="N157" s="43">
        <f t="shared" si="2"/>
        <v>680851.5</v>
      </c>
      <c r="O157" s="43"/>
      <c r="P157" s="23"/>
      <c r="Q157" s="23"/>
    </row>
    <row r="158" spans="1:17">
      <c r="A158" s="23"/>
      <c r="B158" s="53">
        <v>148</v>
      </c>
      <c r="C158" s="58">
        <v>727833.125</v>
      </c>
      <c r="D158" s="59">
        <v>49965.28125</v>
      </c>
      <c r="E158" s="59">
        <v>0</v>
      </c>
      <c r="F158" s="59">
        <v>-86.698646545410156</v>
      </c>
      <c r="G158" s="42">
        <v>0</v>
      </c>
      <c r="H158" s="23"/>
      <c r="I158" s="23"/>
      <c r="J158" s="99"/>
      <c r="K158" s="99"/>
      <c r="L158" s="99"/>
      <c r="M158" s="99"/>
      <c r="N158" s="43">
        <f t="shared" si="2"/>
        <v>727833.125</v>
      </c>
      <c r="O158" s="43"/>
      <c r="P158" s="23"/>
      <c r="Q158" s="23"/>
    </row>
    <row r="159" spans="1:17">
      <c r="A159" s="23"/>
      <c r="B159" s="53">
        <v>149</v>
      </c>
      <c r="C159" s="58">
        <v>778056.625</v>
      </c>
      <c r="D159" s="59">
        <v>46788.03125</v>
      </c>
      <c r="E159" s="59">
        <v>0</v>
      </c>
      <c r="F159" s="59">
        <v>-86.884986877441406</v>
      </c>
      <c r="G159" s="42">
        <v>0</v>
      </c>
      <c r="H159" s="23"/>
      <c r="I159" s="23"/>
      <c r="J159" s="99"/>
      <c r="K159" s="99"/>
      <c r="L159" s="99"/>
      <c r="M159" s="99"/>
      <c r="N159" s="43">
        <f t="shared" si="2"/>
        <v>778056.625</v>
      </c>
      <c r="O159" s="43"/>
      <c r="P159" s="23"/>
      <c r="Q159" s="23"/>
    </row>
    <row r="160" spans="1:17">
      <c r="A160" s="23"/>
      <c r="B160" s="53">
        <v>150</v>
      </c>
      <c r="C160" s="58">
        <v>831745.75</v>
      </c>
      <c r="D160" s="59">
        <v>43811.078125</v>
      </c>
      <c r="E160" s="59">
        <v>0</v>
      </c>
      <c r="F160" s="59">
        <v>-87.064506530761719</v>
      </c>
      <c r="G160" s="42">
        <v>0</v>
      </c>
      <c r="H160" s="23"/>
      <c r="I160" s="23"/>
      <c r="J160" s="99"/>
      <c r="K160" s="99"/>
      <c r="L160" s="99"/>
      <c r="M160" s="99"/>
      <c r="N160" s="43">
        <f t="shared" si="2"/>
        <v>831745.75</v>
      </c>
      <c r="O160" s="43"/>
      <c r="P160" s="23"/>
      <c r="Q160" s="23"/>
    </row>
    <row r="161" spans="1:17">
      <c r="A161" s="23"/>
      <c r="B161" s="53">
        <v>151</v>
      </c>
      <c r="C161" s="58">
        <v>889139.6875</v>
      </c>
      <c r="D161" s="59">
        <v>41028.48046875</v>
      </c>
      <c r="E161" s="59">
        <v>0</v>
      </c>
      <c r="F161" s="59">
        <v>-87.228103637695313</v>
      </c>
      <c r="G161" s="42">
        <v>0</v>
      </c>
      <c r="H161" s="23"/>
      <c r="I161" s="23"/>
      <c r="J161" s="99"/>
      <c r="K161" s="99"/>
      <c r="L161" s="99"/>
      <c r="M161" s="99"/>
      <c r="N161" s="43">
        <f t="shared" si="2"/>
        <v>889139.6875</v>
      </c>
      <c r="O161" s="43"/>
      <c r="P161" s="23"/>
      <c r="Q161" s="23"/>
    </row>
    <row r="162" spans="1:17">
      <c r="A162" s="23"/>
      <c r="B162" s="53">
        <v>152</v>
      </c>
      <c r="C162" s="58">
        <v>950494.0625</v>
      </c>
      <c r="D162" s="59">
        <v>38424.078125</v>
      </c>
      <c r="E162" s="59">
        <v>0</v>
      </c>
      <c r="F162" s="59">
        <v>-87.385452270507813</v>
      </c>
      <c r="G162" s="42">
        <v>0</v>
      </c>
      <c r="H162" s="23"/>
      <c r="I162" s="23"/>
      <c r="J162" s="99"/>
      <c r="K162" s="99"/>
      <c r="L162" s="99"/>
      <c r="M162" s="99"/>
      <c r="N162" s="43">
        <f t="shared" si="2"/>
        <v>950494.0625</v>
      </c>
      <c r="O162" s="43"/>
      <c r="P162" s="23"/>
      <c r="Q162" s="23"/>
    </row>
    <row r="163" spans="1:17">
      <c r="A163" s="23"/>
      <c r="B163" s="53">
        <v>153</v>
      </c>
      <c r="C163" s="58">
        <v>1016082.125</v>
      </c>
      <c r="D163" s="59">
        <v>35989.80859375</v>
      </c>
      <c r="E163" s="59">
        <v>0</v>
      </c>
      <c r="F163" s="59">
        <v>-87.532913208007813</v>
      </c>
      <c r="G163" s="42">
        <v>0</v>
      </c>
      <c r="H163" s="23"/>
      <c r="I163" s="23"/>
      <c r="J163" s="99"/>
      <c r="K163" s="99"/>
      <c r="L163" s="99"/>
      <c r="M163" s="99"/>
      <c r="N163" s="43">
        <f t="shared" si="2"/>
        <v>1016082.125</v>
      </c>
      <c r="O163" s="43"/>
      <c r="P163" s="23"/>
      <c r="Q163" s="23"/>
    </row>
    <row r="164" spans="1:17">
      <c r="A164" s="23"/>
      <c r="B164" s="53">
        <v>154</v>
      </c>
      <c r="C164" s="58">
        <v>1086196</v>
      </c>
      <c r="D164" s="59">
        <v>33706.6015625</v>
      </c>
      <c r="E164" s="59">
        <v>0</v>
      </c>
      <c r="F164" s="59">
        <v>-87.672836303710938</v>
      </c>
      <c r="G164" s="42">
        <v>0</v>
      </c>
      <c r="H164" s="23"/>
      <c r="I164" s="23"/>
      <c r="J164" s="99"/>
      <c r="K164" s="99"/>
      <c r="L164" s="99"/>
      <c r="M164" s="99"/>
      <c r="N164" s="43">
        <f t="shared" si="2"/>
        <v>1086196</v>
      </c>
      <c r="O164" s="43"/>
      <c r="P164" s="23"/>
      <c r="Q164" s="23"/>
    </row>
    <row r="165" spans="1:17">
      <c r="A165" s="23"/>
      <c r="B165" s="53">
        <v>155</v>
      </c>
      <c r="C165" s="58">
        <v>1161148.125</v>
      </c>
      <c r="D165" s="59">
        <v>31573.150390625</v>
      </c>
      <c r="E165" s="59">
        <v>0</v>
      </c>
      <c r="F165" s="59">
        <v>-87.771446228027344</v>
      </c>
      <c r="G165" s="42">
        <v>0</v>
      </c>
      <c r="H165" s="23"/>
      <c r="I165" s="23"/>
      <c r="J165" s="99"/>
      <c r="K165" s="99"/>
      <c r="L165" s="99"/>
      <c r="M165" s="99"/>
      <c r="N165" s="43">
        <f t="shared" si="2"/>
        <v>1161148.125</v>
      </c>
      <c r="O165" s="43"/>
      <c r="P165" s="23"/>
      <c r="Q165" s="23"/>
    </row>
    <row r="166" spans="1:17">
      <c r="A166" s="23"/>
      <c r="B166" s="53">
        <v>156</v>
      </c>
      <c r="C166" s="58">
        <v>1241272.125</v>
      </c>
      <c r="D166" s="59">
        <v>29581.619140625</v>
      </c>
      <c r="E166" s="59">
        <v>0</v>
      </c>
      <c r="F166" s="59">
        <v>-87.909011840820313</v>
      </c>
      <c r="G166" s="42">
        <v>0</v>
      </c>
      <c r="H166" s="23"/>
      <c r="I166" s="23"/>
      <c r="J166" s="99"/>
      <c r="K166" s="99"/>
      <c r="L166" s="99"/>
      <c r="M166" s="99"/>
      <c r="N166" s="43">
        <f t="shared" si="2"/>
        <v>1241272.125</v>
      </c>
      <c r="O166" s="43"/>
      <c r="P166" s="23"/>
      <c r="Q166" s="23"/>
    </row>
    <row r="167" spans="1:17">
      <c r="A167" s="23"/>
      <c r="B167" s="53">
        <v>157</v>
      </c>
      <c r="C167" s="58">
        <v>1326925.125</v>
      </c>
      <c r="D167" s="59">
        <v>27717.140625</v>
      </c>
      <c r="E167" s="59">
        <v>0</v>
      </c>
      <c r="F167" s="59">
        <v>-88.020973205566406</v>
      </c>
      <c r="G167" s="42">
        <v>0</v>
      </c>
      <c r="H167" s="23"/>
      <c r="I167" s="23"/>
      <c r="J167" s="99"/>
      <c r="K167" s="99"/>
      <c r="L167" s="99"/>
      <c r="M167" s="99"/>
      <c r="N167" s="43">
        <f t="shared" si="2"/>
        <v>1326925.125</v>
      </c>
      <c r="O167" s="43"/>
      <c r="P167" s="23"/>
      <c r="Q167" s="23"/>
    </row>
    <row r="168" spans="1:17">
      <c r="A168" s="23"/>
      <c r="B168" s="53">
        <v>158</v>
      </c>
      <c r="C168" s="58">
        <v>1418488.5</v>
      </c>
      <c r="D168" s="59">
        <v>25981.080078125</v>
      </c>
      <c r="E168" s="59">
        <v>0</v>
      </c>
      <c r="F168" s="59">
        <v>-88.135276794433594</v>
      </c>
      <c r="G168" s="42">
        <v>0</v>
      </c>
      <c r="H168" s="23"/>
      <c r="I168" s="23"/>
      <c r="J168" s="99"/>
      <c r="K168" s="99"/>
      <c r="L168" s="99"/>
      <c r="M168" s="99"/>
      <c r="N168" s="43">
        <f t="shared" si="2"/>
        <v>1418488.5</v>
      </c>
      <c r="O168" s="43"/>
      <c r="P168" s="23"/>
      <c r="Q168" s="23"/>
    </row>
    <row r="169" spans="1:17">
      <c r="A169" s="23"/>
      <c r="B169" s="53">
        <v>159</v>
      </c>
      <c r="C169" s="58">
        <v>1516370.125</v>
      </c>
      <c r="D169" s="59">
        <v>24359.169921875</v>
      </c>
      <c r="E169" s="59">
        <v>0</v>
      </c>
      <c r="F169" s="59">
        <v>-88.24395751953125</v>
      </c>
      <c r="G169" s="42">
        <v>0</v>
      </c>
      <c r="H169" s="23"/>
      <c r="I169" s="23"/>
      <c r="J169" s="99"/>
      <c r="K169" s="99"/>
      <c r="L169" s="99"/>
      <c r="M169" s="99"/>
      <c r="N169" s="43">
        <f t="shared" si="2"/>
        <v>1516370.125</v>
      </c>
      <c r="O169" s="43"/>
      <c r="P169" s="23"/>
      <c r="Q169" s="23"/>
    </row>
    <row r="170" spans="1:17">
      <c r="A170" s="23"/>
      <c r="B170" s="53">
        <v>160</v>
      </c>
      <c r="C170" s="58">
        <v>1621005.875</v>
      </c>
      <c r="D170" s="59">
        <v>22842.470703125</v>
      </c>
      <c r="E170" s="59">
        <v>0</v>
      </c>
      <c r="F170" s="59">
        <v>-88.346076965332031</v>
      </c>
      <c r="G170" s="42">
        <v>0</v>
      </c>
      <c r="H170" s="23"/>
      <c r="I170" s="23"/>
      <c r="J170" s="99"/>
      <c r="K170" s="99"/>
      <c r="L170" s="99"/>
      <c r="M170" s="99"/>
      <c r="N170" s="43">
        <f t="shared" si="2"/>
        <v>1621005.875</v>
      </c>
      <c r="O170" s="43"/>
      <c r="P170" s="23"/>
      <c r="Q170" s="23"/>
    </row>
    <row r="171" spans="1:17">
      <c r="A171" s="23"/>
      <c r="B171" s="53">
        <v>161</v>
      </c>
      <c r="C171" s="58">
        <v>1732862.125</v>
      </c>
      <c r="D171" s="59">
        <v>21425.94921875</v>
      </c>
      <c r="E171" s="59">
        <v>0</v>
      </c>
      <c r="F171" s="59">
        <v>-88.446769714355469</v>
      </c>
      <c r="G171" s="42">
        <v>0</v>
      </c>
      <c r="H171" s="23"/>
      <c r="I171" s="23"/>
      <c r="J171" s="99"/>
      <c r="K171" s="99"/>
      <c r="L171" s="99"/>
      <c r="M171" s="99"/>
      <c r="N171" s="43">
        <f t="shared" si="2"/>
        <v>1732862.125</v>
      </c>
      <c r="O171" s="43"/>
      <c r="P171" s="23"/>
      <c r="Q171" s="23"/>
    </row>
    <row r="172" spans="1:17">
      <c r="A172" s="23"/>
      <c r="B172" s="53">
        <v>162</v>
      </c>
      <c r="C172" s="58">
        <v>1852436.875</v>
      </c>
      <c r="D172" s="59">
        <v>20103.51953125</v>
      </c>
      <c r="E172" s="59">
        <v>0</v>
      </c>
      <c r="F172" s="59">
        <v>-88.546920776367188</v>
      </c>
      <c r="G172" s="42">
        <v>0</v>
      </c>
      <c r="H172" s="23"/>
      <c r="I172" s="23"/>
      <c r="J172" s="99"/>
      <c r="K172" s="99"/>
      <c r="L172" s="99"/>
      <c r="M172" s="99"/>
      <c r="N172" s="43">
        <f t="shared" si="2"/>
        <v>1852436.875</v>
      </c>
      <c r="O172" s="43"/>
      <c r="P172" s="23"/>
      <c r="Q172" s="23"/>
    </row>
    <row r="173" spans="1:17">
      <c r="A173" s="23"/>
      <c r="B173" s="53">
        <v>163</v>
      </c>
      <c r="C173" s="58">
        <v>1980262.75</v>
      </c>
      <c r="D173" s="59">
        <v>18870.619140625</v>
      </c>
      <c r="E173" s="59">
        <v>0</v>
      </c>
      <c r="F173" s="59">
        <v>-88.637802124023438</v>
      </c>
      <c r="G173" s="42">
        <v>0</v>
      </c>
      <c r="H173" s="23"/>
      <c r="I173" s="23"/>
      <c r="J173" s="99"/>
      <c r="K173" s="99"/>
      <c r="L173" s="99"/>
      <c r="M173" s="99"/>
      <c r="N173" s="43">
        <f t="shared" si="2"/>
        <v>1980262.75</v>
      </c>
      <c r="O173" s="43"/>
      <c r="P173" s="23"/>
      <c r="Q173" s="23"/>
    </row>
    <row r="174" spans="1:17">
      <c r="A174" s="23"/>
      <c r="B174" s="53">
        <v>164</v>
      </c>
      <c r="C174" s="58">
        <v>2116909</v>
      </c>
      <c r="D174" s="59">
        <v>17721.359375</v>
      </c>
      <c r="E174" s="59">
        <v>0</v>
      </c>
      <c r="F174" s="59">
        <v>-88.730720520019531</v>
      </c>
      <c r="G174" s="42">
        <v>0</v>
      </c>
      <c r="H174" s="23"/>
      <c r="I174" s="23"/>
      <c r="J174" s="99"/>
      <c r="K174" s="99"/>
      <c r="L174" s="99"/>
      <c r="M174" s="99"/>
      <c r="N174" s="43">
        <f t="shared" si="2"/>
        <v>2116909</v>
      </c>
      <c r="O174" s="43"/>
      <c r="P174" s="23"/>
      <c r="Q174" s="23"/>
    </row>
    <row r="175" spans="1:17">
      <c r="A175" s="23"/>
      <c r="B175" s="53">
        <v>165</v>
      </c>
      <c r="C175" s="58">
        <v>2262984.75</v>
      </c>
      <c r="D175" s="59">
        <v>16650.5390625</v>
      </c>
      <c r="E175" s="59">
        <v>0</v>
      </c>
      <c r="F175" s="59">
        <v>-88.822639465332031</v>
      </c>
      <c r="G175" s="42">
        <v>0</v>
      </c>
      <c r="H175" s="23"/>
      <c r="I175" s="23"/>
      <c r="J175" s="99"/>
      <c r="K175" s="99"/>
      <c r="L175" s="99"/>
      <c r="M175" s="99"/>
      <c r="N175" s="43">
        <f t="shared" si="2"/>
        <v>2262984.75</v>
      </c>
      <c r="O175" s="43"/>
      <c r="P175" s="23"/>
      <c r="Q175" s="23"/>
    </row>
    <row r="176" spans="1:17">
      <c r="A176" s="23"/>
      <c r="B176" s="53">
        <v>166</v>
      </c>
      <c r="C176" s="58">
        <v>2419140</v>
      </c>
      <c r="D176" s="59">
        <v>15653.33984375</v>
      </c>
      <c r="E176" s="59">
        <v>0</v>
      </c>
      <c r="F176" s="59">
        <v>-88.910110473632813</v>
      </c>
      <c r="G176" s="42">
        <v>0</v>
      </c>
      <c r="H176" s="23"/>
      <c r="I176" s="23"/>
      <c r="J176" s="99"/>
      <c r="K176" s="99"/>
      <c r="L176" s="99"/>
      <c r="M176" s="99"/>
      <c r="N176" s="43">
        <f t="shared" si="2"/>
        <v>2419140</v>
      </c>
      <c r="O176" s="43"/>
      <c r="P176" s="23"/>
      <c r="Q176" s="23"/>
    </row>
    <row r="177" spans="1:17">
      <c r="A177" s="23"/>
      <c r="B177" s="53">
        <v>167</v>
      </c>
      <c r="C177" s="58">
        <v>2586070.75</v>
      </c>
      <c r="D177" s="59">
        <v>14724.669921875</v>
      </c>
      <c r="E177" s="59">
        <v>0</v>
      </c>
      <c r="F177" s="59">
        <v>-89.010818481445313</v>
      </c>
      <c r="G177" s="42">
        <v>0</v>
      </c>
      <c r="H177" s="23"/>
      <c r="I177" s="23"/>
      <c r="J177" s="99"/>
      <c r="K177" s="99"/>
      <c r="L177" s="99"/>
      <c r="M177" s="99"/>
      <c r="N177" s="43">
        <f t="shared" si="2"/>
        <v>2586070.75</v>
      </c>
      <c r="O177" s="43"/>
      <c r="P177" s="23"/>
      <c r="Q177" s="23"/>
    </row>
    <row r="178" spans="1:17">
      <c r="A178" s="23"/>
      <c r="B178" s="53">
        <v>168</v>
      </c>
      <c r="C178" s="58">
        <v>2764520.5</v>
      </c>
      <c r="D178" s="59">
        <v>13863.9697265625</v>
      </c>
      <c r="E178" s="59">
        <v>0</v>
      </c>
      <c r="F178" s="59">
        <v>-89.106643676757813</v>
      </c>
      <c r="G178" s="42">
        <v>0</v>
      </c>
      <c r="H178" s="23"/>
      <c r="I178" s="23"/>
      <c r="J178" s="99"/>
      <c r="K178" s="99"/>
      <c r="L178" s="99"/>
      <c r="M178" s="99"/>
      <c r="N178" s="43">
        <f t="shared" si="2"/>
        <v>2764520.5</v>
      </c>
      <c r="O178" s="43"/>
      <c r="P178" s="23"/>
      <c r="Q178" s="23"/>
    </row>
    <row r="179" spans="1:17">
      <c r="A179" s="23"/>
      <c r="B179" s="53">
        <v>169</v>
      </c>
      <c r="C179" s="58">
        <v>2955284</v>
      </c>
      <c r="D179" s="59">
        <v>13063.75</v>
      </c>
      <c r="E179" s="59">
        <v>0</v>
      </c>
      <c r="F179" s="59">
        <v>-89.2076416015625</v>
      </c>
      <c r="G179" s="42">
        <v>0</v>
      </c>
      <c r="H179" s="23"/>
      <c r="I179" s="23"/>
      <c r="J179" s="99"/>
      <c r="K179" s="99"/>
      <c r="L179" s="99"/>
      <c r="M179" s="99"/>
      <c r="N179" s="43">
        <f t="shared" si="2"/>
        <v>2955284</v>
      </c>
      <c r="O179" s="43"/>
      <c r="P179" s="23"/>
      <c r="Q179" s="23"/>
    </row>
    <row r="180" spans="1:17">
      <c r="A180" s="23"/>
      <c r="B180" s="53">
        <v>170</v>
      </c>
      <c r="C180" s="58">
        <v>3159210.75</v>
      </c>
      <c r="D180" s="59">
        <v>12320.3798828125</v>
      </c>
      <c r="E180" s="59">
        <v>0</v>
      </c>
      <c r="F180" s="59">
        <v>-89.321853637695313</v>
      </c>
      <c r="G180" s="42">
        <v>0</v>
      </c>
      <c r="H180" s="23"/>
      <c r="I180" s="23"/>
      <c r="J180" s="99"/>
      <c r="K180" s="99"/>
      <c r="L180" s="99"/>
      <c r="M180" s="99"/>
      <c r="N180" s="43">
        <f t="shared" si="2"/>
        <v>3159210.75</v>
      </c>
      <c r="O180" s="43"/>
      <c r="P180" s="23"/>
      <c r="Q180" s="23"/>
    </row>
    <row r="181" spans="1:17">
      <c r="A181" s="23"/>
      <c r="B181" s="53">
        <v>171</v>
      </c>
      <c r="C181" s="58">
        <v>3377209.5</v>
      </c>
      <c r="D181" s="59">
        <v>11635.509765625</v>
      </c>
      <c r="E181" s="59">
        <v>0</v>
      </c>
      <c r="F181" s="59">
        <v>-89.444869995117188</v>
      </c>
      <c r="G181" s="42">
        <v>0</v>
      </c>
      <c r="H181" s="23"/>
      <c r="I181" s="23"/>
      <c r="J181" s="99"/>
      <c r="K181" s="99"/>
      <c r="L181" s="99"/>
      <c r="M181" s="99"/>
      <c r="N181" s="43">
        <f t="shared" si="2"/>
        <v>3377209.5</v>
      </c>
      <c r="O181" s="43"/>
      <c r="P181" s="23"/>
      <c r="Q181" s="23"/>
    </row>
    <row r="182" spans="1:17">
      <c r="A182" s="23"/>
      <c r="B182" s="53">
        <v>172</v>
      </c>
      <c r="C182" s="58">
        <v>3610251</v>
      </c>
      <c r="D182" s="59">
        <v>11003.6904296875</v>
      </c>
      <c r="E182" s="59">
        <v>0</v>
      </c>
      <c r="F182" s="59">
        <v>-89.580253601074219</v>
      </c>
      <c r="G182" s="42">
        <v>0</v>
      </c>
      <c r="H182" s="23"/>
      <c r="I182" s="23"/>
      <c r="J182" s="99"/>
      <c r="K182" s="99"/>
      <c r="L182" s="99"/>
      <c r="M182" s="99"/>
      <c r="N182" s="43">
        <f t="shared" si="2"/>
        <v>3610251</v>
      </c>
      <c r="O182" s="43"/>
      <c r="P182" s="23"/>
      <c r="Q182" s="23"/>
    </row>
    <row r="183" spans="1:17">
      <c r="A183" s="23"/>
      <c r="B183" s="53">
        <v>173</v>
      </c>
      <c r="C183" s="58">
        <v>3859373.5</v>
      </c>
      <c r="D183" s="59">
        <v>10422.5703125</v>
      </c>
      <c r="E183" s="59">
        <v>0</v>
      </c>
      <c r="F183" s="59">
        <v>-89.728759765625</v>
      </c>
      <c r="G183" s="42">
        <v>0</v>
      </c>
      <c r="H183" s="23"/>
      <c r="I183" s="23"/>
      <c r="J183" s="99"/>
      <c r="K183" s="99"/>
      <c r="L183" s="99"/>
      <c r="M183" s="99"/>
      <c r="N183" s="43">
        <f t="shared" si="2"/>
        <v>3859373.5</v>
      </c>
      <c r="O183" s="43"/>
      <c r="P183" s="23"/>
      <c r="Q183" s="23"/>
    </row>
    <row r="184" spans="1:17">
      <c r="A184" s="23"/>
      <c r="B184" s="53">
        <v>174</v>
      </c>
      <c r="C184" s="58">
        <v>4125686.25</v>
      </c>
      <c r="D184" s="59">
        <v>9893.0537109375</v>
      </c>
      <c r="E184" s="59">
        <v>0</v>
      </c>
      <c r="F184" s="59">
        <v>-89.901176452636719</v>
      </c>
      <c r="G184" s="42">
        <v>0</v>
      </c>
      <c r="H184" s="23"/>
      <c r="I184" s="23"/>
      <c r="J184" s="99"/>
      <c r="K184" s="99"/>
      <c r="L184" s="99"/>
      <c r="M184" s="99"/>
      <c r="N184" s="43">
        <f t="shared" si="2"/>
        <v>4125686.25</v>
      </c>
      <c r="O184" s="43"/>
      <c r="P184" s="23"/>
      <c r="Q184" s="23"/>
    </row>
    <row r="185" spans="1:17">
      <c r="A185" s="23"/>
      <c r="B185" s="53">
        <v>175</v>
      </c>
      <c r="C185" s="58">
        <v>4410376</v>
      </c>
      <c r="D185" s="59">
        <v>9410.333984375</v>
      </c>
      <c r="E185" s="59">
        <v>0</v>
      </c>
      <c r="F185" s="59">
        <v>-90.121566772460938</v>
      </c>
      <c r="G185" s="42">
        <v>0</v>
      </c>
      <c r="H185" s="23"/>
      <c r="I185" s="23"/>
      <c r="J185" s="99"/>
      <c r="K185" s="99"/>
      <c r="L185" s="99"/>
      <c r="M185" s="99"/>
      <c r="N185" s="43">
        <f t="shared" si="2"/>
        <v>4410376</v>
      </c>
      <c r="O185" s="43"/>
      <c r="P185" s="23"/>
      <c r="Q185" s="23"/>
    </row>
    <row r="186" spans="1:17">
      <c r="A186" s="23"/>
      <c r="B186" s="53">
        <v>176</v>
      </c>
      <c r="C186" s="58">
        <v>4714710</v>
      </c>
      <c r="D186" s="59">
        <v>8970.3916015625</v>
      </c>
      <c r="E186" s="59">
        <v>0</v>
      </c>
      <c r="F186" s="59">
        <v>-90.37506103515625</v>
      </c>
      <c r="G186" s="42">
        <v>0</v>
      </c>
      <c r="H186" s="23"/>
      <c r="I186" s="23"/>
      <c r="J186" s="99"/>
      <c r="K186" s="99"/>
      <c r="L186" s="99"/>
      <c r="M186" s="99"/>
      <c r="N186" s="43">
        <f t="shared" si="2"/>
        <v>4714710</v>
      </c>
      <c r="O186" s="43"/>
      <c r="P186" s="23"/>
      <c r="Q186" s="23"/>
    </row>
    <row r="187" spans="1:17">
      <c r="A187" s="23"/>
      <c r="B187" s="53">
        <v>177</v>
      </c>
      <c r="C187" s="58">
        <v>5040045</v>
      </c>
      <c r="D187" s="59">
        <v>8577.849609375</v>
      </c>
      <c r="E187" s="59">
        <v>0</v>
      </c>
      <c r="F187" s="59">
        <v>-90.653976440429688</v>
      </c>
      <c r="G187" s="42">
        <v>0</v>
      </c>
      <c r="H187" s="23"/>
      <c r="I187" s="23"/>
      <c r="J187" s="99"/>
      <c r="K187" s="99"/>
      <c r="L187" s="99"/>
      <c r="M187" s="99"/>
      <c r="N187" s="43">
        <f t="shared" si="2"/>
        <v>5040045</v>
      </c>
      <c r="O187" s="43"/>
      <c r="P187" s="23"/>
      <c r="Q187" s="23"/>
    </row>
    <row r="188" spans="1:17">
      <c r="A188" s="23"/>
      <c r="B188" s="53">
        <v>178</v>
      </c>
      <c r="C188" s="58">
        <v>5387829</v>
      </c>
      <c r="D188" s="59">
        <v>8234.787109375</v>
      </c>
      <c r="E188" s="59">
        <v>0</v>
      </c>
      <c r="F188" s="59">
        <v>-90.992889404296875</v>
      </c>
      <c r="G188" s="42">
        <v>0</v>
      </c>
      <c r="H188" s="23"/>
      <c r="I188" s="23"/>
      <c r="J188" s="99"/>
      <c r="K188" s="99"/>
      <c r="L188" s="99"/>
      <c r="M188" s="99"/>
      <c r="N188" s="43">
        <f t="shared" si="2"/>
        <v>5387829</v>
      </c>
      <c r="O188" s="43"/>
      <c r="P188" s="23"/>
      <c r="Q188" s="23"/>
    </row>
    <row r="189" spans="1:17">
      <c r="A189" s="23"/>
      <c r="B189" s="53">
        <v>179</v>
      </c>
      <c r="C189" s="58">
        <v>5759611.5</v>
      </c>
      <c r="D189" s="59">
        <v>7943.15380859375</v>
      </c>
      <c r="E189" s="59">
        <v>0</v>
      </c>
      <c r="F189" s="59">
        <v>-91.412300109863281</v>
      </c>
      <c r="G189" s="42">
        <v>0</v>
      </c>
      <c r="H189" s="23"/>
      <c r="I189" s="23"/>
      <c r="J189" s="99"/>
      <c r="K189" s="99"/>
      <c r="L189" s="99"/>
      <c r="M189" s="99"/>
      <c r="N189" s="43">
        <f t="shared" si="2"/>
        <v>5759611.5</v>
      </c>
      <c r="O189" s="43"/>
      <c r="P189" s="23"/>
      <c r="Q189" s="23"/>
    </row>
    <row r="190" spans="1:17">
      <c r="A190" s="23"/>
      <c r="B190" s="53">
        <v>180</v>
      </c>
      <c r="C190" s="58">
        <v>6157049</v>
      </c>
      <c r="D190" s="59">
        <v>7704.69482421875</v>
      </c>
      <c r="E190" s="59">
        <v>0</v>
      </c>
      <c r="F190" s="59">
        <v>-91.972732543945313</v>
      </c>
      <c r="G190" s="42">
        <v>0</v>
      </c>
      <c r="H190" s="23"/>
      <c r="I190" s="23"/>
      <c r="J190" s="99"/>
      <c r="K190" s="99"/>
      <c r="L190" s="99"/>
      <c r="M190" s="99"/>
      <c r="N190" s="43">
        <f t="shared" si="2"/>
        <v>6157049</v>
      </c>
      <c r="O190" s="43"/>
      <c r="P190" s="23"/>
      <c r="Q190" s="23"/>
    </row>
    <row r="191" spans="1:17">
      <c r="A191" s="23"/>
      <c r="B191" s="53">
        <v>181</v>
      </c>
      <c r="C191" s="58">
        <v>6581911</v>
      </c>
      <c r="D191" s="59">
        <v>7523.02294921875</v>
      </c>
      <c r="E191" s="59">
        <v>0</v>
      </c>
      <c r="F191" s="59">
        <v>-92.72125244140625</v>
      </c>
      <c r="G191" s="42">
        <v>0</v>
      </c>
      <c r="H191" s="23"/>
      <c r="I191" s="23"/>
      <c r="J191" s="99"/>
      <c r="K191" s="99"/>
      <c r="L191" s="99"/>
      <c r="M191" s="99"/>
      <c r="N191" s="43">
        <f t="shared" si="2"/>
        <v>6581911</v>
      </c>
      <c r="O191" s="43"/>
      <c r="P191" s="23"/>
      <c r="Q191" s="23"/>
    </row>
    <row r="192" spans="1:17">
      <c r="A192" s="23"/>
      <c r="B192" s="53">
        <v>182</v>
      </c>
      <c r="C192" s="58">
        <v>7036090.5</v>
      </c>
      <c r="D192" s="59">
        <v>7401.18701171875</v>
      </c>
      <c r="E192" s="59">
        <v>0</v>
      </c>
      <c r="F192" s="59">
        <v>-93.74639892578125</v>
      </c>
      <c r="G192" s="42">
        <v>0</v>
      </c>
      <c r="H192" s="23"/>
      <c r="I192" s="23"/>
      <c r="J192" s="99"/>
      <c r="K192" s="99"/>
      <c r="L192" s="99"/>
      <c r="M192" s="99"/>
      <c r="N192" s="43">
        <f t="shared" si="2"/>
        <v>7036090.5</v>
      </c>
      <c r="O192" s="43"/>
      <c r="P192" s="23"/>
      <c r="Q192" s="23"/>
    </row>
    <row r="193" spans="1:17">
      <c r="A193" s="23"/>
      <c r="B193" s="53">
        <v>183</v>
      </c>
      <c r="C193" s="58">
        <v>7521610</v>
      </c>
      <c r="D193" s="59">
        <v>7342.634765625</v>
      </c>
      <c r="E193" s="59">
        <v>0</v>
      </c>
      <c r="F193" s="59">
        <v>-95.154350280761719</v>
      </c>
      <c r="G193" s="42">
        <v>0</v>
      </c>
      <c r="H193" s="23"/>
      <c r="I193" s="23"/>
      <c r="J193" s="99"/>
      <c r="K193" s="99"/>
      <c r="L193" s="99"/>
      <c r="M193" s="99"/>
      <c r="N193" s="43">
        <f t="shared" si="2"/>
        <v>7521610</v>
      </c>
      <c r="O193" s="43"/>
      <c r="P193" s="23"/>
      <c r="Q193" s="23"/>
    </row>
    <row r="194" spans="1:17">
      <c r="A194" s="23"/>
      <c r="B194" s="53">
        <v>184</v>
      </c>
      <c r="C194" s="58">
        <v>8040632.5</v>
      </c>
      <c r="D194" s="59">
        <v>7351.8271484375</v>
      </c>
      <c r="E194" s="59">
        <v>0</v>
      </c>
      <c r="F194" s="59">
        <v>-97.058563232421875</v>
      </c>
      <c r="G194" s="42">
        <v>0</v>
      </c>
      <c r="H194" s="23"/>
      <c r="I194" s="23"/>
      <c r="J194" s="99"/>
      <c r="K194" s="99"/>
      <c r="L194" s="99"/>
      <c r="M194" s="99"/>
      <c r="N194" s="43">
        <f t="shared" si="2"/>
        <v>8040632.5</v>
      </c>
      <c r="O194" s="43"/>
      <c r="P194" s="23"/>
      <c r="Q194" s="23"/>
    </row>
    <row r="195" spans="1:17">
      <c r="A195" s="23"/>
      <c r="B195" s="53">
        <v>185</v>
      </c>
      <c r="C195" s="58">
        <v>8595470</v>
      </c>
      <c r="D195" s="59">
        <v>7433.59521484375</v>
      </c>
      <c r="E195" s="59">
        <v>0</v>
      </c>
      <c r="F195" s="59">
        <v>-99.5841064453125</v>
      </c>
      <c r="G195" s="42">
        <v>0</v>
      </c>
      <c r="H195" s="23"/>
      <c r="I195" s="23"/>
      <c r="J195" s="99"/>
      <c r="K195" s="99"/>
      <c r="L195" s="99"/>
      <c r="M195" s="99"/>
      <c r="N195" s="43">
        <f t="shared" si="2"/>
        <v>8595470</v>
      </c>
      <c r="O195" s="43"/>
      <c r="P195" s="23"/>
      <c r="Q195" s="23"/>
    </row>
    <row r="196" spans="1:17">
      <c r="A196" s="23"/>
      <c r="B196" s="53">
        <v>186</v>
      </c>
      <c r="C196" s="58">
        <v>9188593</v>
      </c>
      <c r="D196" s="59">
        <v>7603.64697265625</v>
      </c>
      <c r="E196" s="59">
        <v>0</v>
      </c>
      <c r="F196" s="59">
        <v>-102.83519744873047</v>
      </c>
      <c r="G196" s="42">
        <v>0</v>
      </c>
      <c r="H196" s="23"/>
      <c r="I196" s="23"/>
      <c r="J196" s="99"/>
      <c r="K196" s="99"/>
      <c r="L196" s="99"/>
      <c r="M196" s="99"/>
      <c r="N196" s="43">
        <f t="shared" si="2"/>
        <v>9188593</v>
      </c>
      <c r="O196" s="43"/>
      <c r="P196" s="23"/>
      <c r="Q196" s="23"/>
    </row>
    <row r="197" spans="1:17">
      <c r="A197" s="23"/>
      <c r="B197" s="53">
        <v>187</v>
      </c>
      <c r="C197" s="58">
        <v>9822644</v>
      </c>
      <c r="D197" s="59">
        <v>7900.7841796875</v>
      </c>
      <c r="E197" s="59">
        <v>0</v>
      </c>
      <c r="F197" s="59">
        <v>-106.97709655761719</v>
      </c>
      <c r="G197" s="42">
        <v>0</v>
      </c>
      <c r="H197" s="23"/>
      <c r="I197" s="23"/>
      <c r="J197" s="99"/>
      <c r="K197" s="99"/>
      <c r="L197" s="99"/>
      <c r="M197" s="99"/>
      <c r="N197" s="43">
        <f t="shared" si="2"/>
        <v>9822644</v>
      </c>
      <c r="O197" s="43"/>
      <c r="P197" s="23"/>
      <c r="Q197" s="23"/>
    </row>
    <row r="198" spans="1:17">
      <c r="A198" s="23"/>
      <c r="B198" s="53">
        <v>188</v>
      </c>
      <c r="C198" s="58">
        <v>10500447</v>
      </c>
      <c r="D198" s="59">
        <v>8414.150390625</v>
      </c>
      <c r="E198" s="59">
        <v>0</v>
      </c>
      <c r="F198" s="59">
        <v>-112.45279693603516</v>
      </c>
      <c r="G198" s="42">
        <v>0</v>
      </c>
      <c r="H198" s="23"/>
      <c r="I198" s="23"/>
      <c r="J198" s="99"/>
      <c r="K198" s="99"/>
      <c r="L198" s="99"/>
      <c r="M198" s="99"/>
      <c r="N198" s="43">
        <f t="shared" si="2"/>
        <v>10500447</v>
      </c>
      <c r="O198" s="43"/>
      <c r="P198" s="23"/>
      <c r="Q198" s="23"/>
    </row>
    <row r="199" spans="1:17">
      <c r="A199" s="23"/>
      <c r="B199" s="53">
        <v>189</v>
      </c>
      <c r="C199" s="58">
        <v>11225022</v>
      </c>
      <c r="D199" s="59">
        <v>9292.3642578125</v>
      </c>
      <c r="E199" s="59">
        <v>0</v>
      </c>
      <c r="F199" s="59">
        <v>-120.55870056152344</v>
      </c>
      <c r="G199" s="42">
        <v>0</v>
      </c>
      <c r="H199" s="23"/>
      <c r="I199" s="23"/>
      <c r="J199" s="99"/>
      <c r="K199" s="99"/>
      <c r="L199" s="99"/>
      <c r="M199" s="99"/>
      <c r="N199" s="43">
        <f t="shared" si="2"/>
        <v>11225022</v>
      </c>
      <c r="O199" s="43"/>
      <c r="P199" s="23"/>
      <c r="Q199" s="23"/>
    </row>
    <row r="200" spans="1:17">
      <c r="A200" s="23"/>
      <c r="B200" s="53">
        <v>190</v>
      </c>
      <c r="C200" s="58">
        <v>11999596</v>
      </c>
      <c r="D200" s="59">
        <v>10641.8798828125</v>
      </c>
      <c r="E200" s="59">
        <v>0</v>
      </c>
      <c r="F200" s="59">
        <v>-134.16610717773438</v>
      </c>
      <c r="G200" s="42">
        <v>0</v>
      </c>
      <c r="H200" s="23"/>
      <c r="I200" s="23"/>
      <c r="J200" s="99"/>
      <c r="K200" s="99"/>
      <c r="L200" s="99"/>
      <c r="M200" s="99"/>
      <c r="N200" s="43">
        <f t="shared" si="2"/>
        <v>11999596</v>
      </c>
      <c r="O200" s="43"/>
      <c r="P200" s="23"/>
      <c r="Q200" s="23"/>
    </row>
    <row r="201" spans="1:17">
      <c r="A201" s="23"/>
      <c r="B201" s="53">
        <v>191</v>
      </c>
      <c r="C201" s="58">
        <v>12827618</v>
      </c>
      <c r="D201" s="59">
        <v>11811.490234375</v>
      </c>
      <c r="E201" s="59">
        <v>0</v>
      </c>
      <c r="F201" s="59">
        <v>-158.12199401855469</v>
      </c>
      <c r="G201" s="42">
        <v>0</v>
      </c>
      <c r="H201" s="23"/>
      <c r="I201" s="23"/>
      <c r="J201" s="99"/>
      <c r="K201" s="99"/>
      <c r="L201" s="99"/>
      <c r="M201" s="99"/>
      <c r="N201" s="43">
        <f t="shared" si="2"/>
        <v>12827618</v>
      </c>
      <c r="O201" s="43"/>
      <c r="P201" s="23"/>
      <c r="Q201" s="23"/>
    </row>
    <row r="202" spans="1:17">
      <c r="A202" s="23"/>
      <c r="B202" s="53">
        <v>192</v>
      </c>
      <c r="C202" s="58">
        <v>13712777</v>
      </c>
      <c r="D202" s="59">
        <v>10361.080078125</v>
      </c>
      <c r="E202" s="59">
        <v>0</v>
      </c>
      <c r="F202" s="59">
        <v>169.85330200195313</v>
      </c>
      <c r="G202" s="42">
        <v>0</v>
      </c>
      <c r="H202" s="23"/>
      <c r="I202" s="23"/>
      <c r="J202" s="99"/>
      <c r="K202" s="99"/>
      <c r="L202" s="99"/>
      <c r="M202" s="99"/>
      <c r="N202" s="43">
        <f t="shared" si="2"/>
        <v>13712777</v>
      </c>
      <c r="O202" s="43"/>
      <c r="P202" s="23"/>
      <c r="Q202" s="23"/>
    </row>
    <row r="203" spans="1:17">
      <c r="A203" s="23"/>
      <c r="B203" s="53">
        <v>193</v>
      </c>
      <c r="C203" s="58">
        <v>14659016</v>
      </c>
      <c r="D203" s="59">
        <v>7076.51611328125</v>
      </c>
      <c r="E203" s="59">
        <v>0</v>
      </c>
      <c r="F203" s="59">
        <v>142.92579650878906</v>
      </c>
      <c r="G203" s="42">
        <v>0</v>
      </c>
      <c r="H203" s="23"/>
      <c r="I203" s="23"/>
      <c r="J203" s="99"/>
      <c r="K203" s="99"/>
      <c r="L203" s="99"/>
      <c r="M203" s="99"/>
      <c r="N203" s="43">
        <f t="shared" ref="N203:N266" si="3">IF($L$4=$C$10,C203,IF(D203="","",B203))</f>
        <v>14659016</v>
      </c>
      <c r="O203" s="43"/>
      <c r="P203" s="23"/>
      <c r="Q203" s="23"/>
    </row>
    <row r="204" spans="1:17">
      <c r="A204" s="23"/>
      <c r="B204" s="53">
        <v>194</v>
      </c>
      <c r="C204" s="58">
        <v>15670549</v>
      </c>
      <c r="D204" s="59">
        <v>1349.3199462890625</v>
      </c>
      <c r="E204" s="59">
        <v>0</v>
      </c>
      <c r="F204" s="59">
        <v>-153.30650329589844</v>
      </c>
      <c r="G204" s="42">
        <v>0</v>
      </c>
      <c r="H204" s="23"/>
      <c r="I204" s="23"/>
      <c r="J204" s="99"/>
      <c r="K204" s="99"/>
      <c r="L204" s="99"/>
      <c r="M204" s="99"/>
      <c r="N204" s="43">
        <f t="shared" si="3"/>
        <v>15670549</v>
      </c>
      <c r="O204" s="43"/>
      <c r="P204" s="23"/>
      <c r="Q204" s="23"/>
    </row>
    <row r="205" spans="1:17">
      <c r="A205" s="23"/>
      <c r="B205" s="53">
        <v>195</v>
      </c>
      <c r="C205" s="58">
        <v>16751882</v>
      </c>
      <c r="D205" s="59">
        <v>1201.1729736328125</v>
      </c>
      <c r="E205" s="59">
        <v>0</v>
      </c>
      <c r="F205" s="59">
        <v>-156.52200317382813</v>
      </c>
      <c r="G205" s="42">
        <v>0</v>
      </c>
      <c r="H205" s="23"/>
      <c r="I205" s="23"/>
      <c r="J205" s="99"/>
      <c r="K205" s="99"/>
      <c r="L205" s="99"/>
      <c r="M205" s="99"/>
      <c r="N205" s="43">
        <f t="shared" si="3"/>
        <v>16751882</v>
      </c>
      <c r="O205" s="43"/>
      <c r="P205" s="23"/>
      <c r="Q205" s="23"/>
    </row>
    <row r="206" spans="1:17">
      <c r="A206" s="23"/>
      <c r="B206" s="53">
        <v>196</v>
      </c>
      <c r="C206" s="58">
        <v>17907832</v>
      </c>
      <c r="D206" s="59">
        <v>1065.4820556640625</v>
      </c>
      <c r="E206" s="59">
        <v>0</v>
      </c>
      <c r="F206" s="59">
        <v>-160.50399780273438</v>
      </c>
      <c r="G206" s="42">
        <v>0</v>
      </c>
      <c r="H206" s="23"/>
      <c r="I206" s="23"/>
      <c r="J206" s="99"/>
      <c r="K206" s="99"/>
      <c r="L206" s="99"/>
      <c r="M206" s="99"/>
      <c r="N206" s="43">
        <f t="shared" si="3"/>
        <v>17907832</v>
      </c>
      <c r="O206" s="43"/>
      <c r="P206" s="23"/>
      <c r="Q206" s="23"/>
    </row>
    <row r="207" spans="1:17">
      <c r="A207" s="23"/>
      <c r="B207" s="53">
        <v>197</v>
      </c>
      <c r="C207" s="58">
        <v>19143546</v>
      </c>
      <c r="D207" s="59">
        <v>932.49029541015625</v>
      </c>
      <c r="E207" s="59">
        <v>0</v>
      </c>
      <c r="F207" s="59">
        <v>-164.63600158691406</v>
      </c>
      <c r="G207" s="42">
        <v>0</v>
      </c>
      <c r="H207" s="23"/>
      <c r="I207" s="23"/>
      <c r="J207" s="99"/>
      <c r="K207" s="99"/>
      <c r="L207" s="99"/>
      <c r="M207" s="99"/>
      <c r="N207" s="43">
        <f t="shared" si="3"/>
        <v>19143546</v>
      </c>
      <c r="O207" s="43"/>
      <c r="P207" s="23"/>
      <c r="Q207" s="23"/>
    </row>
    <row r="208" spans="1:17">
      <c r="A208" s="23"/>
      <c r="B208" s="53">
        <v>198</v>
      </c>
      <c r="C208" s="58">
        <v>20464532</v>
      </c>
      <c r="D208" s="59">
        <v>805.2877197265625</v>
      </c>
      <c r="E208" s="59">
        <v>0</v>
      </c>
      <c r="F208" s="59">
        <v>-168.87469482421875</v>
      </c>
      <c r="G208" s="42">
        <v>0</v>
      </c>
      <c r="H208" s="23"/>
      <c r="I208" s="23"/>
      <c r="J208" s="99"/>
      <c r="K208" s="99"/>
      <c r="L208" s="99"/>
      <c r="M208" s="99"/>
      <c r="N208" s="43">
        <f t="shared" si="3"/>
        <v>20464532</v>
      </c>
      <c r="O208" s="43"/>
      <c r="P208" s="23"/>
      <c r="Q208" s="23"/>
    </row>
    <row r="209" spans="1:17">
      <c r="A209" s="23"/>
      <c r="B209" s="53">
        <v>199</v>
      </c>
      <c r="C209" s="58">
        <v>21876670</v>
      </c>
      <c r="D209" s="59">
        <v>689.7462158203125</v>
      </c>
      <c r="E209" s="59">
        <v>0</v>
      </c>
      <c r="F209" s="59">
        <v>-172.67750549316406</v>
      </c>
      <c r="G209" s="42">
        <v>0</v>
      </c>
      <c r="H209" s="23"/>
      <c r="I209" s="23"/>
      <c r="J209" s="99"/>
      <c r="K209" s="99"/>
      <c r="L209" s="99"/>
      <c r="M209" s="99"/>
      <c r="N209" s="43">
        <f t="shared" si="3"/>
        <v>21876670</v>
      </c>
      <c r="O209" s="43"/>
      <c r="P209" s="23"/>
      <c r="Q209" s="23"/>
    </row>
    <row r="210" spans="1:17">
      <c r="A210" s="23"/>
      <c r="B210" s="54">
        <v>200</v>
      </c>
      <c r="C210" s="58">
        <v>23386252</v>
      </c>
      <c r="D210" s="60">
        <v>587.55499267578125</v>
      </c>
      <c r="E210" s="59">
        <v>0</v>
      </c>
      <c r="F210" s="59">
        <v>-177.16389465332031</v>
      </c>
      <c r="G210" s="42">
        <v>0</v>
      </c>
      <c r="H210" s="23"/>
      <c r="I210" s="23"/>
      <c r="J210" s="99"/>
      <c r="K210" s="99"/>
      <c r="L210" s="99"/>
      <c r="M210" s="99"/>
      <c r="N210" s="43">
        <f t="shared" si="3"/>
        <v>23386252</v>
      </c>
      <c r="O210" s="43"/>
      <c r="P210" s="23"/>
      <c r="Q210" s="23"/>
    </row>
    <row r="211" spans="1:17">
      <c r="A211" s="23"/>
      <c r="B211" s="55">
        <v>201</v>
      </c>
      <c r="C211" s="61">
        <v>25000000</v>
      </c>
      <c r="D211" s="61">
        <v>491.1802978515625</v>
      </c>
      <c r="E211" s="61">
        <v>0</v>
      </c>
      <c r="F211" s="61">
        <v>178.34170532226563</v>
      </c>
      <c r="G211" s="62">
        <v>0</v>
      </c>
      <c r="H211" s="23"/>
      <c r="I211" s="23"/>
      <c r="J211" s="99"/>
      <c r="K211" s="99"/>
      <c r="L211" s="99"/>
      <c r="M211" s="99"/>
      <c r="N211" s="43">
        <f t="shared" si="3"/>
        <v>25000000</v>
      </c>
      <c r="O211" s="43"/>
      <c r="P211" s="23"/>
      <c r="Q211" s="23"/>
    </row>
    <row r="212" spans="1:17">
      <c r="A212" s="23"/>
      <c r="B212" s="56"/>
      <c r="C212" s="63"/>
      <c r="D212" s="63"/>
      <c r="E212" s="63"/>
      <c r="F212" s="64"/>
      <c r="G212" s="64"/>
      <c r="H212" s="23"/>
      <c r="I212" s="23"/>
      <c r="J212" s="99"/>
      <c r="K212" s="99"/>
      <c r="L212" s="99"/>
      <c r="M212" s="99"/>
      <c r="N212" s="43">
        <f t="shared" si="3"/>
        <v>0</v>
      </c>
      <c r="O212" s="43"/>
      <c r="P212" s="23"/>
      <c r="Q212" s="23"/>
    </row>
    <row r="213" spans="1:17">
      <c r="A213" s="23"/>
      <c r="B213" s="56"/>
      <c r="C213" s="63"/>
      <c r="D213" s="63"/>
      <c r="E213" s="63"/>
      <c r="F213" s="63"/>
      <c r="G213" s="63"/>
      <c r="H213" s="23"/>
      <c r="I213" s="23"/>
      <c r="J213" s="99"/>
      <c r="K213" s="99"/>
      <c r="L213" s="99"/>
      <c r="M213" s="99"/>
      <c r="N213" s="43">
        <f t="shared" si="3"/>
        <v>0</v>
      </c>
      <c r="O213" s="48"/>
      <c r="P213" s="23"/>
      <c r="Q213" s="23"/>
    </row>
    <row r="214" spans="1:17">
      <c r="A214" s="23"/>
      <c r="B214" s="56"/>
      <c r="C214" s="63"/>
      <c r="D214" s="63"/>
      <c r="E214" s="63"/>
      <c r="F214" s="63"/>
      <c r="G214" s="63"/>
      <c r="H214" s="23"/>
      <c r="I214" s="23"/>
      <c r="J214" s="99"/>
      <c r="K214" s="99"/>
      <c r="L214" s="99"/>
      <c r="M214" s="99"/>
      <c r="N214" s="43">
        <f t="shared" si="3"/>
        <v>0</v>
      </c>
      <c r="O214" s="48"/>
      <c r="P214" s="23"/>
      <c r="Q214" s="23"/>
    </row>
    <row r="215" spans="1:17">
      <c r="A215" s="23"/>
      <c r="B215" s="56"/>
      <c r="C215" s="63"/>
      <c r="D215" s="63"/>
      <c r="E215" s="63"/>
      <c r="F215" s="63"/>
      <c r="G215" s="63"/>
      <c r="H215" s="23"/>
      <c r="I215" s="23"/>
      <c r="J215" s="99"/>
      <c r="K215" s="99"/>
      <c r="L215" s="99"/>
      <c r="M215" s="99"/>
      <c r="N215" s="43">
        <f t="shared" si="3"/>
        <v>0</v>
      </c>
      <c r="O215" s="48"/>
      <c r="P215" s="23"/>
      <c r="Q215" s="23"/>
    </row>
    <row r="216" spans="1:17">
      <c r="A216" s="23"/>
      <c r="B216" s="56"/>
      <c r="C216" s="63"/>
      <c r="D216" s="63"/>
      <c r="E216" s="63"/>
      <c r="F216" s="63"/>
      <c r="G216" s="63"/>
      <c r="H216" s="23"/>
      <c r="I216" s="23"/>
      <c r="J216" s="99"/>
      <c r="K216" s="99"/>
      <c r="L216" s="99"/>
      <c r="M216" s="99"/>
      <c r="N216" s="43">
        <f t="shared" si="3"/>
        <v>0</v>
      </c>
      <c r="O216" s="48"/>
      <c r="P216" s="23"/>
      <c r="Q216" s="23"/>
    </row>
    <row r="217" spans="1:17">
      <c r="A217" s="23"/>
      <c r="B217" s="56"/>
      <c r="C217" s="63"/>
      <c r="D217" s="63"/>
      <c r="E217" s="63"/>
      <c r="F217" s="63"/>
      <c r="G217" s="63"/>
      <c r="H217" s="23"/>
      <c r="I217" s="23"/>
      <c r="J217" s="99"/>
      <c r="K217" s="99"/>
      <c r="L217" s="99"/>
      <c r="M217" s="99"/>
      <c r="N217" s="43">
        <f t="shared" si="3"/>
        <v>0</v>
      </c>
      <c r="O217" s="48"/>
      <c r="P217" s="23"/>
      <c r="Q217" s="23"/>
    </row>
    <row r="218" spans="1:17">
      <c r="A218" s="23"/>
      <c r="B218" s="56"/>
      <c r="C218" s="63"/>
      <c r="D218" s="63"/>
      <c r="E218" s="63"/>
      <c r="F218" s="63"/>
      <c r="G218" s="63"/>
      <c r="H218" s="23"/>
      <c r="I218" s="23"/>
      <c r="J218" s="99"/>
      <c r="K218" s="99"/>
      <c r="L218" s="99"/>
      <c r="M218" s="99"/>
      <c r="N218" s="43">
        <f t="shared" si="3"/>
        <v>0</v>
      </c>
      <c r="O218" s="48"/>
      <c r="P218" s="23"/>
      <c r="Q218" s="23"/>
    </row>
    <row r="219" spans="1:17">
      <c r="A219" s="23"/>
      <c r="B219" s="56"/>
      <c r="C219" s="63"/>
      <c r="D219" s="63"/>
      <c r="E219" s="63"/>
      <c r="F219" s="63"/>
      <c r="G219" s="63"/>
      <c r="H219" s="23"/>
      <c r="I219" s="23"/>
      <c r="J219" s="99"/>
      <c r="K219" s="99"/>
      <c r="L219" s="99"/>
      <c r="M219" s="99"/>
      <c r="N219" s="43">
        <f t="shared" si="3"/>
        <v>0</v>
      </c>
      <c r="O219" s="48"/>
      <c r="P219" s="23"/>
      <c r="Q219" s="23"/>
    </row>
    <row r="220" spans="1:17">
      <c r="A220" s="23"/>
      <c r="B220" s="56"/>
      <c r="C220" s="63"/>
      <c r="D220" s="63"/>
      <c r="E220" s="63"/>
      <c r="F220" s="63"/>
      <c r="G220" s="63"/>
      <c r="H220" s="23"/>
      <c r="I220" s="23"/>
      <c r="J220" s="99"/>
      <c r="K220" s="99"/>
      <c r="L220" s="99"/>
      <c r="M220" s="99"/>
      <c r="N220" s="43">
        <f t="shared" si="3"/>
        <v>0</v>
      </c>
      <c r="O220" s="48"/>
      <c r="P220" s="23"/>
      <c r="Q220" s="23"/>
    </row>
    <row r="221" spans="1:17">
      <c r="A221" s="23"/>
      <c r="B221" s="56"/>
      <c r="C221" s="63"/>
      <c r="D221" s="63"/>
      <c r="E221" s="63"/>
      <c r="F221" s="63"/>
      <c r="G221" s="63"/>
      <c r="H221" s="23"/>
      <c r="I221" s="23"/>
      <c r="J221" s="99"/>
      <c r="K221" s="99"/>
      <c r="L221" s="99"/>
      <c r="M221" s="99"/>
      <c r="N221" s="43">
        <f t="shared" si="3"/>
        <v>0</v>
      </c>
      <c r="O221" s="48"/>
      <c r="P221" s="23"/>
      <c r="Q221" s="23"/>
    </row>
    <row r="222" spans="1:17">
      <c r="A222" s="23"/>
      <c r="B222" s="56"/>
      <c r="C222" s="63"/>
      <c r="D222" s="63"/>
      <c r="E222" s="63"/>
      <c r="F222" s="63"/>
      <c r="G222" s="63"/>
      <c r="H222" s="23"/>
      <c r="I222" s="23"/>
      <c r="J222" s="99"/>
      <c r="K222" s="99"/>
      <c r="L222" s="99"/>
      <c r="M222" s="99"/>
      <c r="N222" s="43">
        <f t="shared" si="3"/>
        <v>0</v>
      </c>
      <c r="O222" s="48"/>
      <c r="P222" s="23"/>
      <c r="Q222" s="23"/>
    </row>
    <row r="223" spans="1:17">
      <c r="A223" s="23"/>
      <c r="B223" s="56"/>
      <c r="C223" s="63"/>
      <c r="D223" s="63"/>
      <c r="E223" s="63"/>
      <c r="F223" s="63"/>
      <c r="G223" s="63"/>
      <c r="H223" s="23"/>
      <c r="I223" s="23"/>
      <c r="J223" s="99"/>
      <c r="K223" s="99"/>
      <c r="L223" s="99"/>
      <c r="M223" s="99"/>
      <c r="N223" s="43">
        <f t="shared" si="3"/>
        <v>0</v>
      </c>
      <c r="O223" s="48"/>
      <c r="P223" s="23"/>
      <c r="Q223" s="23"/>
    </row>
    <row r="224" spans="1:17">
      <c r="A224" s="23"/>
      <c r="B224" s="56"/>
      <c r="C224" s="63"/>
      <c r="D224" s="63"/>
      <c r="E224" s="63"/>
      <c r="F224" s="63"/>
      <c r="G224" s="63"/>
      <c r="H224" s="23"/>
      <c r="I224" s="23"/>
      <c r="J224" s="99"/>
      <c r="K224" s="99"/>
      <c r="L224" s="99"/>
      <c r="M224" s="99"/>
      <c r="N224" s="43">
        <f t="shared" si="3"/>
        <v>0</v>
      </c>
      <c r="O224" s="48"/>
      <c r="P224" s="23"/>
      <c r="Q224" s="23"/>
    </row>
    <row r="225" spans="1:17">
      <c r="A225" s="23"/>
      <c r="B225" s="56"/>
      <c r="C225" s="63"/>
      <c r="D225" s="63"/>
      <c r="E225" s="63"/>
      <c r="F225" s="63"/>
      <c r="G225" s="63"/>
      <c r="H225" s="23"/>
      <c r="I225" s="23"/>
      <c r="J225" s="99"/>
      <c r="K225" s="99"/>
      <c r="L225" s="99"/>
      <c r="M225" s="99"/>
      <c r="N225" s="43">
        <f t="shared" si="3"/>
        <v>0</v>
      </c>
      <c r="O225" s="48"/>
      <c r="P225" s="23"/>
      <c r="Q225" s="23"/>
    </row>
    <row r="226" spans="1:17">
      <c r="A226" s="23"/>
      <c r="B226" s="56"/>
      <c r="C226" s="63"/>
      <c r="D226" s="63"/>
      <c r="E226" s="63"/>
      <c r="F226" s="63"/>
      <c r="G226" s="63"/>
      <c r="H226" s="23"/>
      <c r="I226" s="23"/>
      <c r="J226" s="99"/>
      <c r="K226" s="99"/>
      <c r="L226" s="99"/>
      <c r="M226" s="99"/>
      <c r="N226" s="43">
        <f t="shared" si="3"/>
        <v>0</v>
      </c>
      <c r="O226" s="48"/>
      <c r="P226" s="23"/>
      <c r="Q226" s="23"/>
    </row>
    <row r="227" spans="1:17">
      <c r="B227" s="57"/>
      <c r="C227" s="60"/>
      <c r="D227" s="60"/>
      <c r="E227" s="60"/>
      <c r="F227" s="60"/>
      <c r="G227" s="60"/>
      <c r="J227" s="99"/>
      <c r="K227" s="99"/>
      <c r="L227" s="99"/>
      <c r="M227" s="99"/>
      <c r="N227" s="43">
        <f t="shared" si="3"/>
        <v>0</v>
      </c>
    </row>
    <row r="228" spans="1:17">
      <c r="B228" s="57"/>
      <c r="C228" s="60"/>
      <c r="D228" s="60"/>
      <c r="E228" s="60"/>
      <c r="F228" s="60"/>
      <c r="G228" s="60"/>
      <c r="J228" s="99"/>
      <c r="K228" s="99"/>
      <c r="L228" s="99"/>
      <c r="M228" s="99"/>
      <c r="N228" s="43">
        <f t="shared" si="3"/>
        <v>0</v>
      </c>
    </row>
    <row r="229" spans="1:17">
      <c r="B229" s="57"/>
      <c r="C229" s="60"/>
      <c r="D229" s="60"/>
      <c r="E229" s="60"/>
      <c r="F229" s="60"/>
      <c r="G229" s="60"/>
      <c r="J229" s="99"/>
      <c r="K229" s="99"/>
      <c r="L229" s="99"/>
      <c r="M229" s="99"/>
      <c r="N229" s="43">
        <f t="shared" si="3"/>
        <v>0</v>
      </c>
    </row>
    <row r="230" spans="1:17">
      <c r="B230" s="57"/>
      <c r="C230" s="60"/>
      <c r="D230" s="60"/>
      <c r="E230" s="60"/>
      <c r="F230" s="60"/>
      <c r="G230" s="60"/>
      <c r="J230" s="99"/>
      <c r="K230" s="99"/>
      <c r="L230" s="99"/>
      <c r="M230" s="99"/>
      <c r="N230" s="43">
        <f t="shared" si="3"/>
        <v>0</v>
      </c>
    </row>
    <row r="231" spans="1:17">
      <c r="B231" s="57"/>
      <c r="C231" s="60"/>
      <c r="D231" s="60"/>
      <c r="E231" s="60"/>
      <c r="F231" s="60"/>
      <c r="G231" s="60"/>
      <c r="J231" s="99"/>
      <c r="K231" s="99"/>
      <c r="L231" s="99"/>
      <c r="M231" s="99"/>
      <c r="N231" s="43">
        <f t="shared" si="3"/>
        <v>0</v>
      </c>
    </row>
    <row r="232" spans="1:17">
      <c r="B232" s="57"/>
      <c r="C232" s="60"/>
      <c r="D232" s="60"/>
      <c r="E232" s="60"/>
      <c r="F232" s="60"/>
      <c r="G232" s="60"/>
      <c r="J232" s="99"/>
      <c r="K232" s="99"/>
      <c r="L232" s="99"/>
      <c r="M232" s="99"/>
      <c r="N232" s="43">
        <f t="shared" si="3"/>
        <v>0</v>
      </c>
    </row>
    <row r="233" spans="1:17">
      <c r="B233" s="57"/>
      <c r="C233" s="60"/>
      <c r="D233" s="60"/>
      <c r="E233" s="60"/>
      <c r="F233" s="60"/>
      <c r="G233" s="60"/>
      <c r="J233" s="99"/>
      <c r="K233" s="99"/>
      <c r="L233" s="99"/>
      <c r="M233" s="99"/>
      <c r="N233" s="43">
        <f t="shared" si="3"/>
        <v>0</v>
      </c>
    </row>
    <row r="234" spans="1:17">
      <c r="B234" s="57"/>
      <c r="C234" s="60"/>
      <c r="D234" s="60"/>
      <c r="E234" s="60"/>
      <c r="F234" s="60"/>
      <c r="G234" s="60"/>
      <c r="J234" s="99"/>
      <c r="K234" s="99"/>
      <c r="L234" s="99"/>
      <c r="M234" s="99"/>
      <c r="N234" s="43">
        <f t="shared" si="3"/>
        <v>0</v>
      </c>
    </row>
    <row r="235" spans="1:17">
      <c r="B235" s="57"/>
      <c r="C235" s="60"/>
      <c r="D235" s="60"/>
      <c r="E235" s="60"/>
      <c r="F235" s="60"/>
      <c r="G235" s="60"/>
      <c r="J235" s="99"/>
      <c r="K235" s="99"/>
      <c r="L235" s="99"/>
      <c r="M235" s="99"/>
      <c r="N235" s="43">
        <f t="shared" si="3"/>
        <v>0</v>
      </c>
    </row>
    <row r="236" spans="1:17">
      <c r="B236" s="57"/>
      <c r="C236" s="60"/>
      <c r="D236" s="60"/>
      <c r="E236" s="60"/>
      <c r="F236" s="60"/>
      <c r="G236" s="60"/>
      <c r="J236" s="99"/>
      <c r="K236" s="99"/>
      <c r="L236" s="99"/>
      <c r="M236" s="99"/>
      <c r="N236" s="43">
        <f t="shared" si="3"/>
        <v>0</v>
      </c>
    </row>
    <row r="237" spans="1:17">
      <c r="B237" s="57"/>
      <c r="C237" s="60"/>
      <c r="D237" s="60"/>
      <c r="E237" s="60"/>
      <c r="F237" s="60"/>
      <c r="G237" s="60"/>
      <c r="J237" s="99"/>
      <c r="K237" s="99"/>
      <c r="L237" s="99"/>
      <c r="M237" s="99"/>
      <c r="N237" s="43">
        <f t="shared" si="3"/>
        <v>0</v>
      </c>
    </row>
    <row r="238" spans="1:17">
      <c r="B238" s="57"/>
      <c r="C238" s="60"/>
      <c r="D238" s="60"/>
      <c r="E238" s="60"/>
      <c r="F238" s="60"/>
      <c r="G238" s="60"/>
      <c r="J238" s="99"/>
      <c r="K238" s="99"/>
      <c r="L238" s="99"/>
      <c r="M238" s="99"/>
      <c r="N238" s="43">
        <f t="shared" si="3"/>
        <v>0</v>
      </c>
    </row>
    <row r="239" spans="1:17">
      <c r="B239" s="57"/>
      <c r="C239" s="60"/>
      <c r="D239" s="60"/>
      <c r="E239" s="60"/>
      <c r="F239" s="60"/>
      <c r="G239" s="60"/>
      <c r="J239" s="99"/>
      <c r="K239" s="99"/>
      <c r="L239" s="99"/>
      <c r="M239" s="99"/>
      <c r="N239" s="43">
        <f t="shared" si="3"/>
        <v>0</v>
      </c>
    </row>
    <row r="240" spans="1:17">
      <c r="B240" s="57"/>
      <c r="C240" s="60"/>
      <c r="D240" s="60"/>
      <c r="E240" s="60"/>
      <c r="F240" s="60"/>
      <c r="G240" s="60"/>
      <c r="J240" s="99"/>
      <c r="K240" s="99"/>
      <c r="L240" s="99"/>
      <c r="M240" s="99"/>
      <c r="N240" s="43">
        <f t="shared" si="3"/>
        <v>0</v>
      </c>
    </row>
    <row r="241" spans="2:14">
      <c r="B241" s="57"/>
      <c r="C241" s="60"/>
      <c r="D241" s="60"/>
      <c r="E241" s="60"/>
      <c r="F241" s="60"/>
      <c r="G241" s="60"/>
      <c r="J241" s="99"/>
      <c r="K241" s="99"/>
      <c r="L241" s="99"/>
      <c r="M241" s="99"/>
      <c r="N241" s="43">
        <f t="shared" si="3"/>
        <v>0</v>
      </c>
    </row>
    <row r="242" spans="2:14">
      <c r="B242" s="57"/>
      <c r="C242" s="60"/>
      <c r="D242" s="60"/>
      <c r="E242" s="60"/>
      <c r="F242" s="60"/>
      <c r="G242" s="60"/>
      <c r="J242" s="99"/>
      <c r="K242" s="99"/>
      <c r="L242" s="99"/>
      <c r="M242" s="99"/>
      <c r="N242" s="43">
        <f t="shared" si="3"/>
        <v>0</v>
      </c>
    </row>
    <row r="243" spans="2:14">
      <c r="B243" s="57"/>
      <c r="C243" s="60"/>
      <c r="D243" s="60"/>
      <c r="E243" s="60"/>
      <c r="F243" s="60"/>
      <c r="G243" s="60"/>
      <c r="J243" s="99"/>
      <c r="K243" s="99"/>
      <c r="L243" s="99"/>
      <c r="M243" s="99"/>
      <c r="N243" s="43">
        <f t="shared" si="3"/>
        <v>0</v>
      </c>
    </row>
    <row r="244" spans="2:14">
      <c r="B244" s="57"/>
      <c r="C244" s="60"/>
      <c r="D244" s="60"/>
      <c r="E244" s="60"/>
      <c r="F244" s="60"/>
      <c r="G244" s="60"/>
      <c r="J244" s="99"/>
      <c r="K244" s="99"/>
      <c r="L244" s="99"/>
      <c r="M244" s="99"/>
      <c r="N244" s="43">
        <f t="shared" si="3"/>
        <v>0</v>
      </c>
    </row>
    <row r="245" spans="2:14">
      <c r="B245" s="57"/>
      <c r="C245" s="60"/>
      <c r="D245" s="60"/>
      <c r="E245" s="60"/>
      <c r="F245" s="60"/>
      <c r="G245" s="60"/>
      <c r="J245" s="99"/>
      <c r="K245" s="99"/>
      <c r="L245" s="99"/>
      <c r="M245" s="99"/>
      <c r="N245" s="43">
        <f t="shared" si="3"/>
        <v>0</v>
      </c>
    </row>
    <row r="246" spans="2:14">
      <c r="B246" s="57"/>
      <c r="C246" s="60"/>
      <c r="D246" s="60"/>
      <c r="E246" s="60"/>
      <c r="F246" s="60"/>
      <c r="G246" s="60"/>
      <c r="J246" s="99"/>
      <c r="K246" s="99"/>
      <c r="L246" s="99"/>
      <c r="M246" s="99"/>
      <c r="N246" s="43">
        <f t="shared" si="3"/>
        <v>0</v>
      </c>
    </row>
    <row r="247" spans="2:14">
      <c r="B247" s="57"/>
      <c r="C247" s="60"/>
      <c r="D247" s="60"/>
      <c r="E247" s="60"/>
      <c r="F247" s="60"/>
      <c r="G247" s="60"/>
      <c r="J247" s="99"/>
      <c r="K247" s="99"/>
      <c r="L247" s="99"/>
      <c r="M247" s="99"/>
      <c r="N247" s="43">
        <f t="shared" si="3"/>
        <v>0</v>
      </c>
    </row>
    <row r="248" spans="2:14">
      <c r="B248" s="57"/>
      <c r="C248" s="60"/>
      <c r="D248" s="60"/>
      <c r="E248" s="60"/>
      <c r="F248" s="60"/>
      <c r="G248" s="60"/>
      <c r="J248" s="99"/>
      <c r="K248" s="99"/>
      <c r="L248" s="99"/>
      <c r="M248" s="99"/>
      <c r="N248" s="43">
        <f t="shared" si="3"/>
        <v>0</v>
      </c>
    </row>
    <row r="249" spans="2:14">
      <c r="B249" s="57"/>
      <c r="C249" s="60"/>
      <c r="D249" s="60"/>
      <c r="E249" s="60"/>
      <c r="F249" s="60"/>
      <c r="G249" s="60"/>
      <c r="J249" s="99"/>
      <c r="K249" s="99"/>
      <c r="L249" s="99"/>
      <c r="M249" s="99"/>
      <c r="N249" s="43">
        <f t="shared" si="3"/>
        <v>0</v>
      </c>
    </row>
    <row r="250" spans="2:14">
      <c r="B250" s="57"/>
      <c r="C250" s="60"/>
      <c r="D250" s="60"/>
      <c r="E250" s="60"/>
      <c r="F250" s="60"/>
      <c r="G250" s="60"/>
      <c r="J250" s="99"/>
      <c r="K250" s="99"/>
      <c r="L250" s="99"/>
      <c r="M250" s="99"/>
      <c r="N250" s="43">
        <f t="shared" si="3"/>
        <v>0</v>
      </c>
    </row>
    <row r="251" spans="2:14">
      <c r="B251" s="57"/>
      <c r="C251" s="60"/>
      <c r="D251" s="60"/>
      <c r="E251" s="60"/>
      <c r="F251" s="60"/>
      <c r="G251" s="60"/>
      <c r="J251" s="99"/>
      <c r="K251" s="99"/>
      <c r="L251" s="99"/>
      <c r="M251" s="99"/>
      <c r="N251" s="43">
        <f t="shared" si="3"/>
        <v>0</v>
      </c>
    </row>
    <row r="252" spans="2:14">
      <c r="B252" s="57"/>
      <c r="C252" s="60"/>
      <c r="D252" s="60"/>
      <c r="E252" s="60"/>
      <c r="F252" s="60"/>
      <c r="G252" s="60"/>
      <c r="J252" s="99"/>
      <c r="K252" s="99"/>
      <c r="L252" s="99"/>
      <c r="M252" s="99"/>
      <c r="N252" s="43">
        <f t="shared" si="3"/>
        <v>0</v>
      </c>
    </row>
    <row r="253" spans="2:14">
      <c r="B253" s="57"/>
      <c r="C253" s="60"/>
      <c r="D253" s="60"/>
      <c r="E253" s="60"/>
      <c r="F253" s="60"/>
      <c r="G253" s="60"/>
      <c r="J253" s="99"/>
      <c r="K253" s="99"/>
      <c r="L253" s="99"/>
      <c r="M253" s="99"/>
      <c r="N253" s="43">
        <f t="shared" si="3"/>
        <v>0</v>
      </c>
    </row>
    <row r="254" spans="2:14">
      <c r="B254" s="57"/>
      <c r="C254" s="60"/>
      <c r="D254" s="60"/>
      <c r="E254" s="60"/>
      <c r="F254" s="60"/>
      <c r="G254" s="60"/>
      <c r="J254" s="99"/>
      <c r="K254" s="99"/>
      <c r="L254" s="99"/>
      <c r="M254" s="99"/>
      <c r="N254" s="43">
        <f t="shared" si="3"/>
        <v>0</v>
      </c>
    </row>
    <row r="255" spans="2:14">
      <c r="B255" s="57"/>
      <c r="C255" s="60"/>
      <c r="D255" s="60"/>
      <c r="E255" s="60"/>
      <c r="F255" s="60"/>
      <c r="G255" s="60"/>
      <c r="J255" s="99"/>
      <c r="K255" s="99"/>
      <c r="L255" s="99"/>
      <c r="M255" s="99"/>
      <c r="N255" s="43">
        <f t="shared" si="3"/>
        <v>0</v>
      </c>
    </row>
    <row r="256" spans="2:14">
      <c r="B256" s="57"/>
      <c r="C256" s="60"/>
      <c r="D256" s="60"/>
      <c r="E256" s="60"/>
      <c r="F256" s="60"/>
      <c r="G256" s="60"/>
      <c r="J256" s="99"/>
      <c r="K256" s="99"/>
      <c r="L256" s="99"/>
      <c r="M256" s="99"/>
      <c r="N256" s="43">
        <f t="shared" si="3"/>
        <v>0</v>
      </c>
    </row>
    <row r="257" spans="2:14">
      <c r="B257" s="57"/>
      <c r="C257" s="60"/>
      <c r="D257" s="60"/>
      <c r="E257" s="60"/>
      <c r="F257" s="60"/>
      <c r="G257" s="60"/>
      <c r="J257" s="99"/>
      <c r="K257" s="99"/>
      <c r="L257" s="99"/>
      <c r="M257" s="99"/>
      <c r="N257" s="43">
        <f t="shared" si="3"/>
        <v>0</v>
      </c>
    </row>
    <row r="258" spans="2:14">
      <c r="B258" s="57"/>
      <c r="C258" s="60"/>
      <c r="D258" s="60"/>
      <c r="E258" s="60"/>
      <c r="F258" s="60"/>
      <c r="G258" s="60"/>
      <c r="J258" s="99"/>
      <c r="K258" s="99"/>
      <c r="L258" s="99"/>
      <c r="M258" s="99"/>
      <c r="N258" s="43">
        <f t="shared" si="3"/>
        <v>0</v>
      </c>
    </row>
    <row r="259" spans="2:14">
      <c r="B259" s="57"/>
      <c r="C259" s="60"/>
      <c r="D259" s="60"/>
      <c r="E259" s="60"/>
      <c r="F259" s="60"/>
      <c r="G259" s="60"/>
      <c r="J259" s="99"/>
      <c r="K259" s="99"/>
      <c r="L259" s="99"/>
      <c r="M259" s="99"/>
      <c r="N259" s="43">
        <f t="shared" si="3"/>
        <v>0</v>
      </c>
    </row>
    <row r="260" spans="2:14">
      <c r="B260" s="57"/>
      <c r="C260" s="60"/>
      <c r="D260" s="60"/>
      <c r="E260" s="60"/>
      <c r="F260" s="60"/>
      <c r="G260" s="60"/>
      <c r="J260" s="99"/>
      <c r="K260" s="99"/>
      <c r="L260" s="99"/>
      <c r="M260" s="99"/>
      <c r="N260" s="43">
        <f t="shared" si="3"/>
        <v>0</v>
      </c>
    </row>
    <row r="261" spans="2:14">
      <c r="B261" s="57"/>
      <c r="C261" s="60"/>
      <c r="D261" s="60"/>
      <c r="E261" s="60"/>
      <c r="F261" s="60"/>
      <c r="G261" s="60"/>
      <c r="J261" s="99"/>
      <c r="K261" s="99"/>
      <c r="L261" s="99"/>
      <c r="M261" s="99"/>
      <c r="N261" s="43">
        <f t="shared" si="3"/>
        <v>0</v>
      </c>
    </row>
    <row r="262" spans="2:14">
      <c r="B262" s="57"/>
      <c r="C262" s="60"/>
      <c r="D262" s="60"/>
      <c r="E262" s="60"/>
      <c r="F262" s="60"/>
      <c r="G262" s="60"/>
      <c r="J262" s="99"/>
      <c r="K262" s="99"/>
      <c r="L262" s="99"/>
      <c r="M262" s="99"/>
      <c r="N262" s="43">
        <f t="shared" si="3"/>
        <v>0</v>
      </c>
    </row>
    <row r="263" spans="2:14">
      <c r="B263" s="57"/>
      <c r="C263" s="60"/>
      <c r="D263" s="60"/>
      <c r="E263" s="60"/>
      <c r="F263" s="60"/>
      <c r="G263" s="60"/>
      <c r="J263" s="99"/>
      <c r="K263" s="99"/>
      <c r="L263" s="99"/>
      <c r="M263" s="99"/>
      <c r="N263" s="43">
        <f t="shared" si="3"/>
        <v>0</v>
      </c>
    </row>
    <row r="264" spans="2:14">
      <c r="B264" s="57"/>
      <c r="C264" s="60"/>
      <c r="D264" s="60"/>
      <c r="E264" s="60"/>
      <c r="F264" s="60"/>
      <c r="G264" s="60"/>
      <c r="J264" s="99"/>
      <c r="K264" s="99"/>
      <c r="L264" s="99"/>
      <c r="M264" s="99"/>
      <c r="N264" s="43">
        <f t="shared" si="3"/>
        <v>0</v>
      </c>
    </row>
    <row r="265" spans="2:14">
      <c r="B265" s="57"/>
      <c r="C265" s="60"/>
      <c r="D265" s="60"/>
      <c r="E265" s="60"/>
      <c r="F265" s="60"/>
      <c r="G265" s="60"/>
      <c r="J265" s="99"/>
      <c r="K265" s="99"/>
      <c r="L265" s="99"/>
      <c r="M265" s="99"/>
      <c r="N265" s="43">
        <f t="shared" si="3"/>
        <v>0</v>
      </c>
    </row>
    <row r="266" spans="2:14">
      <c r="B266" s="57"/>
      <c r="C266" s="60"/>
      <c r="D266" s="60"/>
      <c r="E266" s="60"/>
      <c r="F266" s="60"/>
      <c r="G266" s="60"/>
      <c r="J266" s="99"/>
      <c r="K266" s="99"/>
      <c r="L266" s="99"/>
      <c r="M266" s="99"/>
      <c r="N266" s="43">
        <f t="shared" si="3"/>
        <v>0</v>
      </c>
    </row>
    <row r="267" spans="2:14">
      <c r="B267" s="57"/>
      <c r="C267" s="60"/>
      <c r="D267" s="60"/>
      <c r="E267" s="60"/>
      <c r="F267" s="60"/>
      <c r="G267" s="60"/>
      <c r="J267" s="99"/>
      <c r="K267" s="99"/>
      <c r="L267" s="99"/>
      <c r="M267" s="99"/>
      <c r="N267" s="43">
        <f t="shared" ref="N267:N330" si="4">IF($L$4=$C$10,C267,IF(D267="","",B267))</f>
        <v>0</v>
      </c>
    </row>
    <row r="268" spans="2:14">
      <c r="B268" s="57"/>
      <c r="C268" s="60"/>
      <c r="D268" s="60"/>
      <c r="E268" s="60"/>
      <c r="F268" s="60"/>
      <c r="G268" s="60"/>
      <c r="J268" s="99"/>
      <c r="K268" s="99"/>
      <c r="L268" s="99"/>
      <c r="M268" s="99"/>
      <c r="N268" s="43">
        <f t="shared" si="4"/>
        <v>0</v>
      </c>
    </row>
    <row r="269" spans="2:14">
      <c r="B269" s="57"/>
      <c r="C269" s="60"/>
      <c r="D269" s="60"/>
      <c r="E269" s="60"/>
      <c r="F269" s="60"/>
      <c r="G269" s="60"/>
      <c r="J269" s="99"/>
      <c r="K269" s="99"/>
      <c r="L269" s="99"/>
      <c r="M269" s="99"/>
      <c r="N269" s="43">
        <f t="shared" si="4"/>
        <v>0</v>
      </c>
    </row>
    <row r="270" spans="2:14">
      <c r="B270" s="57"/>
      <c r="C270" s="60"/>
      <c r="D270" s="60"/>
      <c r="E270" s="60"/>
      <c r="F270" s="60"/>
      <c r="G270" s="60"/>
      <c r="J270" s="99"/>
      <c r="K270" s="99"/>
      <c r="L270" s="99"/>
      <c r="M270" s="99"/>
      <c r="N270" s="43">
        <f t="shared" si="4"/>
        <v>0</v>
      </c>
    </row>
    <row r="271" spans="2:14">
      <c r="B271" s="57"/>
      <c r="C271" s="60"/>
      <c r="D271" s="60"/>
      <c r="E271" s="60"/>
      <c r="F271" s="60"/>
      <c r="G271" s="60"/>
      <c r="J271" s="99"/>
      <c r="K271" s="99"/>
      <c r="L271" s="99"/>
      <c r="M271" s="99"/>
      <c r="N271" s="43">
        <f t="shared" si="4"/>
        <v>0</v>
      </c>
    </row>
    <row r="272" spans="2:14">
      <c r="B272" s="57"/>
      <c r="C272" s="60"/>
      <c r="D272" s="60"/>
      <c r="E272" s="60"/>
      <c r="F272" s="60"/>
      <c r="G272" s="60"/>
      <c r="J272" s="99"/>
      <c r="K272" s="99"/>
      <c r="L272" s="99"/>
      <c r="M272" s="99"/>
      <c r="N272" s="43">
        <f t="shared" si="4"/>
        <v>0</v>
      </c>
    </row>
    <row r="273" spans="2:14">
      <c r="B273" s="57"/>
      <c r="C273" s="60"/>
      <c r="D273" s="60"/>
      <c r="E273" s="60"/>
      <c r="F273" s="60"/>
      <c r="G273" s="60"/>
      <c r="J273" s="99"/>
      <c r="K273" s="99"/>
      <c r="L273" s="99"/>
      <c r="M273" s="99"/>
      <c r="N273" s="43">
        <f t="shared" si="4"/>
        <v>0</v>
      </c>
    </row>
    <row r="274" spans="2:14">
      <c r="B274" s="57"/>
      <c r="C274" s="60"/>
      <c r="D274" s="60"/>
      <c r="E274" s="60"/>
      <c r="F274" s="60"/>
      <c r="G274" s="60"/>
      <c r="J274" s="99"/>
      <c r="K274" s="99"/>
      <c r="L274" s="99"/>
      <c r="M274" s="99"/>
      <c r="N274" s="43">
        <f t="shared" si="4"/>
        <v>0</v>
      </c>
    </row>
    <row r="275" spans="2:14">
      <c r="B275" s="57"/>
      <c r="C275" s="60"/>
      <c r="D275" s="60"/>
      <c r="E275" s="60"/>
      <c r="F275" s="60"/>
      <c r="G275" s="60"/>
      <c r="J275" s="99"/>
      <c r="K275" s="99"/>
      <c r="L275" s="99"/>
      <c r="M275" s="99"/>
      <c r="N275" s="43">
        <f t="shared" si="4"/>
        <v>0</v>
      </c>
    </row>
    <row r="276" spans="2:14">
      <c r="B276" s="57"/>
      <c r="C276" s="60"/>
      <c r="D276" s="60"/>
      <c r="E276" s="60"/>
      <c r="F276" s="60"/>
      <c r="G276" s="60"/>
      <c r="J276" s="99"/>
      <c r="K276" s="99"/>
      <c r="L276" s="99"/>
      <c r="M276" s="99"/>
      <c r="N276" s="43">
        <f t="shared" si="4"/>
        <v>0</v>
      </c>
    </row>
    <row r="277" spans="2:14">
      <c r="B277" s="57"/>
      <c r="C277" s="60"/>
      <c r="D277" s="60"/>
      <c r="E277" s="60"/>
      <c r="F277" s="60"/>
      <c r="G277" s="60"/>
      <c r="J277" s="99"/>
      <c r="K277" s="99"/>
      <c r="L277" s="99"/>
      <c r="M277" s="99"/>
      <c r="N277" s="43">
        <f t="shared" si="4"/>
        <v>0</v>
      </c>
    </row>
    <row r="278" spans="2:14">
      <c r="B278" s="57"/>
      <c r="C278" s="60"/>
      <c r="D278" s="60"/>
      <c r="E278" s="60"/>
      <c r="F278" s="60"/>
      <c r="G278" s="60"/>
      <c r="J278" s="99"/>
      <c r="K278" s="99"/>
      <c r="L278" s="99"/>
      <c r="M278" s="99"/>
      <c r="N278" s="43">
        <f t="shared" si="4"/>
        <v>0</v>
      </c>
    </row>
    <row r="279" spans="2:14">
      <c r="B279" s="57"/>
      <c r="C279" s="60"/>
      <c r="D279" s="60"/>
      <c r="E279" s="60"/>
      <c r="F279" s="60"/>
      <c r="G279" s="60"/>
      <c r="J279" s="99"/>
      <c r="K279" s="99"/>
      <c r="L279" s="99"/>
      <c r="M279" s="99"/>
      <c r="N279" s="43">
        <f t="shared" si="4"/>
        <v>0</v>
      </c>
    </row>
    <row r="280" spans="2:14">
      <c r="B280" s="57"/>
      <c r="C280" s="60"/>
      <c r="D280" s="60"/>
      <c r="E280" s="60"/>
      <c r="F280" s="60"/>
      <c r="G280" s="60"/>
      <c r="J280" s="99"/>
      <c r="K280" s="99"/>
      <c r="L280" s="99"/>
      <c r="M280" s="99"/>
      <c r="N280" s="43">
        <f t="shared" si="4"/>
        <v>0</v>
      </c>
    </row>
    <row r="281" spans="2:14">
      <c r="B281" s="57"/>
      <c r="C281" s="60"/>
      <c r="D281" s="60"/>
      <c r="E281" s="60"/>
      <c r="F281" s="60"/>
      <c r="G281" s="60"/>
      <c r="J281" s="99"/>
      <c r="K281" s="99"/>
      <c r="L281" s="99"/>
      <c r="M281" s="99"/>
      <c r="N281" s="43">
        <f t="shared" si="4"/>
        <v>0</v>
      </c>
    </row>
    <row r="282" spans="2:14">
      <c r="B282" s="57"/>
      <c r="C282" s="60"/>
      <c r="D282" s="60"/>
      <c r="E282" s="60"/>
      <c r="F282" s="60"/>
      <c r="G282" s="60"/>
      <c r="J282" s="99"/>
      <c r="K282" s="99"/>
      <c r="L282" s="99"/>
      <c r="M282" s="99"/>
      <c r="N282" s="43">
        <f t="shared" si="4"/>
        <v>0</v>
      </c>
    </row>
    <row r="283" spans="2:14">
      <c r="B283" s="57"/>
      <c r="C283" s="60"/>
      <c r="D283" s="60"/>
      <c r="E283" s="60"/>
      <c r="F283" s="60"/>
      <c r="G283" s="60"/>
      <c r="J283" s="99"/>
      <c r="K283" s="99"/>
      <c r="L283" s="99"/>
      <c r="M283" s="99"/>
      <c r="N283" s="43">
        <f t="shared" si="4"/>
        <v>0</v>
      </c>
    </row>
    <row r="284" spans="2:14">
      <c r="B284" s="57"/>
      <c r="C284" s="60"/>
      <c r="D284" s="60"/>
      <c r="E284" s="60"/>
      <c r="F284" s="60"/>
      <c r="G284" s="60"/>
      <c r="J284" s="99"/>
      <c r="K284" s="99"/>
      <c r="L284" s="99"/>
      <c r="M284" s="99"/>
      <c r="N284" s="43">
        <f t="shared" si="4"/>
        <v>0</v>
      </c>
    </row>
    <row r="285" spans="2:14">
      <c r="B285" s="57"/>
      <c r="C285" s="60"/>
      <c r="D285" s="60"/>
      <c r="E285" s="60"/>
      <c r="F285" s="60"/>
      <c r="G285" s="60"/>
      <c r="J285" s="99"/>
      <c r="K285" s="99"/>
      <c r="L285" s="99"/>
      <c r="M285" s="99"/>
      <c r="N285" s="43">
        <f t="shared" si="4"/>
        <v>0</v>
      </c>
    </row>
    <row r="286" spans="2:14">
      <c r="B286" s="57"/>
      <c r="C286" s="60"/>
      <c r="D286" s="60"/>
      <c r="E286" s="60"/>
      <c r="F286" s="60"/>
      <c r="G286" s="60"/>
      <c r="J286" s="99"/>
      <c r="K286" s="99"/>
      <c r="L286" s="99"/>
      <c r="M286" s="99"/>
      <c r="N286" s="43">
        <f t="shared" si="4"/>
        <v>0</v>
      </c>
    </row>
    <row r="287" spans="2:14">
      <c r="B287" s="57"/>
      <c r="C287" s="60"/>
      <c r="D287" s="60"/>
      <c r="E287" s="60"/>
      <c r="F287" s="60"/>
      <c r="G287" s="60"/>
      <c r="J287" s="99"/>
      <c r="K287" s="99"/>
      <c r="L287" s="99"/>
      <c r="M287" s="99"/>
      <c r="N287" s="43">
        <f t="shared" si="4"/>
        <v>0</v>
      </c>
    </row>
    <row r="288" spans="2:14">
      <c r="B288" s="57"/>
      <c r="C288" s="60"/>
      <c r="D288" s="60"/>
      <c r="E288" s="60"/>
      <c r="F288" s="60"/>
      <c r="G288" s="60"/>
      <c r="J288" s="99"/>
      <c r="K288" s="99"/>
      <c r="L288" s="99"/>
      <c r="M288" s="99"/>
      <c r="N288" s="43">
        <f t="shared" si="4"/>
        <v>0</v>
      </c>
    </row>
    <row r="289" spans="2:14">
      <c r="B289" s="57"/>
      <c r="C289" s="60"/>
      <c r="D289" s="60"/>
      <c r="E289" s="60"/>
      <c r="F289" s="60"/>
      <c r="G289" s="60"/>
      <c r="J289" s="99"/>
      <c r="K289" s="99"/>
      <c r="L289" s="99"/>
      <c r="M289" s="99"/>
      <c r="N289" s="43">
        <f t="shared" si="4"/>
        <v>0</v>
      </c>
    </row>
    <row r="290" spans="2:14">
      <c r="B290" s="57"/>
      <c r="C290" s="60"/>
      <c r="D290" s="60"/>
      <c r="E290" s="60"/>
      <c r="F290" s="60"/>
      <c r="G290" s="60"/>
      <c r="J290" s="99"/>
      <c r="K290" s="99"/>
      <c r="L290" s="99"/>
      <c r="M290" s="99"/>
      <c r="N290" s="43">
        <f t="shared" si="4"/>
        <v>0</v>
      </c>
    </row>
    <row r="291" spans="2:14">
      <c r="B291" s="57"/>
      <c r="C291" s="60"/>
      <c r="D291" s="60"/>
      <c r="E291" s="60"/>
      <c r="F291" s="60"/>
      <c r="G291" s="60"/>
      <c r="J291" s="99"/>
      <c r="K291" s="99"/>
      <c r="L291" s="99"/>
      <c r="M291" s="99"/>
      <c r="N291" s="43">
        <f t="shared" si="4"/>
        <v>0</v>
      </c>
    </row>
    <row r="292" spans="2:14">
      <c r="B292" s="57"/>
      <c r="C292" s="60"/>
      <c r="D292" s="60"/>
      <c r="E292" s="60"/>
      <c r="F292" s="60"/>
      <c r="G292" s="60"/>
      <c r="J292" s="99"/>
      <c r="K292" s="99"/>
      <c r="L292" s="99"/>
      <c r="M292" s="99"/>
      <c r="N292" s="43">
        <f t="shared" si="4"/>
        <v>0</v>
      </c>
    </row>
    <row r="293" spans="2:14">
      <c r="B293" s="57"/>
      <c r="C293" s="60"/>
      <c r="D293" s="60"/>
      <c r="E293" s="60"/>
      <c r="F293" s="60"/>
      <c r="G293" s="60"/>
      <c r="J293" s="99"/>
      <c r="K293" s="99"/>
      <c r="L293" s="99"/>
      <c r="M293" s="99"/>
      <c r="N293" s="43">
        <f t="shared" si="4"/>
        <v>0</v>
      </c>
    </row>
    <row r="294" spans="2:14">
      <c r="B294" s="57"/>
      <c r="C294" s="60"/>
      <c r="D294" s="60"/>
      <c r="E294" s="60"/>
      <c r="F294" s="60"/>
      <c r="G294" s="60"/>
      <c r="J294" s="99"/>
      <c r="K294" s="99"/>
      <c r="L294" s="99"/>
      <c r="M294" s="99"/>
      <c r="N294" s="43">
        <f t="shared" si="4"/>
        <v>0</v>
      </c>
    </row>
    <row r="295" spans="2:14">
      <c r="B295" s="57"/>
      <c r="C295" s="60"/>
      <c r="D295" s="60"/>
      <c r="E295" s="60"/>
      <c r="F295" s="60"/>
      <c r="G295" s="60"/>
      <c r="J295" s="99"/>
      <c r="K295" s="99"/>
      <c r="L295" s="99"/>
      <c r="M295" s="99"/>
      <c r="N295" s="43">
        <f t="shared" si="4"/>
        <v>0</v>
      </c>
    </row>
    <row r="296" spans="2:14">
      <c r="B296" s="57"/>
      <c r="C296" s="60"/>
      <c r="D296" s="60"/>
      <c r="E296" s="60"/>
      <c r="F296" s="60"/>
      <c r="G296" s="60"/>
      <c r="J296" s="99"/>
      <c r="K296" s="99"/>
      <c r="L296" s="99"/>
      <c r="M296" s="99"/>
      <c r="N296" s="43">
        <f t="shared" si="4"/>
        <v>0</v>
      </c>
    </row>
    <row r="297" spans="2:14">
      <c r="B297" s="57"/>
      <c r="C297" s="60"/>
      <c r="D297" s="60"/>
      <c r="E297" s="60"/>
      <c r="F297" s="60"/>
      <c r="G297" s="60"/>
      <c r="J297" s="99"/>
      <c r="K297" s="99"/>
      <c r="L297" s="99"/>
      <c r="M297" s="99"/>
      <c r="N297" s="43">
        <f t="shared" si="4"/>
        <v>0</v>
      </c>
    </row>
    <row r="298" spans="2:14">
      <c r="B298" s="57"/>
      <c r="C298" s="60"/>
      <c r="D298" s="60"/>
      <c r="E298" s="60"/>
      <c r="F298" s="60"/>
      <c r="G298" s="60"/>
      <c r="J298" s="99"/>
      <c r="K298" s="99"/>
      <c r="L298" s="99"/>
      <c r="M298" s="99"/>
      <c r="N298" s="43">
        <f t="shared" si="4"/>
        <v>0</v>
      </c>
    </row>
    <row r="299" spans="2:14">
      <c r="B299" s="57"/>
      <c r="C299" s="60"/>
      <c r="D299" s="60"/>
      <c r="E299" s="60"/>
      <c r="F299" s="60"/>
      <c r="G299" s="60"/>
      <c r="J299" s="99"/>
      <c r="K299" s="99"/>
      <c r="L299" s="99"/>
      <c r="M299" s="99"/>
      <c r="N299" s="43">
        <f t="shared" si="4"/>
        <v>0</v>
      </c>
    </row>
    <row r="300" spans="2:14">
      <c r="B300" s="57"/>
      <c r="C300" s="60"/>
      <c r="D300" s="60"/>
      <c r="E300" s="60"/>
      <c r="F300" s="60"/>
      <c r="G300" s="60"/>
      <c r="J300" s="99"/>
      <c r="K300" s="99"/>
      <c r="L300" s="99"/>
      <c r="M300" s="99"/>
      <c r="N300" s="43">
        <f t="shared" si="4"/>
        <v>0</v>
      </c>
    </row>
    <row r="301" spans="2:14">
      <c r="B301" s="57"/>
      <c r="C301" s="60"/>
      <c r="D301" s="60"/>
      <c r="E301" s="60"/>
      <c r="F301" s="60"/>
      <c r="G301" s="60"/>
      <c r="J301" s="99"/>
      <c r="K301" s="99"/>
      <c r="L301" s="99"/>
      <c r="M301" s="99"/>
      <c r="N301" s="43">
        <f t="shared" si="4"/>
        <v>0</v>
      </c>
    </row>
    <row r="302" spans="2:14">
      <c r="B302" s="57"/>
      <c r="C302" s="60"/>
      <c r="D302" s="60"/>
      <c r="E302" s="60"/>
      <c r="F302" s="60"/>
      <c r="G302" s="60"/>
      <c r="J302" s="99"/>
      <c r="K302" s="99"/>
      <c r="L302" s="99"/>
      <c r="M302" s="99"/>
      <c r="N302" s="43">
        <f t="shared" si="4"/>
        <v>0</v>
      </c>
    </row>
    <row r="303" spans="2:14">
      <c r="B303" s="57"/>
      <c r="C303" s="60"/>
      <c r="D303" s="60"/>
      <c r="E303" s="60"/>
      <c r="F303" s="60"/>
      <c r="G303" s="60"/>
      <c r="J303" s="99"/>
      <c r="K303" s="99"/>
      <c r="L303" s="99"/>
      <c r="M303" s="99"/>
      <c r="N303" s="43">
        <f t="shared" si="4"/>
        <v>0</v>
      </c>
    </row>
    <row r="304" spans="2:14">
      <c r="B304" s="57"/>
      <c r="C304" s="60"/>
      <c r="D304" s="60"/>
      <c r="E304" s="60"/>
      <c r="F304" s="60"/>
      <c r="G304" s="60"/>
      <c r="J304" s="99"/>
      <c r="K304" s="99"/>
      <c r="L304" s="99"/>
      <c r="M304" s="99"/>
      <c r="N304" s="43">
        <f t="shared" si="4"/>
        <v>0</v>
      </c>
    </row>
    <row r="305" spans="2:14">
      <c r="B305" s="57"/>
      <c r="C305" s="60"/>
      <c r="D305" s="60"/>
      <c r="E305" s="60"/>
      <c r="F305" s="60"/>
      <c r="G305" s="60"/>
      <c r="J305" s="99"/>
      <c r="K305" s="99"/>
      <c r="L305" s="99"/>
      <c r="M305" s="99"/>
      <c r="N305" s="43">
        <f t="shared" si="4"/>
        <v>0</v>
      </c>
    </row>
    <row r="306" spans="2:14">
      <c r="B306" s="57"/>
      <c r="C306" s="60"/>
      <c r="D306" s="60"/>
      <c r="E306" s="60"/>
      <c r="F306" s="60"/>
      <c r="G306" s="60"/>
      <c r="J306" s="99"/>
      <c r="K306" s="99"/>
      <c r="L306" s="99"/>
      <c r="M306" s="99"/>
      <c r="N306" s="43">
        <f t="shared" si="4"/>
        <v>0</v>
      </c>
    </row>
    <row r="307" spans="2:14">
      <c r="B307" s="57"/>
      <c r="C307" s="60"/>
      <c r="D307" s="60"/>
      <c r="E307" s="60"/>
      <c r="F307" s="60"/>
      <c r="G307" s="60"/>
      <c r="J307" s="99"/>
      <c r="K307" s="99"/>
      <c r="L307" s="99"/>
      <c r="M307" s="99"/>
      <c r="N307" s="43">
        <f t="shared" si="4"/>
        <v>0</v>
      </c>
    </row>
    <row r="308" spans="2:14">
      <c r="B308" s="57"/>
      <c r="C308" s="60"/>
      <c r="D308" s="60"/>
      <c r="E308" s="60"/>
      <c r="F308" s="60"/>
      <c r="G308" s="60"/>
      <c r="J308" s="99"/>
      <c r="K308" s="99"/>
      <c r="L308" s="99"/>
      <c r="M308" s="99"/>
      <c r="N308" s="43">
        <f t="shared" si="4"/>
        <v>0</v>
      </c>
    </row>
    <row r="309" spans="2:14">
      <c r="B309" s="57"/>
      <c r="C309" s="60"/>
      <c r="D309" s="60"/>
      <c r="E309" s="60"/>
      <c r="F309" s="60"/>
      <c r="G309" s="60"/>
      <c r="J309" s="99"/>
      <c r="K309" s="99"/>
      <c r="L309" s="99"/>
      <c r="M309" s="99"/>
      <c r="N309" s="43">
        <f t="shared" si="4"/>
        <v>0</v>
      </c>
    </row>
    <row r="310" spans="2:14">
      <c r="B310" s="57"/>
      <c r="C310" s="60"/>
      <c r="D310" s="60"/>
      <c r="E310" s="60"/>
      <c r="F310" s="60"/>
      <c r="G310" s="60"/>
      <c r="J310" s="99"/>
      <c r="K310" s="99"/>
      <c r="L310" s="99"/>
      <c r="M310" s="99"/>
      <c r="N310" s="43">
        <f t="shared" si="4"/>
        <v>0</v>
      </c>
    </row>
    <row r="311" spans="2:14">
      <c r="B311" s="57"/>
      <c r="C311" s="60"/>
      <c r="D311" s="60"/>
      <c r="E311" s="60"/>
      <c r="F311" s="60"/>
      <c r="G311" s="60"/>
      <c r="J311" s="99"/>
      <c r="K311" s="99"/>
      <c r="L311" s="99"/>
      <c r="M311" s="99"/>
      <c r="N311" s="43">
        <f t="shared" si="4"/>
        <v>0</v>
      </c>
    </row>
    <row r="312" spans="2:14">
      <c r="B312" s="57"/>
      <c r="C312" s="60"/>
      <c r="D312" s="60"/>
      <c r="E312" s="60"/>
      <c r="F312" s="60"/>
      <c r="G312" s="60"/>
      <c r="J312" s="99"/>
      <c r="K312" s="99"/>
      <c r="L312" s="99"/>
      <c r="M312" s="99"/>
      <c r="N312" s="43">
        <f t="shared" si="4"/>
        <v>0</v>
      </c>
    </row>
    <row r="313" spans="2:14">
      <c r="B313" s="57"/>
      <c r="C313" s="60"/>
      <c r="D313" s="60"/>
      <c r="E313" s="60"/>
      <c r="F313" s="60"/>
      <c r="G313" s="60"/>
      <c r="J313" s="99"/>
      <c r="K313" s="99"/>
      <c r="L313" s="99"/>
      <c r="M313" s="99"/>
      <c r="N313" s="43">
        <f t="shared" si="4"/>
        <v>0</v>
      </c>
    </row>
    <row r="314" spans="2:14">
      <c r="B314" s="57"/>
      <c r="C314" s="60"/>
      <c r="D314" s="60"/>
      <c r="E314" s="60"/>
      <c r="F314" s="60"/>
      <c r="G314" s="60"/>
      <c r="J314" s="99"/>
      <c r="K314" s="99"/>
      <c r="L314" s="99"/>
      <c r="M314" s="99"/>
      <c r="N314" s="43">
        <f t="shared" si="4"/>
        <v>0</v>
      </c>
    </row>
    <row r="315" spans="2:14">
      <c r="B315" s="57"/>
      <c r="C315" s="60"/>
      <c r="D315" s="60"/>
      <c r="E315" s="60"/>
      <c r="F315" s="60"/>
      <c r="G315" s="60"/>
      <c r="J315" s="99"/>
      <c r="K315" s="99"/>
      <c r="L315" s="99"/>
      <c r="M315" s="99"/>
      <c r="N315" s="43">
        <f t="shared" si="4"/>
        <v>0</v>
      </c>
    </row>
    <row r="316" spans="2:14">
      <c r="B316" s="57"/>
      <c r="C316" s="60"/>
      <c r="D316" s="60"/>
      <c r="E316" s="60"/>
      <c r="F316" s="60"/>
      <c r="G316" s="60"/>
      <c r="J316" s="99"/>
      <c r="K316" s="99"/>
      <c r="L316" s="99"/>
      <c r="M316" s="99"/>
      <c r="N316" s="43">
        <f t="shared" si="4"/>
        <v>0</v>
      </c>
    </row>
    <row r="317" spans="2:14">
      <c r="B317" s="57"/>
      <c r="C317" s="60"/>
      <c r="D317" s="60"/>
      <c r="E317" s="60"/>
      <c r="F317" s="60"/>
      <c r="G317" s="60"/>
      <c r="J317" s="99"/>
      <c r="K317" s="99"/>
      <c r="L317" s="99"/>
      <c r="M317" s="99"/>
      <c r="N317" s="43">
        <f t="shared" si="4"/>
        <v>0</v>
      </c>
    </row>
    <row r="318" spans="2:14">
      <c r="B318" s="57"/>
      <c r="C318" s="60"/>
      <c r="D318" s="60"/>
      <c r="E318" s="60"/>
      <c r="F318" s="60"/>
      <c r="G318" s="60"/>
      <c r="J318" s="99"/>
      <c r="K318" s="99"/>
      <c r="L318" s="99"/>
      <c r="M318" s="99"/>
      <c r="N318" s="43">
        <f t="shared" si="4"/>
        <v>0</v>
      </c>
    </row>
    <row r="319" spans="2:14">
      <c r="B319" s="57"/>
      <c r="C319" s="60"/>
      <c r="D319" s="60"/>
      <c r="E319" s="60"/>
      <c r="F319" s="60"/>
      <c r="G319" s="60"/>
      <c r="J319" s="99"/>
      <c r="K319" s="99"/>
      <c r="L319" s="99"/>
      <c r="M319" s="99"/>
      <c r="N319" s="43">
        <f t="shared" si="4"/>
        <v>0</v>
      </c>
    </row>
    <row r="320" spans="2:14">
      <c r="B320" s="57"/>
      <c r="C320" s="60"/>
      <c r="D320" s="60"/>
      <c r="E320" s="60"/>
      <c r="F320" s="60"/>
      <c r="G320" s="60"/>
      <c r="J320" s="99"/>
      <c r="K320" s="99"/>
      <c r="L320" s="99"/>
      <c r="M320" s="99"/>
      <c r="N320" s="43">
        <f t="shared" si="4"/>
        <v>0</v>
      </c>
    </row>
    <row r="321" spans="2:14">
      <c r="B321" s="57"/>
      <c r="C321" s="60"/>
      <c r="D321" s="60"/>
      <c r="E321" s="60"/>
      <c r="F321" s="60"/>
      <c r="G321" s="60"/>
      <c r="J321" s="99"/>
      <c r="K321" s="99"/>
      <c r="L321" s="99"/>
      <c r="M321" s="99"/>
      <c r="N321" s="43">
        <f t="shared" si="4"/>
        <v>0</v>
      </c>
    </row>
    <row r="322" spans="2:14">
      <c r="B322" s="57"/>
      <c r="C322" s="60"/>
      <c r="D322" s="60"/>
      <c r="E322" s="60"/>
      <c r="F322" s="60"/>
      <c r="G322" s="60"/>
      <c r="J322" s="99"/>
      <c r="K322" s="99"/>
      <c r="L322" s="99"/>
      <c r="M322" s="99"/>
      <c r="N322" s="43">
        <f t="shared" si="4"/>
        <v>0</v>
      </c>
    </row>
    <row r="323" spans="2:14">
      <c r="B323" s="57"/>
      <c r="C323" s="60"/>
      <c r="D323" s="60"/>
      <c r="E323" s="60"/>
      <c r="F323" s="60"/>
      <c r="G323" s="60"/>
      <c r="J323" s="99"/>
      <c r="K323" s="99"/>
      <c r="L323" s="99"/>
      <c r="M323" s="99"/>
      <c r="N323" s="43">
        <f t="shared" si="4"/>
        <v>0</v>
      </c>
    </row>
    <row r="324" spans="2:14">
      <c r="B324" s="57"/>
      <c r="C324" s="60"/>
      <c r="D324" s="60"/>
      <c r="E324" s="60"/>
      <c r="F324" s="60"/>
      <c r="G324" s="60"/>
      <c r="J324" s="99"/>
      <c r="K324" s="99"/>
      <c r="L324" s="99"/>
      <c r="M324" s="99"/>
      <c r="N324" s="43">
        <f t="shared" si="4"/>
        <v>0</v>
      </c>
    </row>
    <row r="325" spans="2:14">
      <c r="B325" s="57"/>
      <c r="C325" s="60"/>
      <c r="D325" s="60"/>
      <c r="E325" s="60"/>
      <c r="F325" s="60"/>
      <c r="G325" s="60"/>
      <c r="J325" s="99"/>
      <c r="K325" s="99"/>
      <c r="L325" s="99"/>
      <c r="M325" s="99"/>
      <c r="N325" s="43">
        <f t="shared" si="4"/>
        <v>0</v>
      </c>
    </row>
    <row r="326" spans="2:14">
      <c r="B326" s="57"/>
      <c r="C326" s="60"/>
      <c r="D326" s="60"/>
      <c r="E326" s="60"/>
      <c r="F326" s="60"/>
      <c r="G326" s="60"/>
      <c r="J326" s="99"/>
      <c r="K326" s="99"/>
      <c r="L326" s="99"/>
      <c r="M326" s="99"/>
      <c r="N326" s="43">
        <f t="shared" si="4"/>
        <v>0</v>
      </c>
    </row>
    <row r="327" spans="2:14">
      <c r="B327" s="57"/>
      <c r="C327" s="60"/>
      <c r="D327" s="60"/>
      <c r="E327" s="60"/>
      <c r="F327" s="60"/>
      <c r="G327" s="60"/>
      <c r="J327" s="99"/>
      <c r="K327" s="99"/>
      <c r="L327" s="99"/>
      <c r="M327" s="99"/>
      <c r="N327" s="43">
        <f t="shared" si="4"/>
        <v>0</v>
      </c>
    </row>
    <row r="328" spans="2:14">
      <c r="B328" s="57"/>
      <c r="C328" s="60"/>
      <c r="D328" s="60"/>
      <c r="E328" s="60"/>
      <c r="F328" s="60"/>
      <c r="G328" s="60"/>
      <c r="J328" s="99"/>
      <c r="K328" s="99"/>
      <c r="L328" s="99"/>
      <c r="M328" s="99"/>
      <c r="N328" s="43">
        <f t="shared" si="4"/>
        <v>0</v>
      </c>
    </row>
    <row r="329" spans="2:14">
      <c r="B329" s="57"/>
      <c r="C329" s="60"/>
      <c r="D329" s="60"/>
      <c r="E329" s="60"/>
      <c r="F329" s="60"/>
      <c r="G329" s="60"/>
      <c r="J329" s="99"/>
      <c r="K329" s="99"/>
      <c r="L329" s="99"/>
      <c r="M329" s="99"/>
      <c r="N329" s="43">
        <f t="shared" si="4"/>
        <v>0</v>
      </c>
    </row>
    <row r="330" spans="2:14">
      <c r="B330" s="57"/>
      <c r="C330" s="60"/>
      <c r="D330" s="60"/>
      <c r="E330" s="60"/>
      <c r="F330" s="60"/>
      <c r="G330" s="60"/>
      <c r="J330" s="99"/>
      <c r="K330" s="99"/>
      <c r="L330" s="99"/>
      <c r="M330" s="99"/>
      <c r="N330" s="43">
        <f t="shared" si="4"/>
        <v>0</v>
      </c>
    </row>
    <row r="331" spans="2:14">
      <c r="B331" s="57"/>
      <c r="C331" s="60"/>
      <c r="D331" s="60"/>
      <c r="E331" s="60"/>
      <c r="F331" s="60"/>
      <c r="G331" s="60"/>
      <c r="J331" s="99"/>
      <c r="K331" s="99"/>
      <c r="L331" s="99"/>
      <c r="M331" s="99"/>
      <c r="N331" s="43">
        <f t="shared" ref="N331:N394" si="5">IF($L$4=$C$10,C331,IF(D331="","",B331))</f>
        <v>0</v>
      </c>
    </row>
    <row r="332" spans="2:14">
      <c r="B332" s="57"/>
      <c r="C332" s="60"/>
      <c r="D332" s="60"/>
      <c r="E332" s="60"/>
      <c r="F332" s="60"/>
      <c r="G332" s="60"/>
      <c r="J332" s="99"/>
      <c r="K332" s="99"/>
      <c r="L332" s="99"/>
      <c r="M332" s="99"/>
      <c r="N332" s="43">
        <f t="shared" si="5"/>
        <v>0</v>
      </c>
    </row>
    <row r="333" spans="2:14">
      <c r="B333" s="57"/>
      <c r="C333" s="60"/>
      <c r="D333" s="60"/>
      <c r="E333" s="60"/>
      <c r="F333" s="60"/>
      <c r="G333" s="60"/>
      <c r="J333" s="99"/>
      <c r="K333" s="99"/>
      <c r="L333" s="99"/>
      <c r="M333" s="99"/>
      <c r="N333" s="43">
        <f t="shared" si="5"/>
        <v>0</v>
      </c>
    </row>
    <row r="334" spans="2:14">
      <c r="B334" s="57"/>
      <c r="C334" s="60"/>
      <c r="D334" s="60"/>
      <c r="E334" s="60"/>
      <c r="F334" s="60"/>
      <c r="G334" s="60"/>
      <c r="J334" s="99"/>
      <c r="K334" s="99"/>
      <c r="L334" s="99"/>
      <c r="M334" s="99"/>
      <c r="N334" s="43">
        <f t="shared" si="5"/>
        <v>0</v>
      </c>
    </row>
    <row r="335" spans="2:14">
      <c r="B335" s="57"/>
      <c r="C335" s="60"/>
      <c r="D335" s="60"/>
      <c r="E335" s="60"/>
      <c r="F335" s="60"/>
      <c r="G335" s="60"/>
      <c r="J335" s="99"/>
      <c r="K335" s="99"/>
      <c r="L335" s="99"/>
      <c r="M335" s="99"/>
      <c r="N335" s="43">
        <f t="shared" si="5"/>
        <v>0</v>
      </c>
    </row>
    <row r="336" spans="2:14">
      <c r="B336" s="57"/>
      <c r="C336" s="60"/>
      <c r="D336" s="60"/>
      <c r="E336" s="60"/>
      <c r="F336" s="60"/>
      <c r="G336" s="60"/>
      <c r="J336" s="99"/>
      <c r="K336" s="99"/>
      <c r="L336" s="99"/>
      <c r="M336" s="99"/>
      <c r="N336" s="43">
        <f t="shared" si="5"/>
        <v>0</v>
      </c>
    </row>
    <row r="337" spans="2:14">
      <c r="B337" s="57"/>
      <c r="C337" s="60"/>
      <c r="D337" s="60"/>
      <c r="E337" s="60"/>
      <c r="F337" s="60"/>
      <c r="G337" s="60"/>
      <c r="J337" s="99"/>
      <c r="K337" s="99"/>
      <c r="L337" s="99"/>
      <c r="M337" s="99"/>
      <c r="N337" s="43">
        <f t="shared" si="5"/>
        <v>0</v>
      </c>
    </row>
    <row r="338" spans="2:14">
      <c r="B338" s="57"/>
      <c r="C338" s="60"/>
      <c r="D338" s="60"/>
      <c r="E338" s="60"/>
      <c r="F338" s="60"/>
      <c r="G338" s="60"/>
      <c r="J338" s="99"/>
      <c r="K338" s="99"/>
      <c r="L338" s="99"/>
      <c r="M338" s="99"/>
      <c r="N338" s="43">
        <f t="shared" si="5"/>
        <v>0</v>
      </c>
    </row>
    <row r="339" spans="2:14">
      <c r="B339" s="57"/>
      <c r="C339" s="60"/>
      <c r="D339" s="60"/>
      <c r="E339" s="60"/>
      <c r="F339" s="60"/>
      <c r="G339" s="60"/>
      <c r="J339" s="99"/>
      <c r="K339" s="99"/>
      <c r="L339" s="99"/>
      <c r="M339" s="99"/>
      <c r="N339" s="43">
        <f t="shared" si="5"/>
        <v>0</v>
      </c>
    </row>
    <row r="340" spans="2:14">
      <c r="B340" s="57"/>
      <c r="C340" s="60"/>
      <c r="D340" s="60"/>
      <c r="E340" s="60"/>
      <c r="F340" s="60"/>
      <c r="G340" s="60"/>
      <c r="J340" s="99"/>
      <c r="K340" s="99"/>
      <c r="L340" s="99"/>
      <c r="M340" s="99"/>
      <c r="N340" s="43">
        <f t="shared" si="5"/>
        <v>0</v>
      </c>
    </row>
    <row r="341" spans="2:14">
      <c r="B341" s="57"/>
      <c r="C341" s="60"/>
      <c r="D341" s="60"/>
      <c r="E341" s="60"/>
      <c r="F341" s="60"/>
      <c r="G341" s="60"/>
      <c r="J341" s="99"/>
      <c r="K341" s="99"/>
      <c r="L341" s="99"/>
      <c r="M341" s="99"/>
      <c r="N341" s="43">
        <f t="shared" si="5"/>
        <v>0</v>
      </c>
    </row>
    <row r="342" spans="2:14">
      <c r="B342" s="57"/>
      <c r="C342" s="60"/>
      <c r="D342" s="60"/>
      <c r="E342" s="60"/>
      <c r="F342" s="60"/>
      <c r="G342" s="60"/>
      <c r="J342" s="99"/>
      <c r="K342" s="99"/>
      <c r="L342" s="99"/>
      <c r="M342" s="99"/>
      <c r="N342" s="43">
        <f t="shared" si="5"/>
        <v>0</v>
      </c>
    </row>
    <row r="343" spans="2:14">
      <c r="B343" s="57"/>
      <c r="C343" s="60"/>
      <c r="D343" s="60"/>
      <c r="E343" s="60"/>
      <c r="F343" s="60"/>
      <c r="G343" s="60"/>
      <c r="J343" s="99"/>
      <c r="K343" s="99"/>
      <c r="L343" s="99"/>
      <c r="M343" s="99"/>
      <c r="N343" s="43">
        <f t="shared" si="5"/>
        <v>0</v>
      </c>
    </row>
    <row r="344" spans="2:14">
      <c r="B344" s="57"/>
      <c r="C344" s="60"/>
      <c r="D344" s="60"/>
      <c r="E344" s="60"/>
      <c r="F344" s="60"/>
      <c r="G344" s="60"/>
      <c r="J344" s="99"/>
      <c r="K344" s="99"/>
      <c r="L344" s="99"/>
      <c r="M344" s="99"/>
      <c r="N344" s="43">
        <f t="shared" si="5"/>
        <v>0</v>
      </c>
    </row>
    <row r="345" spans="2:14">
      <c r="B345" s="57"/>
      <c r="C345" s="60"/>
      <c r="D345" s="60"/>
      <c r="E345" s="60"/>
      <c r="F345" s="60"/>
      <c r="G345" s="60"/>
      <c r="J345" s="99"/>
      <c r="K345" s="99"/>
      <c r="L345" s="99"/>
      <c r="M345" s="99"/>
      <c r="N345" s="43">
        <f t="shared" si="5"/>
        <v>0</v>
      </c>
    </row>
    <row r="346" spans="2:14">
      <c r="B346" s="57"/>
      <c r="C346" s="60"/>
      <c r="D346" s="60"/>
      <c r="E346" s="60"/>
      <c r="F346" s="60"/>
      <c r="G346" s="60"/>
      <c r="J346" s="99"/>
      <c r="K346" s="99"/>
      <c r="L346" s="99"/>
      <c r="M346" s="99"/>
      <c r="N346" s="43">
        <f t="shared" si="5"/>
        <v>0</v>
      </c>
    </row>
    <row r="347" spans="2:14">
      <c r="B347" s="57"/>
      <c r="C347" s="60"/>
      <c r="D347" s="60"/>
      <c r="E347" s="60"/>
      <c r="F347" s="60"/>
      <c r="G347" s="60"/>
      <c r="J347" s="99"/>
      <c r="K347" s="99"/>
      <c r="L347" s="99"/>
      <c r="M347" s="99"/>
      <c r="N347" s="43">
        <f t="shared" si="5"/>
        <v>0</v>
      </c>
    </row>
    <row r="348" spans="2:14">
      <c r="B348" s="57"/>
      <c r="C348" s="60"/>
      <c r="D348" s="60"/>
      <c r="E348" s="60"/>
      <c r="F348" s="60"/>
      <c r="G348" s="60"/>
      <c r="J348" s="99"/>
      <c r="K348" s="99"/>
      <c r="L348" s="99"/>
      <c r="M348" s="99"/>
      <c r="N348" s="43">
        <f t="shared" si="5"/>
        <v>0</v>
      </c>
    </row>
    <row r="349" spans="2:14">
      <c r="B349" s="57"/>
      <c r="C349" s="60"/>
      <c r="D349" s="60"/>
      <c r="E349" s="60"/>
      <c r="F349" s="60"/>
      <c r="G349" s="60"/>
      <c r="J349" s="99"/>
      <c r="K349" s="99"/>
      <c r="L349" s="99"/>
      <c r="M349" s="99"/>
      <c r="N349" s="43">
        <f t="shared" si="5"/>
        <v>0</v>
      </c>
    </row>
    <row r="350" spans="2:14">
      <c r="B350" s="57"/>
      <c r="C350" s="60"/>
      <c r="D350" s="60"/>
      <c r="E350" s="60"/>
      <c r="F350" s="60"/>
      <c r="G350" s="60"/>
      <c r="J350" s="99"/>
      <c r="K350" s="99"/>
      <c r="L350" s="99"/>
      <c r="M350" s="99"/>
      <c r="N350" s="43">
        <f t="shared" si="5"/>
        <v>0</v>
      </c>
    </row>
    <row r="351" spans="2:14">
      <c r="B351" s="57"/>
      <c r="C351" s="60"/>
      <c r="D351" s="60"/>
      <c r="E351" s="60"/>
      <c r="F351" s="60"/>
      <c r="G351" s="60"/>
      <c r="J351" s="99"/>
      <c r="K351" s="99"/>
      <c r="L351" s="99"/>
      <c r="M351" s="99"/>
      <c r="N351" s="43">
        <f t="shared" si="5"/>
        <v>0</v>
      </c>
    </row>
    <row r="352" spans="2:14">
      <c r="B352" s="57"/>
      <c r="C352" s="60"/>
      <c r="D352" s="60"/>
      <c r="E352" s="60"/>
      <c r="F352" s="60"/>
      <c r="G352" s="60"/>
      <c r="J352" s="99"/>
      <c r="K352" s="99"/>
      <c r="L352" s="99"/>
      <c r="M352" s="99"/>
      <c r="N352" s="43">
        <f t="shared" si="5"/>
        <v>0</v>
      </c>
    </row>
    <row r="353" spans="2:14">
      <c r="B353" s="57"/>
      <c r="C353" s="60"/>
      <c r="D353" s="60"/>
      <c r="E353" s="60"/>
      <c r="F353" s="60"/>
      <c r="G353" s="60"/>
      <c r="J353" s="99"/>
      <c r="K353" s="99"/>
      <c r="L353" s="99"/>
      <c r="M353" s="99"/>
      <c r="N353" s="43">
        <f t="shared" si="5"/>
        <v>0</v>
      </c>
    </row>
    <row r="354" spans="2:14">
      <c r="B354" s="57"/>
      <c r="C354" s="60"/>
      <c r="D354" s="60"/>
      <c r="E354" s="60"/>
      <c r="F354" s="60"/>
      <c r="G354" s="60"/>
      <c r="J354" s="99"/>
      <c r="K354" s="99"/>
      <c r="L354" s="99"/>
      <c r="M354" s="99"/>
      <c r="N354" s="43">
        <f t="shared" si="5"/>
        <v>0</v>
      </c>
    </row>
    <row r="355" spans="2:14">
      <c r="B355" s="57"/>
      <c r="C355" s="60"/>
      <c r="D355" s="60"/>
      <c r="E355" s="60"/>
      <c r="F355" s="60"/>
      <c r="G355" s="60"/>
      <c r="J355" s="99"/>
      <c r="K355" s="99"/>
      <c r="L355" s="99"/>
      <c r="M355" s="99"/>
      <c r="N355" s="43">
        <f t="shared" si="5"/>
        <v>0</v>
      </c>
    </row>
    <row r="356" spans="2:14">
      <c r="B356" s="57"/>
      <c r="C356" s="60"/>
      <c r="D356" s="60"/>
      <c r="E356" s="60"/>
      <c r="F356" s="60"/>
      <c r="G356" s="60"/>
      <c r="J356" s="99"/>
      <c r="K356" s="99"/>
      <c r="L356" s="99"/>
      <c r="M356" s="99"/>
      <c r="N356" s="43">
        <f t="shared" si="5"/>
        <v>0</v>
      </c>
    </row>
    <row r="357" spans="2:14">
      <c r="B357" s="57"/>
      <c r="C357" s="60"/>
      <c r="D357" s="60"/>
      <c r="E357" s="60"/>
      <c r="F357" s="60"/>
      <c r="G357" s="60"/>
      <c r="J357" s="99"/>
      <c r="K357" s="99"/>
      <c r="L357" s="99"/>
      <c r="M357" s="99"/>
      <c r="N357" s="43">
        <f t="shared" si="5"/>
        <v>0</v>
      </c>
    </row>
    <row r="358" spans="2:14">
      <c r="B358" s="57"/>
      <c r="C358" s="60"/>
      <c r="D358" s="60"/>
      <c r="E358" s="60"/>
      <c r="F358" s="60"/>
      <c r="G358" s="60"/>
      <c r="J358" s="99"/>
      <c r="K358" s="99"/>
      <c r="L358" s="99"/>
      <c r="M358" s="99"/>
      <c r="N358" s="43">
        <f t="shared" si="5"/>
        <v>0</v>
      </c>
    </row>
    <row r="359" spans="2:14">
      <c r="B359" s="57"/>
      <c r="C359" s="60"/>
      <c r="D359" s="60"/>
      <c r="E359" s="60"/>
      <c r="F359" s="60"/>
      <c r="G359" s="60"/>
      <c r="J359" s="99"/>
      <c r="K359" s="99"/>
      <c r="L359" s="99"/>
      <c r="M359" s="99"/>
      <c r="N359" s="43">
        <f t="shared" si="5"/>
        <v>0</v>
      </c>
    </row>
    <row r="360" spans="2:14">
      <c r="B360" s="57"/>
      <c r="C360" s="60"/>
      <c r="D360" s="60"/>
      <c r="E360" s="60"/>
      <c r="F360" s="60"/>
      <c r="G360" s="60"/>
      <c r="J360" s="99"/>
      <c r="K360" s="99"/>
      <c r="L360" s="99"/>
      <c r="M360" s="99"/>
      <c r="N360" s="43">
        <f t="shared" si="5"/>
        <v>0</v>
      </c>
    </row>
    <row r="361" spans="2:14">
      <c r="B361" s="57"/>
      <c r="C361" s="60"/>
      <c r="D361" s="60"/>
      <c r="E361" s="60"/>
      <c r="F361" s="60"/>
      <c r="G361" s="60"/>
      <c r="J361" s="99"/>
      <c r="K361" s="99"/>
      <c r="L361" s="99"/>
      <c r="M361" s="99"/>
      <c r="N361" s="43">
        <f t="shared" si="5"/>
        <v>0</v>
      </c>
    </row>
    <row r="362" spans="2:14">
      <c r="B362" s="57"/>
      <c r="C362" s="60"/>
      <c r="D362" s="60"/>
      <c r="E362" s="60"/>
      <c r="F362" s="60"/>
      <c r="G362" s="60"/>
      <c r="J362" s="99"/>
      <c r="K362" s="99"/>
      <c r="L362" s="99"/>
      <c r="M362" s="99"/>
      <c r="N362" s="43">
        <f t="shared" si="5"/>
        <v>0</v>
      </c>
    </row>
    <row r="363" spans="2:14">
      <c r="B363" s="57"/>
      <c r="C363" s="60"/>
      <c r="D363" s="60"/>
      <c r="E363" s="60"/>
      <c r="F363" s="60"/>
      <c r="G363" s="60"/>
      <c r="J363" s="99"/>
      <c r="K363" s="99"/>
      <c r="L363" s="99"/>
      <c r="M363" s="99"/>
      <c r="N363" s="43">
        <f t="shared" si="5"/>
        <v>0</v>
      </c>
    </row>
    <row r="364" spans="2:14">
      <c r="B364" s="57"/>
      <c r="C364" s="60"/>
      <c r="D364" s="60"/>
      <c r="E364" s="60"/>
      <c r="F364" s="60"/>
      <c r="G364" s="60"/>
      <c r="J364" s="99"/>
      <c r="K364" s="99"/>
      <c r="L364" s="99"/>
      <c r="M364" s="99"/>
      <c r="N364" s="43">
        <f t="shared" si="5"/>
        <v>0</v>
      </c>
    </row>
    <row r="365" spans="2:14">
      <c r="B365" s="57"/>
      <c r="C365" s="60"/>
      <c r="D365" s="60"/>
      <c r="E365" s="60"/>
      <c r="F365" s="60"/>
      <c r="G365" s="60"/>
      <c r="J365" s="99"/>
      <c r="K365" s="99"/>
      <c r="L365" s="99"/>
      <c r="M365" s="99"/>
      <c r="N365" s="43">
        <f t="shared" si="5"/>
        <v>0</v>
      </c>
    </row>
    <row r="366" spans="2:14">
      <c r="B366" s="57"/>
      <c r="C366" s="60"/>
      <c r="D366" s="60"/>
      <c r="E366" s="60"/>
      <c r="F366" s="60"/>
      <c r="G366" s="60"/>
      <c r="J366" s="99"/>
      <c r="K366" s="99"/>
      <c r="L366" s="99"/>
      <c r="M366" s="99"/>
      <c r="N366" s="43">
        <f t="shared" si="5"/>
        <v>0</v>
      </c>
    </row>
    <row r="367" spans="2:14">
      <c r="B367" s="57"/>
      <c r="C367" s="60"/>
      <c r="D367" s="60"/>
      <c r="E367" s="60"/>
      <c r="F367" s="60"/>
      <c r="G367" s="60"/>
      <c r="J367" s="99"/>
      <c r="K367" s="99"/>
      <c r="L367" s="99"/>
      <c r="M367" s="99"/>
      <c r="N367" s="43">
        <f t="shared" si="5"/>
        <v>0</v>
      </c>
    </row>
    <row r="368" spans="2:14">
      <c r="B368" s="57"/>
      <c r="C368" s="60"/>
      <c r="D368" s="60"/>
      <c r="E368" s="60"/>
      <c r="F368" s="60"/>
      <c r="G368" s="60"/>
      <c r="J368" s="99"/>
      <c r="K368" s="99"/>
      <c r="L368" s="99"/>
      <c r="M368" s="99"/>
      <c r="N368" s="43">
        <f t="shared" si="5"/>
        <v>0</v>
      </c>
    </row>
    <row r="369" spans="2:14">
      <c r="B369" s="57"/>
      <c r="C369" s="60"/>
      <c r="D369" s="60"/>
      <c r="E369" s="60"/>
      <c r="F369" s="60"/>
      <c r="G369" s="60"/>
      <c r="J369" s="99"/>
      <c r="K369" s="99"/>
      <c r="L369" s="99"/>
      <c r="M369" s="99"/>
      <c r="N369" s="43">
        <f t="shared" si="5"/>
        <v>0</v>
      </c>
    </row>
    <row r="370" spans="2:14">
      <c r="B370" s="57"/>
      <c r="C370" s="60"/>
      <c r="D370" s="60"/>
      <c r="E370" s="60"/>
      <c r="F370" s="60"/>
      <c r="G370" s="60"/>
      <c r="J370" s="99"/>
      <c r="K370" s="99"/>
      <c r="L370" s="99"/>
      <c r="M370" s="99"/>
      <c r="N370" s="43">
        <f t="shared" si="5"/>
        <v>0</v>
      </c>
    </row>
    <row r="371" spans="2:14">
      <c r="B371" s="57"/>
      <c r="C371" s="60"/>
      <c r="D371" s="60"/>
      <c r="E371" s="60"/>
      <c r="F371" s="60"/>
      <c r="G371" s="60"/>
      <c r="J371" s="99"/>
      <c r="K371" s="99"/>
      <c r="L371" s="99"/>
      <c r="M371" s="99"/>
      <c r="N371" s="43">
        <f t="shared" si="5"/>
        <v>0</v>
      </c>
    </row>
    <row r="372" spans="2:14">
      <c r="B372" s="57"/>
      <c r="C372" s="60"/>
      <c r="D372" s="60"/>
      <c r="E372" s="60"/>
      <c r="F372" s="60"/>
      <c r="G372" s="60"/>
      <c r="J372" s="99"/>
      <c r="K372" s="99"/>
      <c r="L372" s="99"/>
      <c r="M372" s="99"/>
      <c r="N372" s="43">
        <f t="shared" si="5"/>
        <v>0</v>
      </c>
    </row>
    <row r="373" spans="2:14">
      <c r="B373" s="57"/>
      <c r="C373" s="60"/>
      <c r="D373" s="60"/>
      <c r="E373" s="60"/>
      <c r="F373" s="60"/>
      <c r="G373" s="60"/>
      <c r="J373" s="99"/>
      <c r="K373" s="99"/>
      <c r="L373" s="99"/>
      <c r="M373" s="99"/>
      <c r="N373" s="43">
        <f t="shared" si="5"/>
        <v>0</v>
      </c>
    </row>
    <row r="374" spans="2:14">
      <c r="B374" s="57"/>
      <c r="C374" s="60"/>
      <c r="D374" s="60"/>
      <c r="E374" s="60"/>
      <c r="F374" s="60"/>
      <c r="G374" s="60"/>
      <c r="J374" s="99"/>
      <c r="K374" s="99"/>
      <c r="L374" s="99"/>
      <c r="M374" s="99"/>
      <c r="N374" s="43">
        <f t="shared" si="5"/>
        <v>0</v>
      </c>
    </row>
    <row r="375" spans="2:14">
      <c r="B375" s="57"/>
      <c r="C375" s="60"/>
      <c r="D375" s="60"/>
      <c r="E375" s="60"/>
      <c r="F375" s="60"/>
      <c r="G375" s="60"/>
      <c r="J375" s="99"/>
      <c r="K375" s="99"/>
      <c r="L375" s="99"/>
      <c r="M375" s="99"/>
      <c r="N375" s="43">
        <f t="shared" si="5"/>
        <v>0</v>
      </c>
    </row>
    <row r="376" spans="2:14">
      <c r="B376" s="57"/>
      <c r="C376" s="60"/>
      <c r="D376" s="60"/>
      <c r="E376" s="60"/>
      <c r="F376" s="60"/>
      <c r="G376" s="60"/>
      <c r="J376" s="99"/>
      <c r="K376" s="99"/>
      <c r="L376" s="99"/>
      <c r="M376" s="99"/>
      <c r="N376" s="43">
        <f t="shared" si="5"/>
        <v>0</v>
      </c>
    </row>
    <row r="377" spans="2:14">
      <c r="B377" s="57"/>
      <c r="C377" s="60"/>
      <c r="D377" s="60"/>
      <c r="E377" s="60"/>
      <c r="F377" s="60"/>
      <c r="G377" s="60"/>
      <c r="J377" s="99"/>
      <c r="K377" s="99"/>
      <c r="L377" s="99"/>
      <c r="M377" s="99"/>
      <c r="N377" s="43">
        <f t="shared" si="5"/>
        <v>0</v>
      </c>
    </row>
    <row r="378" spans="2:14">
      <c r="B378" s="57"/>
      <c r="C378" s="60"/>
      <c r="D378" s="60"/>
      <c r="E378" s="60"/>
      <c r="F378" s="60"/>
      <c r="G378" s="60"/>
      <c r="J378" s="99"/>
      <c r="K378" s="99"/>
      <c r="L378" s="99"/>
      <c r="M378" s="99"/>
      <c r="N378" s="43">
        <f t="shared" si="5"/>
        <v>0</v>
      </c>
    </row>
    <row r="379" spans="2:14">
      <c r="B379" s="57"/>
      <c r="C379" s="60"/>
      <c r="D379" s="60"/>
      <c r="E379" s="60"/>
      <c r="F379" s="60"/>
      <c r="G379" s="60"/>
      <c r="J379" s="99"/>
      <c r="K379" s="99"/>
      <c r="L379" s="99"/>
      <c r="M379" s="99"/>
      <c r="N379" s="43">
        <f t="shared" si="5"/>
        <v>0</v>
      </c>
    </row>
    <row r="380" spans="2:14">
      <c r="B380" s="57"/>
      <c r="C380" s="60"/>
      <c r="D380" s="60"/>
      <c r="E380" s="60"/>
      <c r="F380" s="60"/>
      <c r="G380" s="60"/>
      <c r="J380" s="99"/>
      <c r="K380" s="99"/>
      <c r="L380" s="99"/>
      <c r="M380" s="99"/>
      <c r="N380" s="43">
        <f t="shared" si="5"/>
        <v>0</v>
      </c>
    </row>
    <row r="381" spans="2:14">
      <c r="B381" s="57"/>
      <c r="C381" s="60"/>
      <c r="D381" s="60"/>
      <c r="E381" s="60"/>
      <c r="F381" s="60"/>
      <c r="G381" s="60"/>
      <c r="J381" s="99"/>
      <c r="K381" s="99"/>
      <c r="L381" s="99"/>
      <c r="M381" s="99"/>
      <c r="N381" s="43">
        <f t="shared" si="5"/>
        <v>0</v>
      </c>
    </row>
    <row r="382" spans="2:14">
      <c r="B382" s="57"/>
      <c r="C382" s="60"/>
      <c r="D382" s="60"/>
      <c r="E382" s="60"/>
      <c r="F382" s="60"/>
      <c r="G382" s="60"/>
      <c r="J382" s="99"/>
      <c r="K382" s="99"/>
      <c r="L382" s="99"/>
      <c r="M382" s="99"/>
      <c r="N382" s="43">
        <f t="shared" si="5"/>
        <v>0</v>
      </c>
    </row>
    <row r="383" spans="2:14">
      <c r="B383" s="57"/>
      <c r="C383" s="60"/>
      <c r="D383" s="60"/>
      <c r="E383" s="60"/>
      <c r="F383" s="60"/>
      <c r="G383" s="60"/>
      <c r="J383" s="99"/>
      <c r="K383" s="99"/>
      <c r="L383" s="99"/>
      <c r="M383" s="99"/>
      <c r="N383" s="43">
        <f t="shared" si="5"/>
        <v>0</v>
      </c>
    </row>
    <row r="384" spans="2:14">
      <c r="B384" s="57"/>
      <c r="C384" s="60"/>
      <c r="D384" s="60"/>
      <c r="E384" s="60"/>
      <c r="F384" s="60"/>
      <c r="G384" s="60"/>
      <c r="J384" s="99"/>
      <c r="K384" s="99"/>
      <c r="L384" s="99"/>
      <c r="M384" s="99"/>
      <c r="N384" s="43">
        <f t="shared" si="5"/>
        <v>0</v>
      </c>
    </row>
    <row r="385" spans="2:14">
      <c r="B385" s="57"/>
      <c r="C385" s="60"/>
      <c r="D385" s="60"/>
      <c r="E385" s="60"/>
      <c r="F385" s="60"/>
      <c r="G385" s="60"/>
      <c r="J385" s="99"/>
      <c r="K385" s="99"/>
      <c r="L385" s="99"/>
      <c r="M385" s="99"/>
      <c r="N385" s="43">
        <f t="shared" si="5"/>
        <v>0</v>
      </c>
    </row>
    <row r="386" spans="2:14">
      <c r="B386" s="57"/>
      <c r="C386" s="60"/>
      <c r="D386" s="60"/>
      <c r="E386" s="60"/>
      <c r="F386" s="60"/>
      <c r="G386" s="60"/>
      <c r="J386" s="99"/>
      <c r="K386" s="99"/>
      <c r="L386" s="99"/>
      <c r="M386" s="99"/>
      <c r="N386" s="43">
        <f t="shared" si="5"/>
        <v>0</v>
      </c>
    </row>
    <row r="387" spans="2:14">
      <c r="B387" s="57"/>
      <c r="C387" s="60"/>
      <c r="D387" s="60"/>
      <c r="E387" s="60"/>
      <c r="F387" s="60"/>
      <c r="G387" s="60"/>
      <c r="J387" s="99"/>
      <c r="K387" s="99"/>
      <c r="L387" s="99"/>
      <c r="M387" s="99"/>
      <c r="N387" s="43">
        <f t="shared" si="5"/>
        <v>0</v>
      </c>
    </row>
    <row r="388" spans="2:14">
      <c r="B388" s="57"/>
      <c r="C388" s="60"/>
      <c r="D388" s="60"/>
      <c r="E388" s="60"/>
      <c r="F388" s="60"/>
      <c r="G388" s="60"/>
      <c r="J388" s="99"/>
      <c r="K388" s="99"/>
      <c r="L388" s="99"/>
      <c r="M388" s="99"/>
      <c r="N388" s="43">
        <f t="shared" si="5"/>
        <v>0</v>
      </c>
    </row>
    <row r="389" spans="2:14">
      <c r="B389" s="57"/>
      <c r="C389" s="60"/>
      <c r="D389" s="60"/>
      <c r="E389" s="60"/>
      <c r="F389" s="60"/>
      <c r="G389" s="60"/>
      <c r="J389" s="99"/>
      <c r="K389" s="99"/>
      <c r="L389" s="99"/>
      <c r="M389" s="99"/>
      <c r="N389" s="43">
        <f t="shared" si="5"/>
        <v>0</v>
      </c>
    </row>
    <row r="390" spans="2:14">
      <c r="B390" s="57"/>
      <c r="C390" s="60"/>
      <c r="D390" s="60"/>
      <c r="E390" s="60"/>
      <c r="F390" s="60"/>
      <c r="G390" s="60"/>
      <c r="J390" s="99"/>
      <c r="K390" s="99"/>
      <c r="L390" s="99"/>
      <c r="M390" s="99"/>
      <c r="N390" s="43">
        <f t="shared" si="5"/>
        <v>0</v>
      </c>
    </row>
    <row r="391" spans="2:14">
      <c r="B391" s="57"/>
      <c r="C391" s="60"/>
      <c r="D391" s="60"/>
      <c r="E391" s="60"/>
      <c r="F391" s="60"/>
      <c r="G391" s="60"/>
      <c r="J391" s="99"/>
      <c r="K391" s="99"/>
      <c r="L391" s="99"/>
      <c r="M391" s="99"/>
      <c r="N391" s="43">
        <f t="shared" si="5"/>
        <v>0</v>
      </c>
    </row>
    <row r="392" spans="2:14">
      <c r="B392" s="57"/>
      <c r="C392" s="60"/>
      <c r="D392" s="60"/>
      <c r="E392" s="60"/>
      <c r="F392" s="60"/>
      <c r="G392" s="60"/>
      <c r="J392" s="99"/>
      <c r="K392" s="99"/>
      <c r="L392" s="99"/>
      <c r="M392" s="99"/>
      <c r="N392" s="43">
        <f t="shared" si="5"/>
        <v>0</v>
      </c>
    </row>
    <row r="393" spans="2:14">
      <c r="B393" s="57"/>
      <c r="C393" s="60"/>
      <c r="D393" s="60"/>
      <c r="E393" s="60"/>
      <c r="F393" s="60"/>
      <c r="G393" s="60"/>
      <c r="J393" s="99"/>
      <c r="K393" s="99"/>
      <c r="L393" s="99"/>
      <c r="M393" s="99"/>
      <c r="N393" s="43">
        <f t="shared" si="5"/>
        <v>0</v>
      </c>
    </row>
    <row r="394" spans="2:14">
      <c r="B394" s="57"/>
      <c r="C394" s="60"/>
      <c r="D394" s="60"/>
      <c r="E394" s="60"/>
      <c r="F394" s="60"/>
      <c r="G394" s="60"/>
      <c r="J394" s="99"/>
      <c r="K394" s="99"/>
      <c r="L394" s="99"/>
      <c r="M394" s="99"/>
      <c r="N394" s="43">
        <f t="shared" si="5"/>
        <v>0</v>
      </c>
    </row>
    <row r="395" spans="2:14">
      <c r="B395" s="57"/>
      <c r="C395" s="60"/>
      <c r="D395" s="60"/>
      <c r="E395" s="60"/>
      <c r="F395" s="60"/>
      <c r="G395" s="60"/>
      <c r="J395" s="99"/>
      <c r="K395" s="99"/>
      <c r="L395" s="99"/>
      <c r="M395" s="99"/>
      <c r="N395" s="43">
        <f t="shared" ref="N395:N458" si="6">IF($L$4=$C$10,C395,IF(D395="","",B395))</f>
        <v>0</v>
      </c>
    </row>
    <row r="396" spans="2:14">
      <c r="B396" s="57"/>
      <c r="C396" s="60"/>
      <c r="D396" s="60"/>
      <c r="E396" s="60"/>
      <c r="F396" s="60"/>
      <c r="G396" s="60"/>
      <c r="J396" s="99"/>
      <c r="K396" s="99"/>
      <c r="L396" s="99"/>
      <c r="M396" s="99"/>
      <c r="N396" s="43">
        <f t="shared" si="6"/>
        <v>0</v>
      </c>
    </row>
    <row r="397" spans="2:14">
      <c r="B397" s="57"/>
      <c r="C397" s="60"/>
      <c r="D397" s="60"/>
      <c r="E397" s="60"/>
      <c r="F397" s="60"/>
      <c r="G397" s="60"/>
      <c r="J397" s="99"/>
      <c r="K397" s="99"/>
      <c r="L397" s="99"/>
      <c r="M397" s="99"/>
      <c r="N397" s="43">
        <f t="shared" si="6"/>
        <v>0</v>
      </c>
    </row>
    <row r="398" spans="2:14">
      <c r="B398" s="57"/>
      <c r="C398" s="60"/>
      <c r="D398" s="60"/>
      <c r="E398" s="60"/>
      <c r="F398" s="60"/>
      <c r="G398" s="60"/>
      <c r="J398" s="99"/>
      <c r="K398" s="99"/>
      <c r="L398" s="99"/>
      <c r="M398" s="99"/>
      <c r="N398" s="43">
        <f t="shared" si="6"/>
        <v>0</v>
      </c>
    </row>
    <row r="399" spans="2:14">
      <c r="B399" s="57"/>
      <c r="C399" s="60"/>
      <c r="D399" s="60"/>
      <c r="E399" s="60"/>
      <c r="F399" s="60"/>
      <c r="G399" s="60"/>
      <c r="J399" s="99"/>
      <c r="K399" s="99"/>
      <c r="L399" s="99"/>
      <c r="M399" s="99"/>
      <c r="N399" s="43">
        <f t="shared" si="6"/>
        <v>0</v>
      </c>
    </row>
    <row r="400" spans="2:14">
      <c r="B400" s="57"/>
      <c r="C400" s="60"/>
      <c r="D400" s="60"/>
      <c r="E400" s="60"/>
      <c r="F400" s="60"/>
      <c r="G400" s="60"/>
      <c r="J400" s="99"/>
      <c r="K400" s="99"/>
      <c r="L400" s="99"/>
      <c r="M400" s="99"/>
      <c r="N400" s="43">
        <f t="shared" si="6"/>
        <v>0</v>
      </c>
    </row>
    <row r="401" spans="2:14">
      <c r="B401" s="57"/>
      <c r="C401" s="60"/>
      <c r="D401" s="60"/>
      <c r="E401" s="60"/>
      <c r="F401" s="60"/>
      <c r="G401" s="60"/>
      <c r="J401" s="99"/>
      <c r="K401" s="99"/>
      <c r="L401" s="99"/>
      <c r="M401" s="99"/>
      <c r="N401" s="43">
        <f t="shared" si="6"/>
        <v>0</v>
      </c>
    </row>
    <row r="402" spans="2:14">
      <c r="B402" s="57"/>
      <c r="C402" s="60"/>
      <c r="D402" s="60"/>
      <c r="E402" s="60"/>
      <c r="F402" s="60"/>
      <c r="G402" s="60"/>
      <c r="J402" s="99"/>
      <c r="K402" s="99"/>
      <c r="L402" s="99"/>
      <c r="M402" s="99"/>
      <c r="N402" s="43">
        <f t="shared" si="6"/>
        <v>0</v>
      </c>
    </row>
    <row r="403" spans="2:14">
      <c r="B403" s="57"/>
      <c r="C403" s="60"/>
      <c r="D403" s="60"/>
      <c r="E403" s="60"/>
      <c r="F403" s="60"/>
      <c r="G403" s="60"/>
      <c r="J403" s="99"/>
      <c r="K403" s="99"/>
      <c r="L403" s="99"/>
      <c r="M403" s="99"/>
      <c r="N403" s="43">
        <f t="shared" si="6"/>
        <v>0</v>
      </c>
    </row>
    <row r="404" spans="2:14">
      <c r="B404" s="57"/>
      <c r="C404" s="60"/>
      <c r="D404" s="60"/>
      <c r="E404" s="60"/>
      <c r="F404" s="60"/>
      <c r="G404" s="60"/>
      <c r="J404" s="99"/>
      <c r="K404" s="99"/>
      <c r="L404" s="99"/>
      <c r="M404" s="99"/>
      <c r="N404" s="43">
        <f t="shared" si="6"/>
        <v>0</v>
      </c>
    </row>
    <row r="405" spans="2:14">
      <c r="B405" s="57"/>
      <c r="C405" s="60"/>
      <c r="D405" s="60"/>
      <c r="E405" s="60"/>
      <c r="F405" s="60"/>
      <c r="G405" s="60"/>
      <c r="J405" s="99"/>
      <c r="K405" s="99"/>
      <c r="L405" s="99"/>
      <c r="M405" s="99"/>
      <c r="N405" s="43">
        <f t="shared" si="6"/>
        <v>0</v>
      </c>
    </row>
    <row r="406" spans="2:14">
      <c r="B406" s="57"/>
      <c r="C406" s="60"/>
      <c r="D406" s="60"/>
      <c r="E406" s="60"/>
      <c r="F406" s="60"/>
      <c r="G406" s="60"/>
      <c r="J406" s="99"/>
      <c r="K406" s="99"/>
      <c r="L406" s="99"/>
      <c r="M406" s="99"/>
      <c r="N406" s="43">
        <f t="shared" si="6"/>
        <v>0</v>
      </c>
    </row>
    <row r="407" spans="2:14">
      <c r="B407" s="57"/>
      <c r="C407" s="60"/>
      <c r="D407" s="60"/>
      <c r="E407" s="60"/>
      <c r="F407" s="60"/>
      <c r="G407" s="60"/>
      <c r="J407" s="99"/>
      <c r="K407" s="99"/>
      <c r="L407" s="99"/>
      <c r="M407" s="99"/>
      <c r="N407" s="43">
        <f t="shared" si="6"/>
        <v>0</v>
      </c>
    </row>
    <row r="408" spans="2:14">
      <c r="B408" s="57"/>
      <c r="C408" s="60"/>
      <c r="D408" s="60"/>
      <c r="E408" s="60"/>
      <c r="F408" s="60"/>
      <c r="G408" s="60"/>
      <c r="J408" s="99"/>
      <c r="K408" s="99"/>
      <c r="L408" s="99"/>
      <c r="M408" s="99"/>
      <c r="N408" s="43">
        <f t="shared" si="6"/>
        <v>0</v>
      </c>
    </row>
    <row r="409" spans="2:14">
      <c r="B409" s="57"/>
      <c r="C409" s="60"/>
      <c r="D409" s="60"/>
      <c r="E409" s="60"/>
      <c r="F409" s="60"/>
      <c r="G409" s="60"/>
      <c r="J409" s="99"/>
      <c r="K409" s="99"/>
      <c r="L409" s="99"/>
      <c r="M409" s="99"/>
      <c r="N409" s="43">
        <f t="shared" si="6"/>
        <v>0</v>
      </c>
    </row>
    <row r="410" spans="2:14">
      <c r="B410" s="57"/>
      <c r="C410" s="60"/>
      <c r="D410" s="60"/>
      <c r="E410" s="60"/>
      <c r="F410" s="60"/>
      <c r="G410" s="60"/>
      <c r="J410" s="99"/>
      <c r="K410" s="99"/>
      <c r="L410" s="99"/>
      <c r="M410" s="99"/>
      <c r="N410" s="43">
        <f t="shared" si="6"/>
        <v>0</v>
      </c>
    </row>
    <row r="411" spans="2:14">
      <c r="B411" s="57"/>
      <c r="C411" s="60"/>
      <c r="D411" s="60"/>
      <c r="E411" s="60"/>
      <c r="F411" s="60"/>
      <c r="G411" s="60"/>
      <c r="J411" s="99"/>
      <c r="K411" s="99"/>
      <c r="L411" s="99"/>
      <c r="M411" s="99"/>
      <c r="N411" s="43">
        <f t="shared" si="6"/>
        <v>0</v>
      </c>
    </row>
    <row r="412" spans="2:14">
      <c r="B412" s="57"/>
      <c r="C412" s="60"/>
      <c r="D412" s="60"/>
      <c r="E412" s="60"/>
      <c r="F412" s="60"/>
      <c r="G412" s="60"/>
      <c r="J412" s="99"/>
      <c r="K412" s="99"/>
      <c r="L412" s="99"/>
      <c r="M412" s="99"/>
      <c r="N412" s="43">
        <f t="shared" si="6"/>
        <v>0</v>
      </c>
    </row>
    <row r="413" spans="2:14">
      <c r="B413" s="57"/>
      <c r="C413" s="60"/>
      <c r="D413" s="60"/>
      <c r="E413" s="60"/>
      <c r="F413" s="60"/>
      <c r="G413" s="60"/>
      <c r="J413" s="99"/>
      <c r="K413" s="99"/>
      <c r="L413" s="99"/>
      <c r="M413" s="99"/>
      <c r="N413" s="43">
        <f t="shared" si="6"/>
        <v>0</v>
      </c>
    </row>
    <row r="414" spans="2:14">
      <c r="B414" s="57"/>
      <c r="C414" s="60"/>
      <c r="D414" s="60"/>
      <c r="E414" s="60"/>
      <c r="F414" s="60"/>
      <c r="G414" s="60"/>
      <c r="J414" s="99"/>
      <c r="K414" s="99"/>
      <c r="L414" s="99"/>
      <c r="M414" s="99"/>
      <c r="N414" s="43">
        <f t="shared" si="6"/>
        <v>0</v>
      </c>
    </row>
    <row r="415" spans="2:14">
      <c r="B415" s="57"/>
      <c r="C415" s="60"/>
      <c r="D415" s="60"/>
      <c r="E415" s="60"/>
      <c r="F415" s="60"/>
      <c r="G415" s="60"/>
      <c r="J415" s="99"/>
      <c r="K415" s="99"/>
      <c r="L415" s="99"/>
      <c r="M415" s="99"/>
      <c r="N415" s="43">
        <f t="shared" si="6"/>
        <v>0</v>
      </c>
    </row>
    <row r="416" spans="2:14">
      <c r="B416" s="57"/>
      <c r="C416" s="60"/>
      <c r="D416" s="60"/>
      <c r="E416" s="60"/>
      <c r="F416" s="60"/>
      <c r="G416" s="60"/>
      <c r="J416" s="99"/>
      <c r="K416" s="99"/>
      <c r="L416" s="99"/>
      <c r="M416" s="99"/>
      <c r="N416" s="43">
        <f t="shared" si="6"/>
        <v>0</v>
      </c>
    </row>
    <row r="417" spans="2:14">
      <c r="B417" s="57"/>
      <c r="C417" s="60"/>
      <c r="D417" s="60"/>
      <c r="E417" s="60"/>
      <c r="F417" s="60"/>
      <c r="G417" s="60"/>
      <c r="J417" s="99"/>
      <c r="K417" s="99"/>
      <c r="L417" s="99"/>
      <c r="M417" s="99"/>
      <c r="N417" s="43">
        <f t="shared" si="6"/>
        <v>0</v>
      </c>
    </row>
    <row r="418" spans="2:14">
      <c r="B418" s="57"/>
      <c r="C418" s="60"/>
      <c r="D418" s="60"/>
      <c r="E418" s="60"/>
      <c r="F418" s="60"/>
      <c r="G418" s="60"/>
      <c r="J418" s="99"/>
      <c r="K418" s="99"/>
      <c r="L418" s="99"/>
      <c r="M418" s="99"/>
      <c r="N418" s="43">
        <f t="shared" si="6"/>
        <v>0</v>
      </c>
    </row>
    <row r="419" spans="2:14">
      <c r="B419" s="57"/>
      <c r="C419" s="60"/>
      <c r="D419" s="60"/>
      <c r="E419" s="60"/>
      <c r="F419" s="60"/>
      <c r="G419" s="60"/>
      <c r="J419" s="99"/>
      <c r="K419" s="99"/>
      <c r="L419" s="99"/>
      <c r="M419" s="99"/>
      <c r="N419" s="43">
        <f t="shared" si="6"/>
        <v>0</v>
      </c>
    </row>
    <row r="420" spans="2:14">
      <c r="B420" s="57"/>
      <c r="C420" s="60"/>
      <c r="D420" s="60"/>
      <c r="E420" s="60"/>
      <c r="F420" s="60"/>
      <c r="G420" s="60"/>
      <c r="J420" s="99"/>
      <c r="K420" s="99"/>
      <c r="L420" s="99"/>
      <c r="M420" s="99"/>
      <c r="N420" s="43">
        <f t="shared" si="6"/>
        <v>0</v>
      </c>
    </row>
    <row r="421" spans="2:14">
      <c r="B421" s="57"/>
      <c r="C421" s="60"/>
      <c r="D421" s="60"/>
      <c r="E421" s="60"/>
      <c r="F421" s="60"/>
      <c r="G421" s="60"/>
      <c r="J421" s="99"/>
      <c r="K421" s="99"/>
      <c r="L421" s="99"/>
      <c r="M421" s="99"/>
      <c r="N421" s="43">
        <f t="shared" si="6"/>
        <v>0</v>
      </c>
    </row>
    <row r="422" spans="2:14">
      <c r="B422" s="57"/>
      <c r="C422" s="60"/>
      <c r="D422" s="60"/>
      <c r="E422" s="60"/>
      <c r="F422" s="60"/>
      <c r="G422" s="60"/>
      <c r="J422" s="99"/>
      <c r="K422" s="99"/>
      <c r="L422" s="99"/>
      <c r="M422" s="99"/>
      <c r="N422" s="43">
        <f t="shared" si="6"/>
        <v>0</v>
      </c>
    </row>
    <row r="423" spans="2:14">
      <c r="B423" s="57"/>
      <c r="C423" s="60"/>
      <c r="D423" s="60"/>
      <c r="E423" s="60"/>
      <c r="F423" s="60"/>
      <c r="G423" s="60"/>
      <c r="J423" s="99"/>
      <c r="K423" s="99"/>
      <c r="L423" s="99"/>
      <c r="M423" s="99"/>
      <c r="N423" s="43">
        <f t="shared" si="6"/>
        <v>0</v>
      </c>
    </row>
    <row r="424" spans="2:14">
      <c r="B424" s="57"/>
      <c r="C424" s="60"/>
      <c r="D424" s="60"/>
      <c r="E424" s="60"/>
      <c r="F424" s="60"/>
      <c r="G424" s="60"/>
      <c r="J424" s="99"/>
      <c r="K424" s="99"/>
      <c r="L424" s="99"/>
      <c r="M424" s="99"/>
      <c r="N424" s="43">
        <f t="shared" si="6"/>
        <v>0</v>
      </c>
    </row>
    <row r="425" spans="2:14">
      <c r="B425" s="57"/>
      <c r="C425" s="60"/>
      <c r="D425" s="60"/>
      <c r="E425" s="60"/>
      <c r="F425" s="60"/>
      <c r="G425" s="60"/>
      <c r="J425" s="99"/>
      <c r="K425" s="99"/>
      <c r="L425" s="99"/>
      <c r="M425" s="99"/>
      <c r="N425" s="43">
        <f t="shared" si="6"/>
        <v>0</v>
      </c>
    </row>
    <row r="426" spans="2:14">
      <c r="B426" s="57"/>
      <c r="C426" s="60"/>
      <c r="D426" s="60"/>
      <c r="E426" s="60"/>
      <c r="F426" s="60"/>
      <c r="G426" s="60"/>
      <c r="J426" s="99"/>
      <c r="K426" s="99"/>
      <c r="L426" s="99"/>
      <c r="M426" s="99"/>
      <c r="N426" s="43">
        <f t="shared" si="6"/>
        <v>0</v>
      </c>
    </row>
    <row r="427" spans="2:14">
      <c r="B427" s="57"/>
      <c r="C427" s="60"/>
      <c r="D427" s="60"/>
      <c r="E427" s="60"/>
      <c r="F427" s="60"/>
      <c r="G427" s="60"/>
      <c r="J427" s="99"/>
      <c r="K427" s="99"/>
      <c r="L427" s="99"/>
      <c r="M427" s="99"/>
      <c r="N427" s="43">
        <f t="shared" si="6"/>
        <v>0</v>
      </c>
    </row>
    <row r="428" spans="2:14">
      <c r="B428" s="57"/>
      <c r="C428" s="60"/>
      <c r="D428" s="60"/>
      <c r="E428" s="60"/>
      <c r="F428" s="60"/>
      <c r="G428" s="60"/>
      <c r="J428" s="99"/>
      <c r="K428" s="99"/>
      <c r="L428" s="99"/>
      <c r="M428" s="99"/>
      <c r="N428" s="43">
        <f t="shared" si="6"/>
        <v>0</v>
      </c>
    </row>
    <row r="429" spans="2:14" ht="1.5" customHeight="1">
      <c r="B429" s="57"/>
      <c r="C429" s="60"/>
      <c r="D429" s="60"/>
      <c r="E429" s="60"/>
      <c r="F429" s="60"/>
      <c r="G429" s="60"/>
      <c r="J429" s="99"/>
      <c r="K429" s="99"/>
      <c r="L429" s="99"/>
      <c r="M429" s="99"/>
      <c r="N429" s="43">
        <f t="shared" si="6"/>
        <v>0</v>
      </c>
    </row>
    <row r="430" spans="2:14" ht="1.5" customHeight="1">
      <c r="B430" s="57"/>
      <c r="C430" s="60"/>
      <c r="D430" s="60"/>
      <c r="E430" s="60"/>
      <c r="F430" s="60"/>
      <c r="G430" s="60"/>
      <c r="J430" s="99"/>
      <c r="K430" s="99"/>
      <c r="L430" s="99"/>
      <c r="M430" s="99"/>
      <c r="N430" s="43">
        <f t="shared" si="6"/>
        <v>0</v>
      </c>
    </row>
    <row r="431" spans="2:14" ht="1.5" customHeight="1">
      <c r="B431" s="57"/>
      <c r="C431" s="60"/>
      <c r="D431" s="60"/>
      <c r="E431" s="60"/>
      <c r="F431" s="60"/>
      <c r="G431" s="60"/>
      <c r="J431" s="99"/>
      <c r="K431" s="99"/>
      <c r="L431" s="99"/>
      <c r="M431" s="99"/>
      <c r="N431" s="43">
        <f t="shared" si="6"/>
        <v>0</v>
      </c>
    </row>
    <row r="432" spans="2:14" ht="1.5" customHeight="1">
      <c r="B432" s="57"/>
      <c r="C432" s="60"/>
      <c r="D432" s="60"/>
      <c r="E432" s="60"/>
      <c r="F432" s="60"/>
      <c r="G432" s="60"/>
      <c r="J432" s="99"/>
      <c r="K432" s="99"/>
      <c r="L432" s="99"/>
      <c r="M432" s="99"/>
      <c r="N432" s="43">
        <f t="shared" si="6"/>
        <v>0</v>
      </c>
    </row>
    <row r="433" spans="2:14" ht="1.5" customHeight="1">
      <c r="B433" s="57"/>
      <c r="C433" s="60"/>
      <c r="D433" s="60"/>
      <c r="E433" s="60"/>
      <c r="F433" s="60"/>
      <c r="G433" s="60"/>
      <c r="J433" s="99"/>
      <c r="K433" s="99"/>
      <c r="L433" s="99"/>
      <c r="M433" s="99"/>
      <c r="N433" s="43">
        <f t="shared" si="6"/>
        <v>0</v>
      </c>
    </row>
    <row r="434" spans="2:14" ht="1.5" customHeight="1">
      <c r="B434" s="57"/>
      <c r="C434" s="60"/>
      <c r="D434" s="60"/>
      <c r="E434" s="60"/>
      <c r="F434" s="60"/>
      <c r="G434" s="60"/>
      <c r="J434" s="99"/>
      <c r="K434" s="99"/>
      <c r="L434" s="99"/>
      <c r="M434" s="99"/>
      <c r="N434" s="43">
        <f t="shared" si="6"/>
        <v>0</v>
      </c>
    </row>
    <row r="435" spans="2:14" ht="1.5" customHeight="1">
      <c r="B435" s="57"/>
      <c r="C435" s="60"/>
      <c r="D435" s="60"/>
      <c r="E435" s="60"/>
      <c r="F435" s="60"/>
      <c r="G435" s="60"/>
      <c r="J435" s="99"/>
      <c r="K435" s="99"/>
      <c r="L435" s="99"/>
      <c r="M435" s="99"/>
      <c r="N435" s="43">
        <f t="shared" si="6"/>
        <v>0</v>
      </c>
    </row>
    <row r="436" spans="2:14" ht="1.5" customHeight="1">
      <c r="B436" s="57"/>
      <c r="C436" s="60"/>
      <c r="D436" s="60"/>
      <c r="E436" s="60"/>
      <c r="F436" s="60"/>
      <c r="G436" s="60"/>
      <c r="J436" s="99"/>
      <c r="K436" s="99"/>
      <c r="L436" s="99"/>
      <c r="M436" s="99"/>
      <c r="N436" s="43">
        <f t="shared" si="6"/>
        <v>0</v>
      </c>
    </row>
    <row r="437" spans="2:14" ht="1.5" customHeight="1">
      <c r="B437" s="57"/>
      <c r="C437" s="60"/>
      <c r="D437" s="60"/>
      <c r="E437" s="60"/>
      <c r="F437" s="60"/>
      <c r="G437" s="60"/>
      <c r="J437" s="99"/>
      <c r="K437" s="99"/>
      <c r="L437" s="99"/>
      <c r="M437" s="99"/>
      <c r="N437" s="43">
        <f t="shared" si="6"/>
        <v>0</v>
      </c>
    </row>
    <row r="438" spans="2:14" ht="1.5" customHeight="1">
      <c r="B438" s="57"/>
      <c r="C438" s="60"/>
      <c r="D438" s="60"/>
      <c r="E438" s="60"/>
      <c r="F438" s="60"/>
      <c r="G438" s="60"/>
      <c r="J438" s="99"/>
      <c r="K438" s="99"/>
      <c r="L438" s="99"/>
      <c r="M438" s="99"/>
      <c r="N438" s="43">
        <f t="shared" si="6"/>
        <v>0</v>
      </c>
    </row>
    <row r="439" spans="2:14" ht="1.5" customHeight="1">
      <c r="B439" s="57"/>
      <c r="C439" s="60"/>
      <c r="D439" s="60"/>
      <c r="E439" s="60"/>
      <c r="F439" s="60"/>
      <c r="G439" s="60"/>
      <c r="J439" s="99"/>
      <c r="K439" s="99"/>
      <c r="L439" s="99"/>
      <c r="M439" s="99"/>
      <c r="N439" s="43">
        <f t="shared" si="6"/>
        <v>0</v>
      </c>
    </row>
    <row r="440" spans="2:14" ht="1.5" customHeight="1">
      <c r="B440" s="57"/>
      <c r="C440" s="60"/>
      <c r="D440" s="60"/>
      <c r="E440" s="60"/>
      <c r="F440" s="60"/>
      <c r="G440" s="60"/>
      <c r="J440" s="99"/>
      <c r="K440" s="99"/>
      <c r="L440" s="99"/>
      <c r="M440" s="99"/>
      <c r="N440" s="43">
        <f t="shared" si="6"/>
        <v>0</v>
      </c>
    </row>
    <row r="441" spans="2:14" ht="1.5" customHeight="1">
      <c r="B441" s="57"/>
      <c r="C441" s="60"/>
      <c r="D441" s="60"/>
      <c r="E441" s="60"/>
      <c r="F441" s="60"/>
      <c r="G441" s="60"/>
      <c r="J441" s="99"/>
      <c r="K441" s="99"/>
      <c r="L441" s="99"/>
      <c r="M441" s="99"/>
      <c r="N441" s="43">
        <f t="shared" si="6"/>
        <v>0</v>
      </c>
    </row>
    <row r="442" spans="2:14" ht="1.5" customHeight="1">
      <c r="B442" s="57"/>
      <c r="C442" s="60"/>
      <c r="D442" s="60"/>
      <c r="E442" s="60"/>
      <c r="F442" s="60"/>
      <c r="G442" s="60"/>
      <c r="J442" s="99"/>
      <c r="K442" s="99"/>
      <c r="L442" s="99"/>
      <c r="M442" s="99"/>
      <c r="N442" s="43">
        <f t="shared" si="6"/>
        <v>0</v>
      </c>
    </row>
    <row r="443" spans="2:14" ht="1.5" customHeight="1">
      <c r="B443" s="57"/>
      <c r="C443" s="60"/>
      <c r="D443" s="60"/>
      <c r="E443" s="60"/>
      <c r="F443" s="60"/>
      <c r="G443" s="60"/>
      <c r="J443" s="99"/>
      <c r="K443" s="99"/>
      <c r="L443" s="99"/>
      <c r="M443" s="99"/>
      <c r="N443" s="43">
        <f t="shared" si="6"/>
        <v>0</v>
      </c>
    </row>
    <row r="444" spans="2:14" ht="1.5" customHeight="1">
      <c r="B444" s="57"/>
      <c r="C444" s="60"/>
      <c r="D444" s="60"/>
      <c r="E444" s="60"/>
      <c r="F444" s="60"/>
      <c r="G444" s="60"/>
      <c r="J444" s="99"/>
      <c r="K444" s="99"/>
      <c r="L444" s="99"/>
      <c r="M444" s="99"/>
      <c r="N444" s="43">
        <f t="shared" si="6"/>
        <v>0</v>
      </c>
    </row>
    <row r="445" spans="2:14" ht="1.5" customHeight="1">
      <c r="B445" s="57"/>
      <c r="C445" s="60"/>
      <c r="D445" s="60"/>
      <c r="E445" s="60"/>
      <c r="F445" s="60"/>
      <c r="G445" s="60"/>
      <c r="J445" s="99"/>
      <c r="K445" s="99"/>
      <c r="L445" s="99"/>
      <c r="M445" s="99"/>
      <c r="N445" s="43">
        <f t="shared" si="6"/>
        <v>0</v>
      </c>
    </row>
    <row r="446" spans="2:14" ht="1.5" customHeight="1">
      <c r="B446" s="57"/>
      <c r="C446" s="60"/>
      <c r="D446" s="60"/>
      <c r="E446" s="60"/>
      <c r="F446" s="60"/>
      <c r="G446" s="60"/>
      <c r="J446" s="99"/>
      <c r="K446" s="99"/>
      <c r="L446" s="99"/>
      <c r="M446" s="99"/>
      <c r="N446" s="43">
        <f t="shared" si="6"/>
        <v>0</v>
      </c>
    </row>
    <row r="447" spans="2:14" ht="1.5" customHeight="1">
      <c r="B447" s="57"/>
      <c r="C447" s="60"/>
      <c r="D447" s="60"/>
      <c r="E447" s="60"/>
      <c r="F447" s="60"/>
      <c r="G447" s="60"/>
      <c r="J447" s="99"/>
      <c r="K447" s="99"/>
      <c r="L447" s="99"/>
      <c r="M447" s="99"/>
      <c r="N447" s="43">
        <f t="shared" si="6"/>
        <v>0</v>
      </c>
    </row>
    <row r="448" spans="2:14" ht="1.5" customHeight="1">
      <c r="B448" s="57"/>
      <c r="C448" s="60"/>
      <c r="D448" s="60"/>
      <c r="E448" s="60"/>
      <c r="F448" s="60"/>
      <c r="G448" s="60"/>
      <c r="J448" s="99"/>
      <c r="K448" s="99"/>
      <c r="L448" s="99"/>
      <c r="M448" s="99"/>
      <c r="N448" s="43">
        <f t="shared" si="6"/>
        <v>0</v>
      </c>
    </row>
    <row r="449" spans="2:14" ht="1.5" customHeight="1">
      <c r="B449" s="57"/>
      <c r="C449" s="60"/>
      <c r="D449" s="60"/>
      <c r="E449" s="60"/>
      <c r="F449" s="60"/>
      <c r="G449" s="60"/>
      <c r="J449" s="99"/>
      <c r="K449" s="99"/>
      <c r="L449" s="99"/>
      <c r="M449" s="99"/>
      <c r="N449" s="43">
        <f t="shared" si="6"/>
        <v>0</v>
      </c>
    </row>
    <row r="450" spans="2:14" ht="1.5" customHeight="1">
      <c r="B450" s="57"/>
      <c r="C450" s="60"/>
      <c r="D450" s="60"/>
      <c r="E450" s="60"/>
      <c r="F450" s="60"/>
      <c r="G450" s="60"/>
      <c r="J450" s="99"/>
      <c r="K450" s="99"/>
      <c r="L450" s="99"/>
      <c r="M450" s="99"/>
      <c r="N450" s="43">
        <f t="shared" si="6"/>
        <v>0</v>
      </c>
    </row>
    <row r="451" spans="2:14" ht="1.5" customHeight="1">
      <c r="B451" s="57"/>
      <c r="C451" s="60"/>
      <c r="D451" s="60"/>
      <c r="E451" s="60"/>
      <c r="F451" s="60"/>
      <c r="G451" s="60"/>
      <c r="J451" s="99"/>
      <c r="K451" s="99"/>
      <c r="L451" s="99"/>
      <c r="M451" s="99"/>
      <c r="N451" s="43">
        <f t="shared" si="6"/>
        <v>0</v>
      </c>
    </row>
    <row r="452" spans="2:14" ht="1.5" customHeight="1">
      <c r="B452" s="57"/>
      <c r="C452" s="60"/>
      <c r="D452" s="60"/>
      <c r="E452" s="60"/>
      <c r="F452" s="60"/>
      <c r="G452" s="60"/>
      <c r="J452" s="99"/>
      <c r="K452" s="99"/>
      <c r="L452" s="99"/>
      <c r="M452" s="99"/>
      <c r="N452" s="43">
        <f t="shared" si="6"/>
        <v>0</v>
      </c>
    </row>
    <row r="453" spans="2:14" ht="1.5" customHeight="1">
      <c r="B453" s="57"/>
      <c r="C453" s="60"/>
      <c r="D453" s="60"/>
      <c r="E453" s="60"/>
      <c r="F453" s="60"/>
      <c r="G453" s="60"/>
      <c r="J453" s="99"/>
      <c r="K453" s="99"/>
      <c r="L453" s="99"/>
      <c r="M453" s="99"/>
      <c r="N453" s="43">
        <f t="shared" si="6"/>
        <v>0</v>
      </c>
    </row>
    <row r="454" spans="2:14" ht="1.5" customHeight="1">
      <c r="B454" s="57"/>
      <c r="C454" s="60"/>
      <c r="D454" s="60"/>
      <c r="E454" s="60"/>
      <c r="F454" s="60"/>
      <c r="G454" s="60"/>
      <c r="J454" s="99"/>
      <c r="K454" s="99"/>
      <c r="L454" s="99"/>
      <c r="M454" s="99"/>
      <c r="N454" s="43">
        <f t="shared" si="6"/>
        <v>0</v>
      </c>
    </row>
    <row r="455" spans="2:14" ht="1.5" customHeight="1">
      <c r="B455" s="57"/>
      <c r="C455" s="60"/>
      <c r="D455" s="60"/>
      <c r="E455" s="60"/>
      <c r="F455" s="60"/>
      <c r="G455" s="60"/>
      <c r="J455" s="99"/>
      <c r="K455" s="99"/>
      <c r="L455" s="99"/>
      <c r="M455" s="99"/>
      <c r="N455" s="43">
        <f t="shared" si="6"/>
        <v>0</v>
      </c>
    </row>
    <row r="456" spans="2:14" ht="1.5" customHeight="1">
      <c r="B456" s="57"/>
      <c r="C456" s="60"/>
      <c r="D456" s="60"/>
      <c r="E456" s="60"/>
      <c r="F456" s="60"/>
      <c r="G456" s="60"/>
      <c r="J456" s="99"/>
      <c r="K456" s="99"/>
      <c r="L456" s="99"/>
      <c r="M456" s="99"/>
      <c r="N456" s="43">
        <f t="shared" si="6"/>
        <v>0</v>
      </c>
    </row>
    <row r="457" spans="2:14" ht="1.5" customHeight="1">
      <c r="B457" s="57"/>
      <c r="C457" s="60"/>
      <c r="D457" s="60"/>
      <c r="E457" s="60"/>
      <c r="F457" s="60"/>
      <c r="G457" s="60"/>
      <c r="J457" s="99"/>
      <c r="K457" s="99"/>
      <c r="L457" s="99"/>
      <c r="M457" s="99"/>
      <c r="N457" s="43">
        <f t="shared" si="6"/>
        <v>0</v>
      </c>
    </row>
    <row r="458" spans="2:14" ht="1.5" customHeight="1">
      <c r="B458" s="57"/>
      <c r="C458" s="60"/>
      <c r="D458" s="60"/>
      <c r="E458" s="60"/>
      <c r="F458" s="60"/>
      <c r="G458" s="60"/>
      <c r="J458" s="99"/>
      <c r="K458" s="99"/>
      <c r="L458" s="99"/>
      <c r="M458" s="99"/>
      <c r="N458" s="43">
        <f t="shared" si="6"/>
        <v>0</v>
      </c>
    </row>
    <row r="459" spans="2:14" ht="1.5" customHeight="1">
      <c r="B459" s="57"/>
      <c r="C459" s="60"/>
      <c r="D459" s="60"/>
      <c r="E459" s="60"/>
      <c r="F459" s="60"/>
      <c r="G459" s="60"/>
      <c r="J459" s="99"/>
      <c r="K459" s="99"/>
      <c r="L459" s="99"/>
      <c r="M459" s="99"/>
      <c r="N459" s="43">
        <f t="shared" ref="N459:N522" si="7">IF($L$4=$C$10,C459,IF(D459="","",B459))</f>
        <v>0</v>
      </c>
    </row>
    <row r="460" spans="2:14" ht="1.5" customHeight="1">
      <c r="B460" s="57"/>
      <c r="C460" s="60"/>
      <c r="D460" s="60"/>
      <c r="E460" s="60"/>
      <c r="F460" s="60"/>
      <c r="G460" s="60"/>
      <c r="J460" s="99"/>
      <c r="K460" s="99"/>
      <c r="L460" s="99"/>
      <c r="M460" s="99"/>
      <c r="N460" s="43">
        <f t="shared" si="7"/>
        <v>0</v>
      </c>
    </row>
    <row r="461" spans="2:14" ht="1.5" customHeight="1">
      <c r="B461" s="57"/>
      <c r="C461" s="60"/>
      <c r="D461" s="60"/>
      <c r="E461" s="60"/>
      <c r="F461" s="60"/>
      <c r="G461" s="60"/>
      <c r="J461" s="99"/>
      <c r="K461" s="99"/>
      <c r="L461" s="99"/>
      <c r="M461" s="99"/>
      <c r="N461" s="43">
        <f t="shared" si="7"/>
        <v>0</v>
      </c>
    </row>
    <row r="462" spans="2:14" ht="1.5" customHeight="1">
      <c r="B462" s="57"/>
      <c r="C462" s="60"/>
      <c r="D462" s="60"/>
      <c r="E462" s="60"/>
      <c r="F462" s="60"/>
      <c r="G462" s="60"/>
      <c r="J462" s="99"/>
      <c r="K462" s="99"/>
      <c r="L462" s="99"/>
      <c r="M462" s="99"/>
      <c r="N462" s="43">
        <f t="shared" si="7"/>
        <v>0</v>
      </c>
    </row>
    <row r="463" spans="2:14" ht="1.5" customHeight="1">
      <c r="B463" s="57"/>
      <c r="C463" s="60"/>
      <c r="D463" s="60"/>
      <c r="E463" s="60"/>
      <c r="F463" s="60"/>
      <c r="G463" s="60"/>
      <c r="J463" s="99"/>
      <c r="K463" s="99"/>
      <c r="L463" s="99"/>
      <c r="M463" s="99"/>
      <c r="N463" s="43">
        <f t="shared" si="7"/>
        <v>0</v>
      </c>
    </row>
    <row r="464" spans="2:14" ht="1.5" customHeight="1">
      <c r="B464" s="57"/>
      <c r="C464" s="60"/>
      <c r="D464" s="60"/>
      <c r="E464" s="60"/>
      <c r="F464" s="60"/>
      <c r="G464" s="60"/>
      <c r="J464" s="99"/>
      <c r="K464" s="99"/>
      <c r="L464" s="99"/>
      <c r="M464" s="99"/>
      <c r="N464" s="43">
        <f t="shared" si="7"/>
        <v>0</v>
      </c>
    </row>
    <row r="465" spans="2:14" ht="1.5" customHeight="1">
      <c r="B465" s="57"/>
      <c r="C465" s="60"/>
      <c r="D465" s="60"/>
      <c r="E465" s="60"/>
      <c r="F465" s="60"/>
      <c r="G465" s="60"/>
      <c r="J465" s="99"/>
      <c r="K465" s="99"/>
      <c r="L465" s="99"/>
      <c r="M465" s="99"/>
      <c r="N465" s="43">
        <f t="shared" si="7"/>
        <v>0</v>
      </c>
    </row>
    <row r="466" spans="2:14" ht="1.5" customHeight="1">
      <c r="B466" s="57"/>
      <c r="C466" s="60"/>
      <c r="D466" s="60"/>
      <c r="E466" s="60"/>
      <c r="F466" s="60"/>
      <c r="G466" s="60"/>
      <c r="J466" s="99"/>
      <c r="K466" s="99"/>
      <c r="L466" s="99"/>
      <c r="M466" s="99"/>
      <c r="N466" s="43">
        <f t="shared" si="7"/>
        <v>0</v>
      </c>
    </row>
    <row r="467" spans="2:14" ht="1.5" customHeight="1">
      <c r="B467" s="57"/>
      <c r="C467" s="60"/>
      <c r="D467" s="60"/>
      <c r="E467" s="60"/>
      <c r="F467" s="60"/>
      <c r="G467" s="60"/>
      <c r="J467" s="99"/>
      <c r="K467" s="99"/>
      <c r="L467" s="99"/>
      <c r="M467" s="99"/>
      <c r="N467" s="43">
        <f t="shared" si="7"/>
        <v>0</v>
      </c>
    </row>
    <row r="468" spans="2:14" ht="1.5" customHeight="1">
      <c r="B468" s="57"/>
      <c r="C468" s="60"/>
      <c r="D468" s="60"/>
      <c r="E468" s="60"/>
      <c r="F468" s="60"/>
      <c r="G468" s="60"/>
      <c r="J468" s="99"/>
      <c r="K468" s="99"/>
      <c r="L468" s="99"/>
      <c r="M468" s="99"/>
      <c r="N468" s="43">
        <f t="shared" si="7"/>
        <v>0</v>
      </c>
    </row>
    <row r="469" spans="2:14" ht="1.5" customHeight="1">
      <c r="B469" s="57"/>
      <c r="C469" s="60"/>
      <c r="D469" s="60"/>
      <c r="E469" s="60"/>
      <c r="F469" s="60"/>
      <c r="G469" s="60"/>
      <c r="J469" s="99"/>
      <c r="K469" s="99"/>
      <c r="L469" s="99"/>
      <c r="M469" s="99"/>
      <c r="N469" s="43">
        <f t="shared" si="7"/>
        <v>0</v>
      </c>
    </row>
    <row r="470" spans="2:14" ht="1.5" customHeight="1">
      <c r="B470" s="57"/>
      <c r="C470" s="60"/>
      <c r="D470" s="60"/>
      <c r="E470" s="60"/>
      <c r="F470" s="60"/>
      <c r="G470" s="60"/>
      <c r="J470" s="99"/>
      <c r="K470" s="99"/>
      <c r="L470" s="99"/>
      <c r="M470" s="99"/>
      <c r="N470" s="43">
        <f t="shared" si="7"/>
        <v>0</v>
      </c>
    </row>
    <row r="471" spans="2:14" ht="1.5" customHeight="1">
      <c r="B471" s="57"/>
      <c r="C471" s="60"/>
      <c r="D471" s="60"/>
      <c r="E471" s="60"/>
      <c r="F471" s="60"/>
      <c r="G471" s="60"/>
      <c r="J471" s="99"/>
      <c r="K471" s="99"/>
      <c r="L471" s="99"/>
      <c r="M471" s="99"/>
      <c r="N471" s="43">
        <f t="shared" si="7"/>
        <v>0</v>
      </c>
    </row>
    <row r="472" spans="2:14" ht="1.5" customHeight="1">
      <c r="B472" s="57"/>
      <c r="C472" s="60"/>
      <c r="D472" s="60"/>
      <c r="E472" s="60"/>
      <c r="F472" s="60"/>
      <c r="G472" s="60"/>
      <c r="J472" s="99"/>
      <c r="K472" s="99"/>
      <c r="L472" s="99"/>
      <c r="M472" s="99"/>
      <c r="N472" s="43">
        <f t="shared" si="7"/>
        <v>0</v>
      </c>
    </row>
    <row r="473" spans="2:14" ht="1.5" customHeight="1">
      <c r="B473" s="57"/>
      <c r="C473" s="60"/>
      <c r="D473" s="60"/>
      <c r="E473" s="60"/>
      <c r="F473" s="60"/>
      <c r="G473" s="60"/>
      <c r="J473" s="99"/>
      <c r="K473" s="99"/>
      <c r="L473" s="99"/>
      <c r="M473" s="99"/>
      <c r="N473" s="43">
        <f t="shared" si="7"/>
        <v>0</v>
      </c>
    </row>
    <row r="474" spans="2:14" ht="1.5" customHeight="1">
      <c r="B474" s="57"/>
      <c r="C474" s="60"/>
      <c r="D474" s="60"/>
      <c r="E474" s="60"/>
      <c r="F474" s="60"/>
      <c r="G474" s="60"/>
      <c r="J474" s="99"/>
      <c r="K474" s="99"/>
      <c r="L474" s="99"/>
      <c r="M474" s="99"/>
      <c r="N474" s="43">
        <f t="shared" si="7"/>
        <v>0</v>
      </c>
    </row>
    <row r="475" spans="2:14" ht="1.5" customHeight="1">
      <c r="B475" s="57"/>
      <c r="C475" s="60"/>
      <c r="D475" s="60"/>
      <c r="E475" s="60"/>
      <c r="F475" s="60"/>
      <c r="G475" s="60"/>
      <c r="J475" s="99"/>
      <c r="K475" s="99"/>
      <c r="L475" s="99"/>
      <c r="M475" s="99"/>
      <c r="N475" s="43">
        <f t="shared" si="7"/>
        <v>0</v>
      </c>
    </row>
    <row r="476" spans="2:14" ht="1.5" customHeight="1">
      <c r="B476" s="57"/>
      <c r="C476" s="60"/>
      <c r="D476" s="60"/>
      <c r="E476" s="60"/>
      <c r="F476" s="60"/>
      <c r="G476" s="60"/>
      <c r="J476" s="99"/>
      <c r="K476" s="99"/>
      <c r="L476" s="99"/>
      <c r="M476" s="99"/>
      <c r="N476" s="43">
        <f t="shared" si="7"/>
        <v>0</v>
      </c>
    </row>
    <row r="477" spans="2:14" ht="1.5" customHeight="1">
      <c r="B477" s="57"/>
      <c r="C477" s="60"/>
      <c r="D477" s="60"/>
      <c r="E477" s="60"/>
      <c r="F477" s="60"/>
      <c r="G477" s="60"/>
      <c r="J477" s="99"/>
      <c r="K477" s="99"/>
      <c r="L477" s="99"/>
      <c r="M477" s="99"/>
      <c r="N477" s="43">
        <f t="shared" si="7"/>
        <v>0</v>
      </c>
    </row>
    <row r="478" spans="2:14" ht="1.5" customHeight="1">
      <c r="B478" s="57"/>
      <c r="C478" s="60"/>
      <c r="D478" s="60"/>
      <c r="E478" s="60"/>
      <c r="F478" s="60"/>
      <c r="G478" s="60"/>
      <c r="J478" s="99"/>
      <c r="K478" s="99"/>
      <c r="L478" s="99"/>
      <c r="M478" s="99"/>
      <c r="N478" s="43">
        <f t="shared" si="7"/>
        <v>0</v>
      </c>
    </row>
    <row r="479" spans="2:14" ht="1.5" customHeight="1">
      <c r="B479" s="57"/>
      <c r="C479" s="60"/>
      <c r="D479" s="60"/>
      <c r="E479" s="60"/>
      <c r="F479" s="60"/>
      <c r="G479" s="60"/>
      <c r="J479" s="99"/>
      <c r="K479" s="99"/>
      <c r="L479" s="99"/>
      <c r="M479" s="99"/>
      <c r="N479" s="43">
        <f t="shared" si="7"/>
        <v>0</v>
      </c>
    </row>
    <row r="480" spans="2:14" ht="1.5" customHeight="1">
      <c r="B480" s="57"/>
      <c r="C480" s="60"/>
      <c r="D480" s="60"/>
      <c r="E480" s="60"/>
      <c r="F480" s="60"/>
      <c r="G480" s="60"/>
      <c r="J480" s="99"/>
      <c r="K480" s="99"/>
      <c r="L480" s="99"/>
      <c r="M480" s="99"/>
      <c r="N480" s="43">
        <f t="shared" si="7"/>
        <v>0</v>
      </c>
    </row>
    <row r="481" spans="2:14" ht="1.5" customHeight="1">
      <c r="B481" s="57"/>
      <c r="C481" s="60"/>
      <c r="D481" s="60"/>
      <c r="E481" s="60"/>
      <c r="F481" s="60"/>
      <c r="G481" s="60"/>
      <c r="J481" s="99"/>
      <c r="K481" s="99"/>
      <c r="L481" s="99"/>
      <c r="M481" s="99"/>
      <c r="N481" s="43">
        <f t="shared" si="7"/>
        <v>0</v>
      </c>
    </row>
    <row r="482" spans="2:14" ht="1.5" customHeight="1">
      <c r="B482" s="57"/>
      <c r="C482" s="60"/>
      <c r="D482" s="60"/>
      <c r="E482" s="60"/>
      <c r="F482" s="60"/>
      <c r="G482" s="60"/>
      <c r="J482" s="99"/>
      <c r="K482" s="99"/>
      <c r="L482" s="99"/>
      <c r="M482" s="99"/>
      <c r="N482" s="43">
        <f t="shared" si="7"/>
        <v>0</v>
      </c>
    </row>
    <row r="483" spans="2:14" ht="1.5" customHeight="1">
      <c r="B483" s="57"/>
      <c r="C483" s="60"/>
      <c r="D483" s="60"/>
      <c r="E483" s="60"/>
      <c r="F483" s="60"/>
      <c r="G483" s="60"/>
      <c r="J483" s="99"/>
      <c r="K483" s="99"/>
      <c r="L483" s="99"/>
      <c r="M483" s="99"/>
      <c r="N483" s="43">
        <f t="shared" si="7"/>
        <v>0</v>
      </c>
    </row>
    <row r="484" spans="2:14" ht="1.5" customHeight="1">
      <c r="B484" s="57"/>
      <c r="C484" s="60"/>
      <c r="D484" s="60"/>
      <c r="E484" s="60"/>
      <c r="F484" s="60"/>
      <c r="G484" s="60"/>
      <c r="J484" s="99"/>
      <c r="K484" s="99"/>
      <c r="L484" s="99"/>
      <c r="M484" s="99"/>
      <c r="N484" s="43">
        <f t="shared" si="7"/>
        <v>0</v>
      </c>
    </row>
    <row r="485" spans="2:14" ht="1.5" customHeight="1">
      <c r="B485" s="57"/>
      <c r="C485" s="60"/>
      <c r="D485" s="60"/>
      <c r="E485" s="60"/>
      <c r="F485" s="60"/>
      <c r="G485" s="60"/>
      <c r="J485" s="99"/>
      <c r="K485" s="99"/>
      <c r="L485" s="99"/>
      <c r="M485" s="99"/>
      <c r="N485" s="43">
        <f t="shared" si="7"/>
        <v>0</v>
      </c>
    </row>
    <row r="486" spans="2:14" ht="1.5" customHeight="1">
      <c r="B486" s="57"/>
      <c r="C486" s="60"/>
      <c r="D486" s="60"/>
      <c r="E486" s="60"/>
      <c r="F486" s="60"/>
      <c r="G486" s="60"/>
      <c r="J486" s="99"/>
      <c r="K486" s="99"/>
      <c r="L486" s="99"/>
      <c r="M486" s="99"/>
      <c r="N486" s="43">
        <f t="shared" si="7"/>
        <v>0</v>
      </c>
    </row>
    <row r="487" spans="2:14" ht="1.5" customHeight="1">
      <c r="B487" s="57"/>
      <c r="C487" s="60"/>
      <c r="D487" s="60"/>
      <c r="E487" s="60"/>
      <c r="F487" s="60"/>
      <c r="G487" s="60"/>
      <c r="J487" s="99"/>
      <c r="K487" s="99"/>
      <c r="L487" s="99"/>
      <c r="M487" s="99"/>
      <c r="N487" s="43">
        <f t="shared" si="7"/>
        <v>0</v>
      </c>
    </row>
    <row r="488" spans="2:14" ht="1.5" customHeight="1">
      <c r="B488" s="57"/>
      <c r="C488" s="60"/>
      <c r="D488" s="60"/>
      <c r="E488" s="60"/>
      <c r="F488" s="60"/>
      <c r="G488" s="60"/>
      <c r="J488" s="99"/>
      <c r="K488" s="99"/>
      <c r="L488" s="99"/>
      <c r="M488" s="99"/>
      <c r="N488" s="43">
        <f t="shared" si="7"/>
        <v>0</v>
      </c>
    </row>
    <row r="489" spans="2:14" ht="1.5" customHeight="1">
      <c r="B489" s="57"/>
      <c r="C489" s="60"/>
      <c r="D489" s="60"/>
      <c r="E489" s="60"/>
      <c r="F489" s="60"/>
      <c r="G489" s="60"/>
      <c r="J489" s="99"/>
      <c r="K489" s="99"/>
      <c r="L489" s="99"/>
      <c r="M489" s="99"/>
      <c r="N489" s="43">
        <f t="shared" si="7"/>
        <v>0</v>
      </c>
    </row>
    <row r="490" spans="2:14" ht="1.5" customHeight="1">
      <c r="B490" s="57"/>
      <c r="C490" s="60"/>
      <c r="D490" s="60"/>
      <c r="E490" s="60"/>
      <c r="F490" s="60"/>
      <c r="G490" s="60"/>
      <c r="J490" s="99"/>
      <c r="K490" s="99"/>
      <c r="L490" s="99"/>
      <c r="M490" s="99"/>
      <c r="N490" s="43">
        <f t="shared" si="7"/>
        <v>0</v>
      </c>
    </row>
    <row r="491" spans="2:14" ht="1.5" customHeight="1">
      <c r="B491" s="57"/>
      <c r="C491" s="60"/>
      <c r="D491" s="60"/>
      <c r="E491" s="60"/>
      <c r="F491" s="60"/>
      <c r="G491" s="60"/>
      <c r="J491" s="99"/>
      <c r="K491" s="99"/>
      <c r="L491" s="99"/>
      <c r="M491" s="99"/>
      <c r="N491" s="43">
        <f t="shared" si="7"/>
        <v>0</v>
      </c>
    </row>
    <row r="492" spans="2:14" ht="1.5" customHeight="1">
      <c r="B492" s="57"/>
      <c r="C492" s="60"/>
      <c r="D492" s="60"/>
      <c r="E492" s="60"/>
      <c r="F492" s="60"/>
      <c r="G492" s="60"/>
      <c r="J492" s="99"/>
      <c r="K492" s="99"/>
      <c r="L492" s="99"/>
      <c r="M492" s="99"/>
      <c r="N492" s="43">
        <f t="shared" si="7"/>
        <v>0</v>
      </c>
    </row>
    <row r="493" spans="2:14" ht="1.5" customHeight="1">
      <c r="B493" s="57"/>
      <c r="C493" s="60"/>
      <c r="D493" s="60"/>
      <c r="E493" s="60"/>
      <c r="F493" s="60"/>
      <c r="G493" s="60"/>
      <c r="J493" s="99"/>
      <c r="K493" s="99"/>
      <c r="L493" s="99"/>
      <c r="M493" s="99"/>
      <c r="N493" s="43">
        <f t="shared" si="7"/>
        <v>0</v>
      </c>
    </row>
    <row r="494" spans="2:14" ht="1.5" customHeight="1">
      <c r="B494" s="57"/>
      <c r="C494" s="60"/>
      <c r="D494" s="60"/>
      <c r="E494" s="60"/>
      <c r="F494" s="60"/>
      <c r="G494" s="60"/>
      <c r="J494" s="99"/>
      <c r="K494" s="99"/>
      <c r="L494" s="99"/>
      <c r="M494" s="99"/>
      <c r="N494" s="43">
        <f t="shared" si="7"/>
        <v>0</v>
      </c>
    </row>
    <row r="495" spans="2:14" ht="1.5" customHeight="1">
      <c r="B495" s="57"/>
      <c r="C495" s="60"/>
      <c r="D495" s="60"/>
      <c r="E495" s="60"/>
      <c r="F495" s="60"/>
      <c r="G495" s="60"/>
      <c r="J495" s="99"/>
      <c r="K495" s="99"/>
      <c r="L495" s="99"/>
      <c r="M495" s="99"/>
      <c r="N495" s="43">
        <f t="shared" si="7"/>
        <v>0</v>
      </c>
    </row>
    <row r="496" spans="2:14" ht="1.5" customHeight="1">
      <c r="B496" s="57"/>
      <c r="C496" s="60"/>
      <c r="D496" s="60"/>
      <c r="E496" s="60"/>
      <c r="F496" s="60"/>
      <c r="G496" s="60"/>
      <c r="J496" s="99"/>
      <c r="K496" s="99"/>
      <c r="L496" s="99"/>
      <c r="M496" s="99"/>
      <c r="N496" s="43">
        <f t="shared" si="7"/>
        <v>0</v>
      </c>
    </row>
    <row r="497" spans="2:14" ht="1.5" customHeight="1">
      <c r="B497" s="57"/>
      <c r="C497" s="60"/>
      <c r="D497" s="60"/>
      <c r="E497" s="60"/>
      <c r="F497" s="60"/>
      <c r="G497" s="60"/>
      <c r="J497" s="99"/>
      <c r="K497" s="99"/>
      <c r="L497" s="99"/>
      <c r="M497" s="99"/>
      <c r="N497" s="43">
        <f t="shared" si="7"/>
        <v>0</v>
      </c>
    </row>
    <row r="498" spans="2:14" ht="1.5" customHeight="1">
      <c r="B498" s="57"/>
      <c r="C498" s="60"/>
      <c r="D498" s="60"/>
      <c r="E498" s="60"/>
      <c r="F498" s="60"/>
      <c r="G498" s="60"/>
      <c r="J498" s="99"/>
      <c r="K498" s="99"/>
      <c r="L498" s="99"/>
      <c r="M498" s="99"/>
      <c r="N498" s="43">
        <f t="shared" si="7"/>
        <v>0</v>
      </c>
    </row>
    <row r="499" spans="2:14" ht="1.5" customHeight="1">
      <c r="B499" s="57"/>
      <c r="C499" s="60"/>
      <c r="D499" s="60"/>
      <c r="E499" s="60"/>
      <c r="F499" s="60"/>
      <c r="G499" s="60"/>
      <c r="J499" s="99"/>
      <c r="K499" s="99"/>
      <c r="L499" s="99"/>
      <c r="M499" s="99"/>
      <c r="N499" s="43">
        <f t="shared" si="7"/>
        <v>0</v>
      </c>
    </row>
    <row r="500" spans="2:14" ht="1.5" customHeight="1">
      <c r="B500" s="57"/>
      <c r="C500" s="60"/>
      <c r="D500" s="60"/>
      <c r="E500" s="60"/>
      <c r="F500" s="60"/>
      <c r="G500" s="60"/>
      <c r="J500" s="99"/>
      <c r="K500" s="99"/>
      <c r="L500" s="99"/>
      <c r="M500" s="99"/>
      <c r="N500" s="43">
        <f t="shared" si="7"/>
        <v>0</v>
      </c>
    </row>
    <row r="501" spans="2:14" ht="1.5" customHeight="1">
      <c r="B501" s="57"/>
      <c r="C501" s="60"/>
      <c r="D501" s="60"/>
      <c r="E501" s="60"/>
      <c r="F501" s="60"/>
      <c r="G501" s="60"/>
      <c r="J501" s="99"/>
      <c r="K501" s="99"/>
      <c r="L501" s="99"/>
      <c r="M501" s="99"/>
      <c r="N501" s="43">
        <f t="shared" si="7"/>
        <v>0</v>
      </c>
    </row>
    <row r="502" spans="2:14" ht="1.5" customHeight="1">
      <c r="B502" s="57"/>
      <c r="C502" s="60"/>
      <c r="D502" s="60"/>
      <c r="E502" s="60"/>
      <c r="F502" s="60"/>
      <c r="G502" s="60"/>
      <c r="J502" s="99"/>
      <c r="K502" s="99"/>
      <c r="L502" s="99"/>
      <c r="M502" s="99"/>
      <c r="N502" s="43">
        <f t="shared" si="7"/>
        <v>0</v>
      </c>
    </row>
    <row r="503" spans="2:14" ht="1.5" customHeight="1">
      <c r="B503" s="57"/>
      <c r="C503" s="60"/>
      <c r="D503" s="60"/>
      <c r="E503" s="60"/>
      <c r="F503" s="60"/>
      <c r="G503" s="60"/>
      <c r="J503" s="99"/>
      <c r="K503" s="99"/>
      <c r="L503" s="99"/>
      <c r="M503" s="99"/>
      <c r="N503" s="43">
        <f t="shared" si="7"/>
        <v>0</v>
      </c>
    </row>
    <row r="504" spans="2:14" ht="1.5" customHeight="1">
      <c r="B504" s="57"/>
      <c r="C504" s="60"/>
      <c r="D504" s="60"/>
      <c r="E504" s="60"/>
      <c r="F504" s="60"/>
      <c r="G504" s="60"/>
      <c r="J504" s="99"/>
      <c r="K504" s="99"/>
      <c r="L504" s="99"/>
      <c r="M504" s="99"/>
      <c r="N504" s="43">
        <f t="shared" si="7"/>
        <v>0</v>
      </c>
    </row>
    <row r="505" spans="2:14" ht="1.5" customHeight="1">
      <c r="B505" s="57"/>
      <c r="C505" s="60"/>
      <c r="D505" s="60"/>
      <c r="E505" s="60"/>
      <c r="F505" s="60"/>
      <c r="G505" s="60"/>
      <c r="J505" s="99"/>
      <c r="K505" s="99"/>
      <c r="L505" s="99"/>
      <c r="M505" s="99"/>
      <c r="N505" s="43">
        <f t="shared" si="7"/>
        <v>0</v>
      </c>
    </row>
    <row r="506" spans="2:14" ht="1.5" customHeight="1">
      <c r="B506" s="57"/>
      <c r="C506" s="60"/>
      <c r="D506" s="60"/>
      <c r="E506" s="60"/>
      <c r="F506" s="60"/>
      <c r="G506" s="60"/>
      <c r="J506" s="99"/>
      <c r="K506" s="99"/>
      <c r="L506" s="99"/>
      <c r="M506" s="99"/>
      <c r="N506" s="43">
        <f t="shared" si="7"/>
        <v>0</v>
      </c>
    </row>
    <row r="507" spans="2:14" ht="1.5" customHeight="1">
      <c r="B507" s="57"/>
      <c r="C507" s="60"/>
      <c r="D507" s="60"/>
      <c r="E507" s="60"/>
      <c r="F507" s="60"/>
      <c r="G507" s="60"/>
      <c r="J507" s="99"/>
      <c r="K507" s="99"/>
      <c r="L507" s="99"/>
      <c r="M507" s="99"/>
      <c r="N507" s="43">
        <f t="shared" si="7"/>
        <v>0</v>
      </c>
    </row>
    <row r="508" spans="2:14" ht="1.5" customHeight="1">
      <c r="B508" s="57"/>
      <c r="C508" s="60"/>
      <c r="D508" s="60"/>
      <c r="E508" s="60"/>
      <c r="F508" s="60"/>
      <c r="G508" s="60"/>
      <c r="J508" s="99"/>
      <c r="K508" s="99"/>
      <c r="L508" s="99"/>
      <c r="M508" s="99"/>
      <c r="N508" s="43">
        <f t="shared" si="7"/>
        <v>0</v>
      </c>
    </row>
    <row r="509" spans="2:14" ht="1.5" customHeight="1">
      <c r="B509" s="57"/>
      <c r="C509" s="60"/>
      <c r="D509" s="60"/>
      <c r="E509" s="60"/>
      <c r="F509" s="60"/>
      <c r="G509" s="60"/>
      <c r="J509" s="99"/>
      <c r="K509" s="99"/>
      <c r="L509" s="99"/>
      <c r="M509" s="99"/>
      <c r="N509" s="43">
        <f t="shared" si="7"/>
        <v>0</v>
      </c>
    </row>
    <row r="510" spans="2:14" ht="1.5" customHeight="1">
      <c r="B510" s="57"/>
      <c r="C510" s="60"/>
      <c r="D510" s="60"/>
      <c r="E510" s="60"/>
      <c r="F510" s="60"/>
      <c r="G510" s="60"/>
      <c r="J510" s="99"/>
      <c r="K510" s="99"/>
      <c r="L510" s="99"/>
      <c r="M510" s="99"/>
      <c r="N510" s="43">
        <f t="shared" si="7"/>
        <v>0</v>
      </c>
    </row>
    <row r="511" spans="2:14" ht="1.5" customHeight="1">
      <c r="B511" s="57"/>
      <c r="C511" s="60"/>
      <c r="D511" s="60"/>
      <c r="E511" s="60"/>
      <c r="F511" s="60"/>
      <c r="G511" s="60"/>
      <c r="J511" s="99"/>
      <c r="K511" s="99"/>
      <c r="L511" s="99"/>
      <c r="M511" s="99"/>
      <c r="N511" s="43">
        <f t="shared" si="7"/>
        <v>0</v>
      </c>
    </row>
    <row r="512" spans="2:14" ht="1.5" customHeight="1">
      <c r="B512" s="57"/>
      <c r="C512" s="60"/>
      <c r="D512" s="60"/>
      <c r="E512" s="60"/>
      <c r="F512" s="60"/>
      <c r="G512" s="60"/>
      <c r="J512" s="99"/>
      <c r="K512" s="99"/>
      <c r="L512" s="99"/>
      <c r="M512" s="99"/>
      <c r="N512" s="43">
        <f t="shared" si="7"/>
        <v>0</v>
      </c>
    </row>
    <row r="513" spans="2:14" ht="1.5" customHeight="1">
      <c r="B513" s="57"/>
      <c r="C513" s="60"/>
      <c r="D513" s="60"/>
      <c r="E513" s="60"/>
      <c r="F513" s="60"/>
      <c r="G513" s="60"/>
      <c r="J513" s="99"/>
      <c r="K513" s="99"/>
      <c r="L513" s="99"/>
      <c r="M513" s="99"/>
      <c r="N513" s="43">
        <f t="shared" si="7"/>
        <v>0</v>
      </c>
    </row>
    <row r="514" spans="2:14" ht="1.5" customHeight="1">
      <c r="B514" s="57"/>
      <c r="C514" s="60"/>
      <c r="D514" s="60"/>
      <c r="E514" s="60"/>
      <c r="F514" s="60"/>
      <c r="G514" s="60"/>
      <c r="J514" s="99"/>
      <c r="K514" s="99"/>
      <c r="L514" s="99"/>
      <c r="M514" s="99"/>
      <c r="N514" s="43">
        <f t="shared" si="7"/>
        <v>0</v>
      </c>
    </row>
    <row r="515" spans="2:14" ht="1.5" customHeight="1">
      <c r="B515" s="57"/>
      <c r="C515" s="60"/>
      <c r="D515" s="60"/>
      <c r="E515" s="60"/>
      <c r="F515" s="60"/>
      <c r="G515" s="60"/>
      <c r="J515" s="99"/>
      <c r="K515" s="99"/>
      <c r="L515" s="99"/>
      <c r="M515" s="99"/>
      <c r="N515" s="43">
        <f t="shared" si="7"/>
        <v>0</v>
      </c>
    </row>
    <row r="516" spans="2:14" ht="1.5" customHeight="1">
      <c r="B516" s="57"/>
      <c r="C516" s="60"/>
      <c r="D516" s="60"/>
      <c r="E516" s="60"/>
      <c r="F516" s="60"/>
      <c r="G516" s="60"/>
      <c r="J516" s="99"/>
      <c r="K516" s="99"/>
      <c r="L516" s="99"/>
      <c r="M516" s="99"/>
      <c r="N516" s="43">
        <f t="shared" si="7"/>
        <v>0</v>
      </c>
    </row>
    <row r="517" spans="2:14" ht="1.5" customHeight="1">
      <c r="B517" s="57"/>
      <c r="C517" s="60"/>
      <c r="D517" s="60"/>
      <c r="E517" s="60"/>
      <c r="F517" s="60"/>
      <c r="G517" s="60"/>
      <c r="J517" s="99"/>
      <c r="K517" s="99"/>
      <c r="L517" s="99"/>
      <c r="M517" s="99"/>
      <c r="N517" s="43">
        <f t="shared" si="7"/>
        <v>0</v>
      </c>
    </row>
    <row r="518" spans="2:14" ht="1.5" customHeight="1">
      <c r="B518" s="57"/>
      <c r="C518" s="60"/>
      <c r="D518" s="60"/>
      <c r="E518" s="60"/>
      <c r="F518" s="60"/>
      <c r="G518" s="60"/>
      <c r="J518" s="99"/>
      <c r="K518" s="99"/>
      <c r="L518" s="99"/>
      <c r="M518" s="99"/>
      <c r="N518" s="43">
        <f t="shared" si="7"/>
        <v>0</v>
      </c>
    </row>
    <row r="519" spans="2:14" ht="1.5" customHeight="1">
      <c r="B519" s="57"/>
      <c r="C519" s="60"/>
      <c r="D519" s="60"/>
      <c r="E519" s="60"/>
      <c r="F519" s="60"/>
      <c r="G519" s="60"/>
      <c r="J519" s="99"/>
      <c r="K519" s="99"/>
      <c r="L519" s="99"/>
      <c r="M519" s="99"/>
      <c r="N519" s="43">
        <f t="shared" si="7"/>
        <v>0</v>
      </c>
    </row>
    <row r="520" spans="2:14" ht="1.5" customHeight="1">
      <c r="B520" s="57"/>
      <c r="C520" s="60"/>
      <c r="D520" s="60"/>
      <c r="E520" s="60"/>
      <c r="F520" s="60"/>
      <c r="G520" s="60"/>
      <c r="J520" s="99"/>
      <c r="K520" s="99"/>
      <c r="L520" s="99"/>
      <c r="M520" s="99"/>
      <c r="N520" s="43">
        <f t="shared" si="7"/>
        <v>0</v>
      </c>
    </row>
    <row r="521" spans="2:14" ht="1.5" customHeight="1">
      <c r="B521" s="57"/>
      <c r="C521" s="60"/>
      <c r="D521" s="60"/>
      <c r="E521" s="60"/>
      <c r="F521" s="60"/>
      <c r="G521" s="60"/>
      <c r="J521" s="99"/>
      <c r="K521" s="99"/>
      <c r="L521" s="99"/>
      <c r="M521" s="99"/>
      <c r="N521" s="43">
        <f t="shared" si="7"/>
        <v>0</v>
      </c>
    </row>
    <row r="522" spans="2:14" ht="1.5" customHeight="1">
      <c r="B522" s="57"/>
      <c r="C522" s="60"/>
      <c r="D522" s="60"/>
      <c r="E522" s="60"/>
      <c r="F522" s="60"/>
      <c r="G522" s="60"/>
      <c r="J522" s="99"/>
      <c r="K522" s="99"/>
      <c r="L522" s="99"/>
      <c r="M522" s="99"/>
      <c r="N522" s="43">
        <f t="shared" si="7"/>
        <v>0</v>
      </c>
    </row>
    <row r="523" spans="2:14" ht="1.5" customHeight="1">
      <c r="B523" s="57"/>
      <c r="C523" s="60"/>
      <c r="D523" s="60"/>
      <c r="E523" s="60"/>
      <c r="F523" s="60"/>
      <c r="G523" s="60"/>
      <c r="J523" s="99"/>
      <c r="K523" s="99"/>
      <c r="L523" s="99"/>
      <c r="M523" s="99"/>
      <c r="N523" s="43">
        <f t="shared" ref="N523:N586" si="8">IF($L$4=$C$10,C523,IF(D523="","",B523))</f>
        <v>0</v>
      </c>
    </row>
    <row r="524" spans="2:14" ht="1.5" customHeight="1">
      <c r="B524" s="57"/>
      <c r="C524" s="60"/>
      <c r="D524" s="60"/>
      <c r="E524" s="60"/>
      <c r="F524" s="60"/>
      <c r="G524" s="60"/>
      <c r="J524" s="99"/>
      <c r="K524" s="99"/>
      <c r="L524" s="99"/>
      <c r="M524" s="99"/>
      <c r="N524" s="43">
        <f t="shared" si="8"/>
        <v>0</v>
      </c>
    </row>
    <row r="525" spans="2:14" ht="1.5" customHeight="1">
      <c r="B525" s="57"/>
      <c r="C525" s="60"/>
      <c r="D525" s="60"/>
      <c r="E525" s="60"/>
      <c r="F525" s="60"/>
      <c r="G525" s="60"/>
      <c r="J525" s="99"/>
      <c r="K525" s="99"/>
      <c r="L525" s="99"/>
      <c r="M525" s="99"/>
      <c r="N525" s="43">
        <f t="shared" si="8"/>
        <v>0</v>
      </c>
    </row>
    <row r="526" spans="2:14" ht="1.5" customHeight="1">
      <c r="B526" s="57"/>
      <c r="C526" s="60"/>
      <c r="D526" s="60"/>
      <c r="E526" s="60"/>
      <c r="F526" s="60"/>
      <c r="G526" s="60"/>
      <c r="J526" s="99"/>
      <c r="K526" s="99"/>
      <c r="L526" s="99"/>
      <c r="M526" s="99"/>
      <c r="N526" s="43">
        <f t="shared" si="8"/>
        <v>0</v>
      </c>
    </row>
    <row r="527" spans="2:14" ht="1.5" customHeight="1">
      <c r="B527" s="57"/>
      <c r="C527" s="60"/>
      <c r="D527" s="60"/>
      <c r="E527" s="60"/>
      <c r="F527" s="60"/>
      <c r="G527" s="60"/>
      <c r="J527" s="99"/>
      <c r="K527" s="99"/>
      <c r="L527" s="99"/>
      <c r="M527" s="99"/>
      <c r="N527" s="43">
        <f t="shared" si="8"/>
        <v>0</v>
      </c>
    </row>
    <row r="528" spans="2:14" ht="1.5" customHeight="1">
      <c r="B528" s="57"/>
      <c r="C528" s="60"/>
      <c r="D528" s="60"/>
      <c r="E528" s="60"/>
      <c r="F528" s="60"/>
      <c r="G528" s="60"/>
      <c r="J528" s="99"/>
      <c r="K528" s="99"/>
      <c r="L528" s="99"/>
      <c r="M528" s="99"/>
      <c r="N528" s="43">
        <f t="shared" si="8"/>
        <v>0</v>
      </c>
    </row>
    <row r="529" spans="2:14" ht="1.5" customHeight="1">
      <c r="B529" s="57"/>
      <c r="C529" s="60"/>
      <c r="D529" s="60"/>
      <c r="E529" s="60"/>
      <c r="F529" s="60"/>
      <c r="G529" s="60"/>
      <c r="J529" s="99"/>
      <c r="K529" s="99"/>
      <c r="L529" s="99"/>
      <c r="M529" s="99"/>
      <c r="N529" s="43">
        <f t="shared" si="8"/>
        <v>0</v>
      </c>
    </row>
    <row r="530" spans="2:14" ht="1.5" customHeight="1">
      <c r="B530" s="57"/>
      <c r="C530" s="60"/>
      <c r="D530" s="60"/>
      <c r="E530" s="60"/>
      <c r="F530" s="60"/>
      <c r="G530" s="60"/>
      <c r="J530" s="99"/>
      <c r="K530" s="99"/>
      <c r="L530" s="99"/>
      <c r="M530" s="99"/>
      <c r="N530" s="43">
        <f t="shared" si="8"/>
        <v>0</v>
      </c>
    </row>
    <row r="531" spans="2:14" ht="1.5" customHeight="1">
      <c r="B531" s="57"/>
      <c r="C531" s="60"/>
      <c r="D531" s="60"/>
      <c r="E531" s="60"/>
      <c r="F531" s="60"/>
      <c r="G531" s="60"/>
      <c r="J531" s="99"/>
      <c r="K531" s="99"/>
      <c r="L531" s="99"/>
      <c r="M531" s="99"/>
      <c r="N531" s="43">
        <f t="shared" si="8"/>
        <v>0</v>
      </c>
    </row>
    <row r="532" spans="2:14" ht="1.5" customHeight="1">
      <c r="B532" s="57"/>
      <c r="C532" s="60"/>
      <c r="D532" s="60"/>
      <c r="E532" s="60"/>
      <c r="F532" s="60"/>
      <c r="G532" s="60"/>
      <c r="J532" s="99"/>
      <c r="K532" s="99"/>
      <c r="L532" s="99"/>
      <c r="M532" s="99"/>
      <c r="N532" s="43">
        <f t="shared" si="8"/>
        <v>0</v>
      </c>
    </row>
    <row r="533" spans="2:14" ht="1.5" customHeight="1">
      <c r="B533" s="57"/>
      <c r="C533" s="60"/>
      <c r="D533" s="60"/>
      <c r="E533" s="60"/>
      <c r="F533" s="60"/>
      <c r="G533" s="60"/>
      <c r="J533" s="99"/>
      <c r="K533" s="99"/>
      <c r="L533" s="99"/>
      <c r="M533" s="99"/>
      <c r="N533" s="43">
        <f t="shared" si="8"/>
        <v>0</v>
      </c>
    </row>
    <row r="534" spans="2:14" ht="1.5" customHeight="1">
      <c r="B534" s="57"/>
      <c r="C534" s="60"/>
      <c r="D534" s="60"/>
      <c r="E534" s="60"/>
      <c r="F534" s="60"/>
      <c r="G534" s="60"/>
      <c r="J534" s="99"/>
      <c r="K534" s="99"/>
      <c r="L534" s="99"/>
      <c r="M534" s="99"/>
      <c r="N534" s="43">
        <f t="shared" si="8"/>
        <v>0</v>
      </c>
    </row>
    <row r="535" spans="2:14" ht="1.5" customHeight="1">
      <c r="B535" s="57"/>
      <c r="C535" s="60"/>
      <c r="D535" s="60"/>
      <c r="E535" s="60"/>
      <c r="F535" s="60"/>
      <c r="G535" s="60"/>
      <c r="J535" s="99"/>
      <c r="K535" s="99"/>
      <c r="L535" s="99"/>
      <c r="M535" s="99"/>
      <c r="N535" s="43">
        <f t="shared" si="8"/>
        <v>0</v>
      </c>
    </row>
    <row r="536" spans="2:14" ht="1.5" customHeight="1">
      <c r="B536" s="57"/>
      <c r="C536" s="60"/>
      <c r="D536" s="60"/>
      <c r="E536" s="60"/>
      <c r="F536" s="60"/>
      <c r="G536" s="60"/>
      <c r="J536" s="99"/>
      <c r="K536" s="99"/>
      <c r="L536" s="99"/>
      <c r="M536" s="99"/>
      <c r="N536" s="43">
        <f t="shared" si="8"/>
        <v>0</v>
      </c>
    </row>
    <row r="537" spans="2:14" ht="1.5" customHeight="1">
      <c r="B537" s="57"/>
      <c r="C537" s="60"/>
      <c r="D537" s="60"/>
      <c r="E537" s="60"/>
      <c r="F537" s="60"/>
      <c r="G537" s="60"/>
      <c r="J537" s="99"/>
      <c r="K537" s="99"/>
      <c r="L537" s="99"/>
      <c r="M537" s="99"/>
      <c r="N537" s="43">
        <f t="shared" si="8"/>
        <v>0</v>
      </c>
    </row>
    <row r="538" spans="2:14" ht="1.5" customHeight="1">
      <c r="B538" s="57"/>
      <c r="C538" s="60"/>
      <c r="D538" s="60"/>
      <c r="E538" s="60"/>
      <c r="F538" s="60"/>
      <c r="G538" s="60"/>
      <c r="J538" s="99"/>
      <c r="K538" s="99"/>
      <c r="L538" s="99"/>
      <c r="M538" s="99"/>
      <c r="N538" s="43">
        <f t="shared" si="8"/>
        <v>0</v>
      </c>
    </row>
    <row r="539" spans="2:14" ht="1.5" customHeight="1">
      <c r="B539" s="57"/>
      <c r="C539" s="60"/>
      <c r="D539" s="60"/>
      <c r="E539" s="60"/>
      <c r="F539" s="60"/>
      <c r="G539" s="60"/>
      <c r="J539" s="99"/>
      <c r="K539" s="99"/>
      <c r="L539" s="99"/>
      <c r="M539" s="99"/>
      <c r="N539" s="43">
        <f t="shared" si="8"/>
        <v>0</v>
      </c>
    </row>
    <row r="540" spans="2:14" ht="1.5" customHeight="1">
      <c r="B540" s="57"/>
      <c r="C540" s="60"/>
      <c r="D540" s="60"/>
      <c r="E540" s="60"/>
      <c r="F540" s="60"/>
      <c r="G540" s="60"/>
      <c r="J540" s="99"/>
      <c r="K540" s="99"/>
      <c r="L540" s="99"/>
      <c r="M540" s="99"/>
      <c r="N540" s="43">
        <f t="shared" si="8"/>
        <v>0</v>
      </c>
    </row>
    <row r="541" spans="2:14" ht="1.5" customHeight="1">
      <c r="B541" s="57"/>
      <c r="C541" s="60"/>
      <c r="D541" s="60"/>
      <c r="E541" s="60"/>
      <c r="F541" s="60"/>
      <c r="G541" s="60"/>
      <c r="J541" s="99"/>
      <c r="K541" s="99"/>
      <c r="L541" s="99"/>
      <c r="M541" s="99"/>
      <c r="N541" s="43">
        <f t="shared" si="8"/>
        <v>0</v>
      </c>
    </row>
    <row r="542" spans="2:14" ht="1.5" customHeight="1">
      <c r="B542" s="57"/>
      <c r="C542" s="60"/>
      <c r="D542" s="60"/>
      <c r="E542" s="60"/>
      <c r="F542" s="60"/>
      <c r="G542" s="60"/>
      <c r="J542" s="99"/>
      <c r="K542" s="99"/>
      <c r="L542" s="99"/>
      <c r="M542" s="99"/>
      <c r="N542" s="43">
        <f t="shared" si="8"/>
        <v>0</v>
      </c>
    </row>
    <row r="543" spans="2:14" ht="1.5" customHeight="1">
      <c r="B543" s="57"/>
      <c r="C543" s="60"/>
      <c r="D543" s="60"/>
      <c r="E543" s="60"/>
      <c r="F543" s="60"/>
      <c r="G543" s="60"/>
      <c r="J543" s="99"/>
      <c r="K543" s="99"/>
      <c r="L543" s="99"/>
      <c r="M543" s="99"/>
      <c r="N543" s="43">
        <f t="shared" si="8"/>
        <v>0</v>
      </c>
    </row>
    <row r="544" spans="2:14" ht="1.5" customHeight="1">
      <c r="B544" s="57"/>
      <c r="C544" s="60"/>
      <c r="D544" s="60"/>
      <c r="E544" s="60"/>
      <c r="F544" s="60"/>
      <c r="G544" s="60"/>
      <c r="J544" s="99"/>
      <c r="K544" s="99"/>
      <c r="L544" s="99"/>
      <c r="M544" s="99"/>
      <c r="N544" s="43">
        <f t="shared" si="8"/>
        <v>0</v>
      </c>
    </row>
    <row r="545" spans="2:14" ht="1.5" customHeight="1">
      <c r="B545" s="57"/>
      <c r="C545" s="60"/>
      <c r="D545" s="60"/>
      <c r="E545" s="60"/>
      <c r="F545" s="60"/>
      <c r="G545" s="60"/>
      <c r="J545" s="99"/>
      <c r="K545" s="99"/>
      <c r="L545" s="99"/>
      <c r="M545" s="99"/>
      <c r="N545" s="43">
        <f t="shared" si="8"/>
        <v>0</v>
      </c>
    </row>
    <row r="546" spans="2:14" ht="1.5" customHeight="1">
      <c r="B546" s="57"/>
      <c r="C546" s="60"/>
      <c r="D546" s="60"/>
      <c r="E546" s="60"/>
      <c r="F546" s="60"/>
      <c r="G546" s="60"/>
      <c r="J546" s="99"/>
      <c r="K546" s="99"/>
      <c r="L546" s="99"/>
      <c r="M546" s="99"/>
      <c r="N546" s="43">
        <f t="shared" si="8"/>
        <v>0</v>
      </c>
    </row>
    <row r="547" spans="2:14" ht="1.5" customHeight="1">
      <c r="B547" s="57"/>
      <c r="C547" s="60"/>
      <c r="D547" s="60"/>
      <c r="E547" s="60"/>
      <c r="F547" s="60"/>
      <c r="G547" s="60"/>
      <c r="J547" s="99"/>
      <c r="K547" s="99"/>
      <c r="L547" s="99"/>
      <c r="M547" s="99"/>
      <c r="N547" s="43">
        <f t="shared" si="8"/>
        <v>0</v>
      </c>
    </row>
    <row r="548" spans="2:14" ht="1.5" customHeight="1">
      <c r="B548" s="57"/>
      <c r="C548" s="60"/>
      <c r="D548" s="60"/>
      <c r="E548" s="60"/>
      <c r="F548" s="60"/>
      <c r="G548" s="60"/>
      <c r="J548" s="99"/>
      <c r="K548" s="99"/>
      <c r="L548" s="99"/>
      <c r="M548" s="99"/>
      <c r="N548" s="43">
        <f t="shared" si="8"/>
        <v>0</v>
      </c>
    </row>
    <row r="549" spans="2:14" ht="1.5" customHeight="1">
      <c r="B549" s="57"/>
      <c r="C549" s="60"/>
      <c r="D549" s="60"/>
      <c r="E549" s="60"/>
      <c r="F549" s="60"/>
      <c r="G549" s="60"/>
      <c r="J549" s="99"/>
      <c r="K549" s="99"/>
      <c r="L549" s="99"/>
      <c r="M549" s="99"/>
      <c r="N549" s="43">
        <f t="shared" si="8"/>
        <v>0</v>
      </c>
    </row>
    <row r="550" spans="2:14" ht="1.5" customHeight="1">
      <c r="B550" s="57"/>
      <c r="C550" s="60"/>
      <c r="D550" s="60"/>
      <c r="E550" s="60"/>
      <c r="F550" s="60"/>
      <c r="G550" s="60"/>
      <c r="J550" s="99"/>
      <c r="K550" s="99"/>
      <c r="L550" s="99"/>
      <c r="M550" s="99"/>
      <c r="N550" s="43">
        <f t="shared" si="8"/>
        <v>0</v>
      </c>
    </row>
    <row r="551" spans="2:14" ht="1.5" customHeight="1">
      <c r="B551" s="57"/>
      <c r="C551" s="60"/>
      <c r="D551" s="60"/>
      <c r="E551" s="60"/>
      <c r="F551" s="60"/>
      <c r="G551" s="60"/>
      <c r="J551" s="99"/>
      <c r="K551" s="99"/>
      <c r="L551" s="99"/>
      <c r="M551" s="99"/>
      <c r="N551" s="43">
        <f t="shared" si="8"/>
        <v>0</v>
      </c>
    </row>
    <row r="552" spans="2:14" ht="1.5" customHeight="1">
      <c r="B552" s="57"/>
      <c r="C552" s="60"/>
      <c r="D552" s="60"/>
      <c r="E552" s="60"/>
      <c r="F552" s="60"/>
      <c r="G552" s="60"/>
      <c r="J552" s="99"/>
      <c r="K552" s="99"/>
      <c r="L552" s="99"/>
      <c r="M552" s="99"/>
      <c r="N552" s="43">
        <f t="shared" si="8"/>
        <v>0</v>
      </c>
    </row>
    <row r="553" spans="2:14" ht="1.5" customHeight="1">
      <c r="B553" s="57"/>
      <c r="C553" s="60"/>
      <c r="D553" s="60"/>
      <c r="E553" s="60"/>
      <c r="F553" s="60"/>
      <c r="G553" s="60"/>
      <c r="J553" s="99"/>
      <c r="K553" s="99"/>
      <c r="L553" s="99"/>
      <c r="M553" s="99"/>
      <c r="N553" s="43">
        <f t="shared" si="8"/>
        <v>0</v>
      </c>
    </row>
    <row r="554" spans="2:14" ht="1.5" customHeight="1">
      <c r="B554" s="57"/>
      <c r="C554" s="60"/>
      <c r="D554" s="60"/>
      <c r="E554" s="60"/>
      <c r="F554" s="60"/>
      <c r="G554" s="60"/>
      <c r="J554" s="99"/>
      <c r="K554" s="99"/>
      <c r="L554" s="99"/>
      <c r="M554" s="99"/>
      <c r="N554" s="43">
        <f t="shared" si="8"/>
        <v>0</v>
      </c>
    </row>
    <row r="555" spans="2:14" ht="1.5" customHeight="1">
      <c r="B555" s="57"/>
      <c r="C555" s="60"/>
      <c r="D555" s="60"/>
      <c r="E555" s="60"/>
      <c r="F555" s="60"/>
      <c r="G555" s="60"/>
      <c r="J555" s="99"/>
      <c r="K555" s="99"/>
      <c r="L555" s="99"/>
      <c r="M555" s="99"/>
      <c r="N555" s="43">
        <f t="shared" si="8"/>
        <v>0</v>
      </c>
    </row>
    <row r="556" spans="2:14" ht="1.5" customHeight="1">
      <c r="B556" s="57"/>
      <c r="C556" s="60"/>
      <c r="D556" s="60"/>
      <c r="E556" s="60"/>
      <c r="F556" s="60"/>
      <c r="G556" s="60"/>
      <c r="J556" s="99"/>
      <c r="K556" s="99"/>
      <c r="L556" s="99"/>
      <c r="M556" s="99"/>
      <c r="N556" s="43">
        <f t="shared" si="8"/>
        <v>0</v>
      </c>
    </row>
    <row r="557" spans="2:14" ht="1.5" customHeight="1">
      <c r="B557" s="57"/>
      <c r="C557" s="60"/>
      <c r="D557" s="60"/>
      <c r="E557" s="60"/>
      <c r="F557" s="60"/>
      <c r="G557" s="60"/>
      <c r="J557" s="99"/>
      <c r="K557" s="99"/>
      <c r="L557" s="99"/>
      <c r="M557" s="99"/>
      <c r="N557" s="43">
        <f t="shared" si="8"/>
        <v>0</v>
      </c>
    </row>
    <row r="558" spans="2:14" ht="1.5" customHeight="1">
      <c r="B558" s="57"/>
      <c r="C558" s="60"/>
      <c r="D558" s="60"/>
      <c r="E558" s="60"/>
      <c r="F558" s="60"/>
      <c r="G558" s="60"/>
      <c r="J558" s="99"/>
      <c r="K558" s="99"/>
      <c r="L558" s="99"/>
      <c r="M558" s="99"/>
      <c r="N558" s="43">
        <f t="shared" si="8"/>
        <v>0</v>
      </c>
    </row>
    <row r="559" spans="2:14" ht="1.5" customHeight="1">
      <c r="B559" s="57"/>
      <c r="C559" s="60"/>
      <c r="D559" s="60"/>
      <c r="E559" s="60"/>
      <c r="F559" s="60"/>
      <c r="G559" s="60"/>
      <c r="J559" s="99"/>
      <c r="K559" s="99"/>
      <c r="L559" s="99"/>
      <c r="M559" s="99"/>
      <c r="N559" s="43">
        <f t="shared" si="8"/>
        <v>0</v>
      </c>
    </row>
    <row r="560" spans="2:14" ht="1.5" customHeight="1">
      <c r="B560" s="57"/>
      <c r="C560" s="60"/>
      <c r="D560" s="60"/>
      <c r="E560" s="60"/>
      <c r="F560" s="60"/>
      <c r="G560" s="60"/>
      <c r="J560" s="99"/>
      <c r="K560" s="99"/>
      <c r="L560" s="99"/>
      <c r="M560" s="99"/>
      <c r="N560" s="43">
        <f t="shared" si="8"/>
        <v>0</v>
      </c>
    </row>
    <row r="561" spans="2:14" ht="1.5" customHeight="1">
      <c r="B561" s="57"/>
      <c r="C561" s="60"/>
      <c r="D561" s="60"/>
      <c r="E561" s="60"/>
      <c r="F561" s="60"/>
      <c r="G561" s="60"/>
      <c r="J561" s="99"/>
      <c r="K561" s="99"/>
      <c r="L561" s="99"/>
      <c r="M561" s="99"/>
      <c r="N561" s="43">
        <f t="shared" si="8"/>
        <v>0</v>
      </c>
    </row>
    <row r="562" spans="2:14" ht="1.5" customHeight="1">
      <c r="B562" s="57"/>
      <c r="C562" s="60"/>
      <c r="D562" s="60"/>
      <c r="E562" s="60"/>
      <c r="F562" s="60"/>
      <c r="G562" s="60"/>
      <c r="J562" s="99"/>
      <c r="K562" s="99"/>
      <c r="L562" s="99"/>
      <c r="M562" s="99"/>
      <c r="N562" s="43">
        <f t="shared" si="8"/>
        <v>0</v>
      </c>
    </row>
    <row r="563" spans="2:14" ht="1.5" customHeight="1">
      <c r="B563" s="57"/>
      <c r="C563" s="60"/>
      <c r="D563" s="60"/>
      <c r="E563" s="60"/>
      <c r="F563" s="60"/>
      <c r="G563" s="60"/>
      <c r="J563" s="99"/>
      <c r="K563" s="99"/>
      <c r="L563" s="99"/>
      <c r="M563" s="99"/>
      <c r="N563" s="43">
        <f t="shared" si="8"/>
        <v>0</v>
      </c>
    </row>
    <row r="564" spans="2:14" ht="1.5" customHeight="1">
      <c r="B564" s="57"/>
      <c r="C564" s="60"/>
      <c r="D564" s="60"/>
      <c r="E564" s="60"/>
      <c r="F564" s="60"/>
      <c r="G564" s="60"/>
      <c r="J564" s="99"/>
      <c r="K564" s="99"/>
      <c r="L564" s="99"/>
      <c r="M564" s="99"/>
      <c r="N564" s="43">
        <f t="shared" si="8"/>
        <v>0</v>
      </c>
    </row>
    <row r="565" spans="2:14" ht="1.5" customHeight="1">
      <c r="B565" s="57"/>
      <c r="C565" s="60"/>
      <c r="D565" s="60"/>
      <c r="E565" s="60"/>
      <c r="F565" s="60"/>
      <c r="G565" s="60"/>
      <c r="J565" s="99"/>
      <c r="K565" s="99"/>
      <c r="L565" s="99"/>
      <c r="M565" s="99"/>
      <c r="N565" s="43">
        <f t="shared" si="8"/>
        <v>0</v>
      </c>
    </row>
    <row r="566" spans="2:14" ht="1.5" customHeight="1">
      <c r="B566" s="57"/>
      <c r="C566" s="60"/>
      <c r="D566" s="60"/>
      <c r="E566" s="60"/>
      <c r="F566" s="60"/>
      <c r="G566" s="60"/>
      <c r="J566" s="99"/>
      <c r="K566" s="99"/>
      <c r="L566" s="99"/>
      <c r="M566" s="99"/>
      <c r="N566" s="43">
        <f t="shared" si="8"/>
        <v>0</v>
      </c>
    </row>
    <row r="567" spans="2:14" ht="1.5" customHeight="1">
      <c r="B567" s="57"/>
      <c r="C567" s="60"/>
      <c r="D567" s="60"/>
      <c r="E567" s="60"/>
      <c r="F567" s="60"/>
      <c r="G567" s="60"/>
      <c r="J567" s="99"/>
      <c r="K567" s="99"/>
      <c r="L567" s="99"/>
      <c r="M567" s="99"/>
      <c r="N567" s="43">
        <f t="shared" si="8"/>
        <v>0</v>
      </c>
    </row>
    <row r="568" spans="2:14" ht="1.5" customHeight="1">
      <c r="B568" s="57"/>
      <c r="C568" s="60"/>
      <c r="D568" s="60"/>
      <c r="E568" s="60"/>
      <c r="F568" s="60"/>
      <c r="G568" s="60"/>
      <c r="J568" s="99"/>
      <c r="K568" s="99"/>
      <c r="L568" s="99"/>
      <c r="M568" s="99"/>
      <c r="N568" s="43">
        <f t="shared" si="8"/>
        <v>0</v>
      </c>
    </row>
    <row r="569" spans="2:14" ht="1.5" customHeight="1">
      <c r="B569" s="57"/>
      <c r="C569" s="60"/>
      <c r="D569" s="60"/>
      <c r="E569" s="60"/>
      <c r="F569" s="60"/>
      <c r="G569" s="60"/>
      <c r="J569" s="99"/>
      <c r="K569" s="99"/>
      <c r="L569" s="99"/>
      <c r="M569" s="99"/>
      <c r="N569" s="43">
        <f t="shared" si="8"/>
        <v>0</v>
      </c>
    </row>
    <row r="570" spans="2:14" ht="1.5" customHeight="1">
      <c r="B570" s="57"/>
      <c r="C570" s="60"/>
      <c r="D570" s="60"/>
      <c r="E570" s="60"/>
      <c r="F570" s="60"/>
      <c r="G570" s="60"/>
      <c r="J570" s="99"/>
      <c r="K570" s="99"/>
      <c r="L570" s="99"/>
      <c r="M570" s="99"/>
      <c r="N570" s="43">
        <f t="shared" si="8"/>
        <v>0</v>
      </c>
    </row>
    <row r="571" spans="2:14" ht="1.5" customHeight="1">
      <c r="B571" s="57"/>
      <c r="C571" s="60"/>
      <c r="D571" s="60"/>
      <c r="E571" s="60"/>
      <c r="F571" s="60"/>
      <c r="G571" s="60"/>
      <c r="J571" s="99"/>
      <c r="K571" s="99"/>
      <c r="L571" s="99"/>
      <c r="M571" s="99"/>
      <c r="N571" s="43">
        <f t="shared" si="8"/>
        <v>0</v>
      </c>
    </row>
    <row r="572" spans="2:14" ht="1.5" customHeight="1">
      <c r="B572" s="57"/>
      <c r="C572" s="60"/>
      <c r="D572" s="60"/>
      <c r="E572" s="60"/>
      <c r="F572" s="60"/>
      <c r="G572" s="60"/>
      <c r="J572" s="99"/>
      <c r="K572" s="99"/>
      <c r="L572" s="99"/>
      <c r="M572" s="99"/>
      <c r="N572" s="43">
        <f t="shared" si="8"/>
        <v>0</v>
      </c>
    </row>
    <row r="573" spans="2:14" ht="1.5" customHeight="1">
      <c r="B573" s="57"/>
      <c r="C573" s="60"/>
      <c r="D573" s="60"/>
      <c r="E573" s="60"/>
      <c r="F573" s="60"/>
      <c r="G573" s="60"/>
      <c r="J573" s="99"/>
      <c r="K573" s="99"/>
      <c r="L573" s="99"/>
      <c r="M573" s="99"/>
      <c r="N573" s="43">
        <f t="shared" si="8"/>
        <v>0</v>
      </c>
    </row>
    <row r="574" spans="2:14" ht="1.5" customHeight="1">
      <c r="B574" s="57"/>
      <c r="C574" s="60"/>
      <c r="D574" s="60"/>
      <c r="E574" s="60"/>
      <c r="F574" s="60"/>
      <c r="G574" s="60"/>
      <c r="J574" s="99"/>
      <c r="K574" s="99"/>
      <c r="L574" s="99"/>
      <c r="M574" s="99"/>
      <c r="N574" s="43">
        <f t="shared" si="8"/>
        <v>0</v>
      </c>
    </row>
    <row r="575" spans="2:14" ht="1.5" customHeight="1">
      <c r="B575" s="57"/>
      <c r="C575" s="60"/>
      <c r="D575" s="60"/>
      <c r="E575" s="60"/>
      <c r="F575" s="60"/>
      <c r="G575" s="60"/>
      <c r="J575" s="99"/>
      <c r="K575" s="99"/>
      <c r="L575" s="99"/>
      <c r="M575" s="99"/>
      <c r="N575" s="43">
        <f t="shared" si="8"/>
        <v>0</v>
      </c>
    </row>
    <row r="576" spans="2:14" ht="1.5" customHeight="1">
      <c r="B576" s="57"/>
      <c r="C576" s="60"/>
      <c r="D576" s="60"/>
      <c r="E576" s="60"/>
      <c r="F576" s="60"/>
      <c r="G576" s="60"/>
      <c r="J576" s="99"/>
      <c r="K576" s="99"/>
      <c r="L576" s="99"/>
      <c r="M576" s="99"/>
      <c r="N576" s="43">
        <f t="shared" si="8"/>
        <v>0</v>
      </c>
    </row>
    <row r="577" spans="2:14" ht="1.5" customHeight="1">
      <c r="B577" s="57"/>
      <c r="C577" s="60"/>
      <c r="D577" s="60"/>
      <c r="E577" s="60"/>
      <c r="F577" s="60"/>
      <c r="G577" s="60"/>
      <c r="J577" s="99"/>
      <c r="K577" s="99"/>
      <c r="L577" s="99"/>
      <c r="M577" s="99"/>
      <c r="N577" s="43">
        <f t="shared" si="8"/>
        <v>0</v>
      </c>
    </row>
    <row r="578" spans="2:14" ht="1.5" customHeight="1">
      <c r="B578" s="57"/>
      <c r="C578" s="60"/>
      <c r="D578" s="60"/>
      <c r="E578" s="60"/>
      <c r="F578" s="60"/>
      <c r="G578" s="60"/>
      <c r="J578" s="99"/>
      <c r="K578" s="99"/>
      <c r="L578" s="99"/>
      <c r="M578" s="99"/>
      <c r="N578" s="43">
        <f t="shared" si="8"/>
        <v>0</v>
      </c>
    </row>
    <row r="579" spans="2:14" ht="1.5" customHeight="1">
      <c r="B579" s="57"/>
      <c r="C579" s="60"/>
      <c r="D579" s="60"/>
      <c r="E579" s="60"/>
      <c r="F579" s="60"/>
      <c r="G579" s="60"/>
      <c r="J579" s="99"/>
      <c r="K579" s="99"/>
      <c r="L579" s="99"/>
      <c r="M579" s="99"/>
      <c r="N579" s="43">
        <f t="shared" si="8"/>
        <v>0</v>
      </c>
    </row>
    <row r="580" spans="2:14" ht="1.5" customHeight="1">
      <c r="B580" s="57"/>
      <c r="C580" s="60"/>
      <c r="D580" s="60"/>
      <c r="E580" s="60"/>
      <c r="F580" s="60"/>
      <c r="G580" s="60"/>
      <c r="J580" s="99"/>
      <c r="K580" s="99"/>
      <c r="L580" s="99"/>
      <c r="M580" s="99"/>
      <c r="N580" s="43">
        <f t="shared" si="8"/>
        <v>0</v>
      </c>
    </row>
    <row r="581" spans="2:14" ht="1.5" customHeight="1">
      <c r="B581" s="57"/>
      <c r="C581" s="60"/>
      <c r="D581" s="60"/>
      <c r="E581" s="60"/>
      <c r="F581" s="60"/>
      <c r="G581" s="60"/>
      <c r="J581" s="99"/>
      <c r="K581" s="99"/>
      <c r="L581" s="99"/>
      <c r="M581" s="99"/>
      <c r="N581" s="43">
        <f t="shared" si="8"/>
        <v>0</v>
      </c>
    </row>
    <row r="582" spans="2:14" ht="1.5" customHeight="1">
      <c r="B582" s="57"/>
      <c r="C582" s="60"/>
      <c r="D582" s="60"/>
      <c r="E582" s="60"/>
      <c r="F582" s="60"/>
      <c r="G582" s="60"/>
      <c r="J582" s="99"/>
      <c r="K582" s="99"/>
      <c r="L582" s="99"/>
      <c r="M582" s="99"/>
      <c r="N582" s="43">
        <f t="shared" si="8"/>
        <v>0</v>
      </c>
    </row>
    <row r="583" spans="2:14" ht="1.5" customHeight="1">
      <c r="B583" s="57"/>
      <c r="C583" s="60"/>
      <c r="D583" s="60"/>
      <c r="E583" s="60"/>
      <c r="F583" s="60"/>
      <c r="G583" s="60"/>
      <c r="J583" s="99"/>
      <c r="K583" s="99"/>
      <c r="L583" s="99"/>
      <c r="M583" s="99"/>
      <c r="N583" s="43">
        <f t="shared" si="8"/>
        <v>0</v>
      </c>
    </row>
    <row r="584" spans="2:14" ht="1.5" customHeight="1">
      <c r="B584" s="57"/>
      <c r="C584" s="60"/>
      <c r="D584" s="60"/>
      <c r="E584" s="60"/>
      <c r="F584" s="60"/>
      <c r="G584" s="60"/>
      <c r="J584" s="99"/>
      <c r="K584" s="99"/>
      <c r="L584" s="99"/>
      <c r="M584" s="99"/>
      <c r="N584" s="43">
        <f t="shared" si="8"/>
        <v>0</v>
      </c>
    </row>
    <row r="585" spans="2:14" ht="1.5" customHeight="1">
      <c r="B585" s="57"/>
      <c r="C585" s="60"/>
      <c r="D585" s="60"/>
      <c r="E585" s="60"/>
      <c r="F585" s="60"/>
      <c r="G585" s="60"/>
      <c r="J585" s="99"/>
      <c r="K585" s="99"/>
      <c r="L585" s="99"/>
      <c r="M585" s="99"/>
      <c r="N585" s="43">
        <f t="shared" si="8"/>
        <v>0</v>
      </c>
    </row>
    <row r="586" spans="2:14" ht="1.5" customHeight="1">
      <c r="B586" s="57"/>
      <c r="C586" s="60"/>
      <c r="D586" s="60"/>
      <c r="E586" s="60"/>
      <c r="F586" s="60"/>
      <c r="G586" s="60"/>
      <c r="J586" s="99"/>
      <c r="K586" s="99"/>
      <c r="L586" s="99"/>
      <c r="M586" s="99"/>
      <c r="N586" s="43">
        <f t="shared" si="8"/>
        <v>0</v>
      </c>
    </row>
    <row r="587" spans="2:14" ht="1.5" customHeight="1">
      <c r="B587" s="57"/>
      <c r="C587" s="60"/>
      <c r="D587" s="60"/>
      <c r="E587" s="60"/>
      <c r="F587" s="60"/>
      <c r="G587" s="60"/>
      <c r="J587" s="99"/>
      <c r="K587" s="99"/>
      <c r="L587" s="99"/>
      <c r="M587" s="99"/>
      <c r="N587" s="43">
        <f t="shared" ref="N587:N650" si="9">IF($L$4=$C$10,C587,IF(D587="","",B587))</f>
        <v>0</v>
      </c>
    </row>
    <row r="588" spans="2:14" ht="1.5" customHeight="1">
      <c r="B588" s="57"/>
      <c r="C588" s="60"/>
      <c r="D588" s="60"/>
      <c r="E588" s="60"/>
      <c r="F588" s="60"/>
      <c r="G588" s="60"/>
      <c r="J588" s="99"/>
      <c r="K588" s="99"/>
      <c r="L588" s="99"/>
      <c r="M588" s="99"/>
      <c r="N588" s="43">
        <f t="shared" si="9"/>
        <v>0</v>
      </c>
    </row>
    <row r="589" spans="2:14" ht="1.5" customHeight="1">
      <c r="B589" s="57"/>
      <c r="C589" s="60"/>
      <c r="D589" s="60"/>
      <c r="E589" s="60"/>
      <c r="F589" s="60"/>
      <c r="G589" s="60"/>
      <c r="J589" s="99"/>
      <c r="K589" s="99"/>
      <c r="L589" s="99"/>
      <c r="M589" s="99"/>
      <c r="N589" s="43">
        <f t="shared" si="9"/>
        <v>0</v>
      </c>
    </row>
    <row r="590" spans="2:14" ht="1.5" customHeight="1">
      <c r="B590" s="57"/>
      <c r="C590" s="60"/>
      <c r="D590" s="60"/>
      <c r="E590" s="60"/>
      <c r="F590" s="60"/>
      <c r="G590" s="60"/>
      <c r="J590" s="99"/>
      <c r="K590" s="99"/>
      <c r="L590" s="99"/>
      <c r="M590" s="99"/>
      <c r="N590" s="43">
        <f t="shared" si="9"/>
        <v>0</v>
      </c>
    </row>
    <row r="591" spans="2:14" ht="1.5" customHeight="1">
      <c r="B591" s="57"/>
      <c r="C591" s="60"/>
      <c r="D591" s="60"/>
      <c r="E591" s="60"/>
      <c r="F591" s="60"/>
      <c r="G591" s="60"/>
      <c r="J591" s="99"/>
      <c r="K591" s="99"/>
      <c r="L591" s="99"/>
      <c r="M591" s="99"/>
      <c r="N591" s="43">
        <f t="shared" si="9"/>
        <v>0</v>
      </c>
    </row>
    <row r="592" spans="2:14" ht="1.5" customHeight="1">
      <c r="B592" s="57"/>
      <c r="C592" s="60"/>
      <c r="D592" s="60"/>
      <c r="E592" s="60"/>
      <c r="F592" s="60"/>
      <c r="G592" s="60"/>
      <c r="J592" s="99"/>
      <c r="K592" s="99"/>
      <c r="L592" s="99"/>
      <c r="M592" s="99"/>
      <c r="N592" s="43">
        <f t="shared" si="9"/>
        <v>0</v>
      </c>
    </row>
    <row r="593" spans="2:14" ht="1.5" customHeight="1">
      <c r="B593" s="57"/>
      <c r="C593" s="60"/>
      <c r="D593" s="60"/>
      <c r="E593" s="60"/>
      <c r="F593" s="60"/>
      <c r="G593" s="60"/>
      <c r="J593" s="99"/>
      <c r="K593" s="99"/>
      <c r="L593" s="99"/>
      <c r="M593" s="99"/>
      <c r="N593" s="43">
        <f t="shared" si="9"/>
        <v>0</v>
      </c>
    </row>
    <row r="594" spans="2:14" ht="1.5" customHeight="1">
      <c r="B594" s="57"/>
      <c r="C594" s="60"/>
      <c r="D594" s="60"/>
      <c r="E594" s="60"/>
      <c r="F594" s="60"/>
      <c r="G594" s="60"/>
      <c r="J594" s="99"/>
      <c r="K594" s="99"/>
      <c r="L594" s="99"/>
      <c r="M594" s="99"/>
      <c r="N594" s="43">
        <f t="shared" si="9"/>
        <v>0</v>
      </c>
    </row>
    <row r="595" spans="2:14" ht="1.5" customHeight="1">
      <c r="B595" s="57"/>
      <c r="C595" s="60"/>
      <c r="D595" s="60"/>
      <c r="E595" s="60"/>
      <c r="F595" s="60"/>
      <c r="G595" s="60"/>
      <c r="J595" s="99"/>
      <c r="K595" s="99"/>
      <c r="L595" s="99"/>
      <c r="M595" s="99"/>
      <c r="N595" s="43">
        <f t="shared" si="9"/>
        <v>0</v>
      </c>
    </row>
    <row r="596" spans="2:14" ht="1.5" customHeight="1">
      <c r="B596" s="57"/>
      <c r="C596" s="60"/>
      <c r="D596" s="60"/>
      <c r="E596" s="60"/>
      <c r="F596" s="60"/>
      <c r="G596" s="60"/>
      <c r="J596" s="99"/>
      <c r="K596" s="99"/>
      <c r="L596" s="99"/>
      <c r="M596" s="99"/>
      <c r="N596" s="43">
        <f t="shared" si="9"/>
        <v>0</v>
      </c>
    </row>
    <row r="597" spans="2:14" ht="1.5" customHeight="1">
      <c r="B597" s="57"/>
      <c r="C597" s="60"/>
      <c r="D597" s="60"/>
      <c r="E597" s="60"/>
      <c r="F597" s="60"/>
      <c r="G597" s="60"/>
      <c r="J597" s="99"/>
      <c r="K597" s="99"/>
      <c r="L597" s="99"/>
      <c r="M597" s="99"/>
      <c r="N597" s="43">
        <f t="shared" si="9"/>
        <v>0</v>
      </c>
    </row>
    <row r="598" spans="2:14" ht="1.5" customHeight="1">
      <c r="B598" s="57"/>
      <c r="C598" s="60"/>
      <c r="D598" s="60"/>
      <c r="E598" s="60"/>
      <c r="F598" s="60"/>
      <c r="G598" s="60"/>
      <c r="J598" s="99"/>
      <c r="K598" s="99"/>
      <c r="L598" s="99"/>
      <c r="M598" s="99"/>
      <c r="N598" s="43">
        <f t="shared" si="9"/>
        <v>0</v>
      </c>
    </row>
    <row r="599" spans="2:14" ht="1.5" customHeight="1">
      <c r="B599" s="57"/>
      <c r="C599" s="60"/>
      <c r="D599" s="60"/>
      <c r="E599" s="60"/>
      <c r="F599" s="60"/>
      <c r="G599" s="60"/>
      <c r="J599" s="99"/>
      <c r="K599" s="99"/>
      <c r="L599" s="99"/>
      <c r="M599" s="99"/>
      <c r="N599" s="43">
        <f t="shared" si="9"/>
        <v>0</v>
      </c>
    </row>
    <row r="600" spans="2:14" ht="1.5" customHeight="1">
      <c r="B600" s="57"/>
      <c r="C600" s="60"/>
      <c r="D600" s="60"/>
      <c r="E600" s="60"/>
      <c r="F600" s="60"/>
      <c r="G600" s="60"/>
      <c r="J600" s="99"/>
      <c r="K600" s="99"/>
      <c r="L600" s="99"/>
      <c r="M600" s="99"/>
      <c r="N600" s="43">
        <f t="shared" si="9"/>
        <v>0</v>
      </c>
    </row>
    <row r="601" spans="2:14" ht="1.5" customHeight="1">
      <c r="B601" s="57"/>
      <c r="C601" s="60"/>
      <c r="D601" s="60"/>
      <c r="E601" s="60"/>
      <c r="F601" s="60"/>
      <c r="G601" s="60"/>
      <c r="J601" s="99"/>
      <c r="K601" s="99"/>
      <c r="L601" s="99"/>
      <c r="M601" s="99"/>
      <c r="N601" s="43">
        <f t="shared" si="9"/>
        <v>0</v>
      </c>
    </row>
    <row r="602" spans="2:14" ht="1.5" customHeight="1">
      <c r="B602" s="57"/>
      <c r="C602" s="60"/>
      <c r="D602" s="60"/>
      <c r="E602" s="60"/>
      <c r="F602" s="60"/>
      <c r="G602" s="60"/>
      <c r="J602" s="99"/>
      <c r="K602" s="99"/>
      <c r="L602" s="99"/>
      <c r="M602" s="99"/>
      <c r="N602" s="43">
        <f t="shared" si="9"/>
        <v>0</v>
      </c>
    </row>
    <row r="603" spans="2:14" ht="1.5" customHeight="1">
      <c r="B603" s="57"/>
      <c r="C603" s="60"/>
      <c r="D603" s="60"/>
      <c r="E603" s="60"/>
      <c r="F603" s="60"/>
      <c r="G603" s="60"/>
      <c r="J603" s="99"/>
      <c r="K603" s="99"/>
      <c r="L603" s="99"/>
      <c r="M603" s="99"/>
      <c r="N603" s="43">
        <f t="shared" si="9"/>
        <v>0</v>
      </c>
    </row>
    <row r="604" spans="2:14" ht="1.5" customHeight="1">
      <c r="B604" s="57"/>
      <c r="C604" s="60"/>
      <c r="D604" s="60"/>
      <c r="E604" s="60"/>
      <c r="F604" s="60"/>
      <c r="G604" s="60"/>
      <c r="J604" s="99"/>
      <c r="K604" s="99"/>
      <c r="L604" s="99"/>
      <c r="M604" s="99"/>
      <c r="N604" s="43">
        <f t="shared" si="9"/>
        <v>0</v>
      </c>
    </row>
    <row r="605" spans="2:14" ht="1.5" customHeight="1">
      <c r="B605" s="57"/>
      <c r="C605" s="60"/>
      <c r="D605" s="60"/>
      <c r="E605" s="60"/>
      <c r="F605" s="60"/>
      <c r="G605" s="60"/>
      <c r="J605" s="99"/>
      <c r="K605" s="99"/>
      <c r="L605" s="99"/>
      <c r="M605" s="99"/>
      <c r="N605" s="43">
        <f t="shared" si="9"/>
        <v>0</v>
      </c>
    </row>
    <row r="606" spans="2:14" ht="1.5" customHeight="1">
      <c r="B606" s="57"/>
      <c r="C606" s="60"/>
      <c r="D606" s="60"/>
      <c r="E606" s="60"/>
      <c r="F606" s="60"/>
      <c r="G606" s="60"/>
      <c r="J606" s="99"/>
      <c r="K606" s="99"/>
      <c r="L606" s="99"/>
      <c r="M606" s="99"/>
      <c r="N606" s="43">
        <f t="shared" si="9"/>
        <v>0</v>
      </c>
    </row>
    <row r="607" spans="2:14" ht="1.5" customHeight="1">
      <c r="B607" s="57"/>
      <c r="C607" s="60"/>
      <c r="D607" s="60"/>
      <c r="E607" s="60"/>
      <c r="F607" s="60"/>
      <c r="G607" s="60"/>
      <c r="J607" s="99"/>
      <c r="K607" s="99"/>
      <c r="L607" s="99"/>
      <c r="M607" s="99"/>
      <c r="N607" s="43">
        <f t="shared" si="9"/>
        <v>0</v>
      </c>
    </row>
    <row r="608" spans="2:14" ht="1.5" customHeight="1">
      <c r="B608" s="57"/>
      <c r="C608" s="60"/>
      <c r="D608" s="60"/>
      <c r="E608" s="60"/>
      <c r="F608" s="60"/>
      <c r="G608" s="60"/>
      <c r="J608" s="99"/>
      <c r="K608" s="99"/>
      <c r="L608" s="99"/>
      <c r="M608" s="99"/>
      <c r="N608" s="43">
        <f t="shared" si="9"/>
        <v>0</v>
      </c>
    </row>
    <row r="609" spans="2:14" ht="1.5" customHeight="1">
      <c r="B609" s="57"/>
      <c r="C609" s="60"/>
      <c r="D609" s="60"/>
      <c r="E609" s="60"/>
      <c r="F609" s="60"/>
      <c r="G609" s="60"/>
      <c r="J609" s="99"/>
      <c r="K609" s="99"/>
      <c r="L609" s="99"/>
      <c r="M609" s="99"/>
      <c r="N609" s="43">
        <f t="shared" si="9"/>
        <v>0</v>
      </c>
    </row>
    <row r="610" spans="2:14" ht="1.5" customHeight="1">
      <c r="B610" s="57"/>
      <c r="C610" s="60"/>
      <c r="D610" s="60"/>
      <c r="E610" s="60"/>
      <c r="F610" s="60"/>
      <c r="G610" s="60"/>
      <c r="J610" s="99"/>
      <c r="K610" s="99"/>
      <c r="L610" s="99"/>
      <c r="M610" s="99"/>
      <c r="N610" s="43">
        <f t="shared" si="9"/>
        <v>0</v>
      </c>
    </row>
    <row r="611" spans="2:14" ht="1.5" customHeight="1">
      <c r="B611" s="57"/>
      <c r="C611" s="60"/>
      <c r="D611" s="60"/>
      <c r="E611" s="60"/>
      <c r="F611" s="60"/>
      <c r="G611" s="60"/>
      <c r="J611" s="99"/>
      <c r="K611" s="99"/>
      <c r="L611" s="99"/>
      <c r="M611" s="99"/>
      <c r="N611" s="43">
        <f t="shared" si="9"/>
        <v>0</v>
      </c>
    </row>
    <row r="612" spans="2:14" ht="1.5" customHeight="1">
      <c r="B612" s="57"/>
      <c r="C612" s="60"/>
      <c r="D612" s="60"/>
      <c r="E612" s="60"/>
      <c r="F612" s="60"/>
      <c r="G612" s="60"/>
      <c r="J612" s="99"/>
      <c r="K612" s="99"/>
      <c r="L612" s="99"/>
      <c r="M612" s="99"/>
      <c r="N612" s="43">
        <f t="shared" si="9"/>
        <v>0</v>
      </c>
    </row>
    <row r="613" spans="2:14" ht="1.5" customHeight="1">
      <c r="B613" s="57"/>
      <c r="C613" s="60"/>
      <c r="D613" s="60"/>
      <c r="E613" s="60"/>
      <c r="F613" s="60"/>
      <c r="G613" s="60"/>
      <c r="J613" s="99"/>
      <c r="K613" s="99"/>
      <c r="L613" s="99"/>
      <c r="M613" s="99"/>
      <c r="N613" s="43">
        <f t="shared" si="9"/>
        <v>0</v>
      </c>
    </row>
    <row r="614" spans="2:14" ht="1.5" customHeight="1">
      <c r="B614" s="57"/>
      <c r="C614" s="60"/>
      <c r="D614" s="60"/>
      <c r="E614" s="60"/>
      <c r="F614" s="60"/>
      <c r="G614" s="60"/>
      <c r="J614" s="99"/>
      <c r="K614" s="99"/>
      <c r="L614" s="99"/>
      <c r="M614" s="99"/>
      <c r="N614" s="43">
        <f t="shared" si="9"/>
        <v>0</v>
      </c>
    </row>
    <row r="615" spans="2:14" ht="1.5" customHeight="1">
      <c r="B615" s="57"/>
      <c r="C615" s="60"/>
      <c r="D615" s="60"/>
      <c r="E615" s="60"/>
      <c r="F615" s="60"/>
      <c r="G615" s="60"/>
      <c r="J615" s="99"/>
      <c r="K615" s="99"/>
      <c r="L615" s="99"/>
      <c r="M615" s="99"/>
      <c r="N615" s="43">
        <f t="shared" si="9"/>
        <v>0</v>
      </c>
    </row>
    <row r="616" spans="2:14" ht="1.5" customHeight="1">
      <c r="B616" s="57"/>
      <c r="C616" s="60"/>
      <c r="D616" s="60"/>
      <c r="E616" s="60"/>
      <c r="F616" s="60"/>
      <c r="G616" s="60"/>
      <c r="J616" s="99"/>
      <c r="K616" s="99"/>
      <c r="L616" s="99"/>
      <c r="M616" s="99"/>
      <c r="N616" s="43">
        <f t="shared" si="9"/>
        <v>0</v>
      </c>
    </row>
    <row r="617" spans="2:14" ht="1.5" customHeight="1">
      <c r="B617" s="57"/>
      <c r="C617" s="60"/>
      <c r="D617" s="60"/>
      <c r="E617" s="60"/>
      <c r="F617" s="60"/>
      <c r="G617" s="60"/>
      <c r="J617" s="99"/>
      <c r="K617" s="99"/>
      <c r="L617" s="99"/>
      <c r="M617" s="99"/>
      <c r="N617" s="43">
        <f t="shared" si="9"/>
        <v>0</v>
      </c>
    </row>
    <row r="618" spans="2:14" ht="1.5" customHeight="1">
      <c r="B618" s="57"/>
      <c r="C618" s="60"/>
      <c r="D618" s="60"/>
      <c r="E618" s="60"/>
      <c r="F618" s="60"/>
      <c r="G618" s="60"/>
      <c r="J618" s="99"/>
      <c r="K618" s="99"/>
      <c r="L618" s="99"/>
      <c r="M618" s="99"/>
      <c r="N618" s="43">
        <f t="shared" si="9"/>
        <v>0</v>
      </c>
    </row>
    <row r="619" spans="2:14" ht="1.5" customHeight="1">
      <c r="B619" s="57"/>
      <c r="C619" s="60"/>
      <c r="D619" s="60"/>
      <c r="E619" s="60"/>
      <c r="F619" s="60"/>
      <c r="G619" s="60"/>
      <c r="J619" s="99"/>
      <c r="K619" s="99"/>
      <c r="L619" s="99"/>
      <c r="M619" s="99"/>
      <c r="N619" s="43">
        <f t="shared" si="9"/>
        <v>0</v>
      </c>
    </row>
    <row r="620" spans="2:14" ht="1.5" customHeight="1">
      <c r="B620" s="57"/>
      <c r="C620" s="60"/>
      <c r="D620" s="60"/>
      <c r="E620" s="60"/>
      <c r="F620" s="60"/>
      <c r="G620" s="60"/>
      <c r="J620" s="99"/>
      <c r="K620" s="99"/>
      <c r="L620" s="99"/>
      <c r="M620" s="99"/>
      <c r="N620" s="43">
        <f t="shared" si="9"/>
        <v>0</v>
      </c>
    </row>
    <row r="621" spans="2:14" ht="1.5" customHeight="1">
      <c r="B621" s="57"/>
      <c r="C621" s="60"/>
      <c r="D621" s="60"/>
      <c r="E621" s="60"/>
      <c r="F621" s="60"/>
      <c r="G621" s="60"/>
      <c r="J621" s="99"/>
      <c r="K621" s="99"/>
      <c r="L621" s="99"/>
      <c r="M621" s="99"/>
      <c r="N621" s="43">
        <f t="shared" si="9"/>
        <v>0</v>
      </c>
    </row>
    <row r="622" spans="2:14" ht="1.5" customHeight="1">
      <c r="B622" s="57"/>
      <c r="C622" s="60"/>
      <c r="D622" s="60"/>
      <c r="E622" s="60"/>
      <c r="F622" s="60"/>
      <c r="G622" s="60"/>
      <c r="J622" s="99"/>
      <c r="K622" s="99"/>
      <c r="L622" s="99"/>
      <c r="M622" s="99"/>
      <c r="N622" s="43">
        <f t="shared" si="9"/>
        <v>0</v>
      </c>
    </row>
    <row r="623" spans="2:14" ht="1.5" customHeight="1">
      <c r="B623" s="57"/>
      <c r="C623" s="60"/>
      <c r="D623" s="60"/>
      <c r="E623" s="60"/>
      <c r="F623" s="60"/>
      <c r="G623" s="60"/>
      <c r="J623" s="99"/>
      <c r="K623" s="99"/>
      <c r="L623" s="99"/>
      <c r="M623" s="99"/>
      <c r="N623" s="43">
        <f t="shared" si="9"/>
        <v>0</v>
      </c>
    </row>
    <row r="624" spans="2:14" ht="1.5" customHeight="1">
      <c r="B624" s="57"/>
      <c r="C624" s="60"/>
      <c r="D624" s="60"/>
      <c r="E624" s="60"/>
      <c r="F624" s="60"/>
      <c r="G624" s="60"/>
      <c r="J624" s="99"/>
      <c r="K624" s="99"/>
      <c r="L624" s="99"/>
      <c r="M624" s="99"/>
      <c r="N624" s="43">
        <f t="shared" si="9"/>
        <v>0</v>
      </c>
    </row>
    <row r="625" spans="2:14" ht="1.5" customHeight="1">
      <c r="B625" s="57"/>
      <c r="C625" s="60"/>
      <c r="D625" s="60"/>
      <c r="E625" s="60"/>
      <c r="F625" s="60"/>
      <c r="G625" s="60"/>
      <c r="J625" s="99"/>
      <c r="K625" s="99"/>
      <c r="L625" s="99"/>
      <c r="M625" s="99"/>
      <c r="N625" s="43">
        <f t="shared" si="9"/>
        <v>0</v>
      </c>
    </row>
    <row r="626" spans="2:14" ht="1.5" customHeight="1">
      <c r="B626" s="57"/>
      <c r="C626" s="60"/>
      <c r="D626" s="60"/>
      <c r="E626" s="60"/>
      <c r="F626" s="60"/>
      <c r="G626" s="60"/>
      <c r="J626" s="99"/>
      <c r="K626" s="99"/>
      <c r="L626" s="99"/>
      <c r="M626" s="99"/>
      <c r="N626" s="43">
        <f t="shared" si="9"/>
        <v>0</v>
      </c>
    </row>
    <row r="627" spans="2:14" ht="1.5" customHeight="1">
      <c r="B627" s="57"/>
      <c r="C627" s="60"/>
      <c r="D627" s="60"/>
      <c r="E627" s="60"/>
      <c r="F627" s="60"/>
      <c r="G627" s="60"/>
      <c r="J627" s="99"/>
      <c r="K627" s="99"/>
      <c r="L627" s="99"/>
      <c r="M627" s="99"/>
      <c r="N627" s="43">
        <f t="shared" si="9"/>
        <v>0</v>
      </c>
    </row>
    <row r="628" spans="2:14" ht="1.5" customHeight="1">
      <c r="B628" s="57"/>
      <c r="C628" s="60"/>
      <c r="D628" s="60"/>
      <c r="E628" s="60"/>
      <c r="F628" s="60"/>
      <c r="G628" s="60"/>
      <c r="J628" s="99"/>
      <c r="K628" s="99"/>
      <c r="L628" s="99"/>
      <c r="M628" s="99"/>
      <c r="N628" s="43">
        <f t="shared" si="9"/>
        <v>0</v>
      </c>
    </row>
    <row r="629" spans="2:14" ht="1.5" customHeight="1">
      <c r="B629" s="57"/>
      <c r="C629" s="60"/>
      <c r="D629" s="60"/>
      <c r="E629" s="60"/>
      <c r="F629" s="60"/>
      <c r="G629" s="60"/>
      <c r="J629" s="99"/>
      <c r="K629" s="99"/>
      <c r="L629" s="99"/>
      <c r="M629" s="99"/>
      <c r="N629" s="43">
        <f t="shared" si="9"/>
        <v>0</v>
      </c>
    </row>
    <row r="630" spans="2:14" ht="1.5" customHeight="1">
      <c r="B630" s="57"/>
      <c r="C630" s="60"/>
      <c r="D630" s="60"/>
      <c r="E630" s="60"/>
      <c r="F630" s="60"/>
      <c r="G630" s="60"/>
      <c r="J630" s="99"/>
      <c r="K630" s="99"/>
      <c r="L630" s="99"/>
      <c r="M630" s="99"/>
      <c r="N630" s="43">
        <f t="shared" si="9"/>
        <v>0</v>
      </c>
    </row>
    <row r="631" spans="2:14" ht="1.5" customHeight="1">
      <c r="B631" s="57"/>
      <c r="C631" s="60"/>
      <c r="D631" s="60"/>
      <c r="E631" s="60"/>
      <c r="F631" s="60"/>
      <c r="G631" s="60"/>
      <c r="J631" s="99"/>
      <c r="K631" s="99"/>
      <c r="L631" s="99"/>
      <c r="M631" s="99"/>
      <c r="N631" s="43">
        <f t="shared" si="9"/>
        <v>0</v>
      </c>
    </row>
    <row r="632" spans="2:14" ht="1.5" customHeight="1">
      <c r="B632" s="57"/>
      <c r="C632" s="60"/>
      <c r="D632" s="60"/>
      <c r="E632" s="60"/>
      <c r="F632" s="60"/>
      <c r="G632" s="60"/>
      <c r="J632" s="99"/>
      <c r="K632" s="99"/>
      <c r="L632" s="99"/>
      <c r="M632" s="99"/>
      <c r="N632" s="43">
        <f t="shared" si="9"/>
        <v>0</v>
      </c>
    </row>
    <row r="633" spans="2:14" ht="1.5" customHeight="1">
      <c r="B633" s="57"/>
      <c r="C633" s="60"/>
      <c r="D633" s="60"/>
      <c r="E633" s="60"/>
      <c r="F633" s="60"/>
      <c r="G633" s="60"/>
      <c r="J633" s="99"/>
      <c r="K633" s="99"/>
      <c r="L633" s="99"/>
      <c r="M633" s="99"/>
      <c r="N633" s="43">
        <f t="shared" si="9"/>
        <v>0</v>
      </c>
    </row>
    <row r="634" spans="2:14" ht="1.5" customHeight="1">
      <c r="B634" s="57"/>
      <c r="C634" s="60"/>
      <c r="D634" s="60"/>
      <c r="E634" s="60"/>
      <c r="F634" s="60"/>
      <c r="G634" s="60"/>
      <c r="J634" s="99"/>
      <c r="K634" s="99"/>
      <c r="L634" s="99"/>
      <c r="M634" s="99"/>
      <c r="N634" s="43">
        <f t="shared" si="9"/>
        <v>0</v>
      </c>
    </row>
    <row r="635" spans="2:14" ht="1.5" customHeight="1">
      <c r="B635" s="57"/>
      <c r="C635" s="60"/>
      <c r="D635" s="60"/>
      <c r="E635" s="60"/>
      <c r="F635" s="60"/>
      <c r="G635" s="60"/>
      <c r="J635" s="99"/>
      <c r="K635" s="99"/>
      <c r="L635" s="99"/>
      <c r="M635" s="99"/>
      <c r="N635" s="43">
        <f t="shared" si="9"/>
        <v>0</v>
      </c>
    </row>
    <row r="636" spans="2:14" ht="1.5" customHeight="1">
      <c r="B636" s="57"/>
      <c r="C636" s="60"/>
      <c r="D636" s="60"/>
      <c r="E636" s="60"/>
      <c r="F636" s="60"/>
      <c r="G636" s="60"/>
      <c r="J636" s="99"/>
      <c r="K636" s="99"/>
      <c r="L636" s="99"/>
      <c r="M636" s="99"/>
      <c r="N636" s="43">
        <f t="shared" si="9"/>
        <v>0</v>
      </c>
    </row>
    <row r="637" spans="2:14" ht="1.5" customHeight="1">
      <c r="B637" s="57"/>
      <c r="C637" s="60"/>
      <c r="D637" s="60"/>
      <c r="E637" s="60"/>
      <c r="F637" s="60"/>
      <c r="G637" s="60"/>
      <c r="J637" s="99"/>
      <c r="K637" s="99"/>
      <c r="L637" s="99"/>
      <c r="M637" s="99"/>
      <c r="N637" s="43">
        <f t="shared" si="9"/>
        <v>0</v>
      </c>
    </row>
    <row r="638" spans="2:14" ht="1.5" customHeight="1">
      <c r="B638" s="57"/>
      <c r="C638" s="60"/>
      <c r="D638" s="60"/>
      <c r="E638" s="60"/>
      <c r="F638" s="60"/>
      <c r="G638" s="60"/>
      <c r="J638" s="99"/>
      <c r="K638" s="99"/>
      <c r="L638" s="99"/>
      <c r="M638" s="99"/>
      <c r="N638" s="43">
        <f t="shared" si="9"/>
        <v>0</v>
      </c>
    </row>
    <row r="639" spans="2:14" ht="1.5" customHeight="1">
      <c r="B639" s="57"/>
      <c r="C639" s="60"/>
      <c r="D639" s="60"/>
      <c r="E639" s="60"/>
      <c r="F639" s="60"/>
      <c r="G639" s="60"/>
      <c r="J639" s="99"/>
      <c r="K639" s="99"/>
      <c r="L639" s="99"/>
      <c r="M639" s="99"/>
      <c r="N639" s="43">
        <f t="shared" si="9"/>
        <v>0</v>
      </c>
    </row>
    <row r="640" spans="2:14" ht="1.5" customHeight="1">
      <c r="B640" s="57"/>
      <c r="C640" s="60"/>
      <c r="D640" s="60"/>
      <c r="E640" s="60"/>
      <c r="F640" s="60"/>
      <c r="G640" s="60"/>
      <c r="J640" s="99"/>
      <c r="K640" s="99"/>
      <c r="L640" s="99"/>
      <c r="M640" s="99"/>
      <c r="N640" s="43">
        <f t="shared" si="9"/>
        <v>0</v>
      </c>
    </row>
    <row r="641" spans="2:14" ht="1.5" customHeight="1">
      <c r="B641" s="57"/>
      <c r="C641" s="60"/>
      <c r="D641" s="60"/>
      <c r="E641" s="60"/>
      <c r="F641" s="60"/>
      <c r="G641" s="60"/>
      <c r="J641" s="99"/>
      <c r="K641" s="99"/>
      <c r="L641" s="99"/>
      <c r="M641" s="99"/>
      <c r="N641" s="43">
        <f t="shared" si="9"/>
        <v>0</v>
      </c>
    </row>
    <row r="642" spans="2:14" ht="1.5" customHeight="1">
      <c r="B642" s="57"/>
      <c r="C642" s="60"/>
      <c r="D642" s="60"/>
      <c r="E642" s="60"/>
      <c r="F642" s="60"/>
      <c r="G642" s="60"/>
      <c r="J642" s="99"/>
      <c r="K642" s="99"/>
      <c r="L642" s="99"/>
      <c r="M642" s="99"/>
      <c r="N642" s="43">
        <f t="shared" si="9"/>
        <v>0</v>
      </c>
    </row>
    <row r="643" spans="2:14" ht="1.5" customHeight="1">
      <c r="B643" s="57"/>
      <c r="C643" s="60"/>
      <c r="D643" s="60"/>
      <c r="E643" s="60"/>
      <c r="F643" s="60"/>
      <c r="G643" s="60"/>
      <c r="J643" s="99"/>
      <c r="K643" s="99"/>
      <c r="L643" s="99"/>
      <c r="M643" s="99"/>
      <c r="N643" s="43">
        <f t="shared" si="9"/>
        <v>0</v>
      </c>
    </row>
    <row r="644" spans="2:14" ht="1.5" customHeight="1">
      <c r="B644" s="57"/>
      <c r="C644" s="60"/>
      <c r="D644" s="60"/>
      <c r="E644" s="60"/>
      <c r="F644" s="60"/>
      <c r="G644" s="60"/>
      <c r="J644" s="99"/>
      <c r="K644" s="99"/>
      <c r="L644" s="99"/>
      <c r="M644" s="99"/>
      <c r="N644" s="43">
        <f t="shared" si="9"/>
        <v>0</v>
      </c>
    </row>
    <row r="645" spans="2:14" ht="1.5" customHeight="1">
      <c r="B645" s="57"/>
      <c r="C645" s="60"/>
      <c r="D645" s="60"/>
      <c r="E645" s="60"/>
      <c r="F645" s="60"/>
      <c r="G645" s="60"/>
      <c r="J645" s="99"/>
      <c r="K645" s="99"/>
      <c r="L645" s="99"/>
      <c r="M645" s="99"/>
      <c r="N645" s="43">
        <f t="shared" si="9"/>
        <v>0</v>
      </c>
    </row>
    <row r="646" spans="2:14" ht="1.5" customHeight="1">
      <c r="B646" s="57"/>
      <c r="C646" s="60"/>
      <c r="D646" s="60"/>
      <c r="E646" s="60"/>
      <c r="F646" s="60"/>
      <c r="G646" s="60"/>
      <c r="J646" s="99"/>
      <c r="K646" s="99"/>
      <c r="L646" s="99"/>
      <c r="M646" s="99"/>
      <c r="N646" s="43">
        <f t="shared" si="9"/>
        <v>0</v>
      </c>
    </row>
    <row r="647" spans="2:14" ht="1.5" customHeight="1">
      <c r="B647" s="57"/>
      <c r="C647" s="60"/>
      <c r="D647" s="60"/>
      <c r="E647" s="60"/>
      <c r="F647" s="60"/>
      <c r="G647" s="60"/>
      <c r="J647" s="99"/>
      <c r="K647" s="99"/>
      <c r="L647" s="99"/>
      <c r="M647" s="99"/>
      <c r="N647" s="43">
        <f t="shared" si="9"/>
        <v>0</v>
      </c>
    </row>
    <row r="648" spans="2:14" ht="1.5" customHeight="1">
      <c r="B648" s="57"/>
      <c r="C648" s="60"/>
      <c r="D648" s="60"/>
      <c r="E648" s="60"/>
      <c r="F648" s="60"/>
      <c r="G648" s="60"/>
      <c r="J648" s="99"/>
      <c r="K648" s="99"/>
      <c r="L648" s="99"/>
      <c r="M648" s="99"/>
      <c r="N648" s="43">
        <f t="shared" si="9"/>
        <v>0</v>
      </c>
    </row>
    <row r="649" spans="2:14" ht="1.5" customHeight="1">
      <c r="B649" s="57"/>
      <c r="C649" s="60"/>
      <c r="D649" s="60"/>
      <c r="E649" s="60"/>
      <c r="F649" s="60"/>
      <c r="G649" s="60"/>
      <c r="J649" s="99"/>
      <c r="K649" s="99"/>
      <c r="L649" s="99"/>
      <c r="M649" s="99"/>
      <c r="N649" s="43">
        <f t="shared" si="9"/>
        <v>0</v>
      </c>
    </row>
    <row r="650" spans="2:14" ht="1.5" customHeight="1">
      <c r="B650" s="57"/>
      <c r="C650" s="60"/>
      <c r="D650" s="60"/>
      <c r="E650" s="60"/>
      <c r="F650" s="60"/>
      <c r="G650" s="60"/>
      <c r="J650" s="99"/>
      <c r="K650" s="99"/>
      <c r="L650" s="99"/>
      <c r="M650" s="99"/>
      <c r="N650" s="43">
        <f t="shared" si="9"/>
        <v>0</v>
      </c>
    </row>
    <row r="651" spans="2:14" ht="1.5" customHeight="1">
      <c r="B651" s="57"/>
      <c r="C651" s="60"/>
      <c r="D651" s="60"/>
      <c r="E651" s="60"/>
      <c r="F651" s="60"/>
      <c r="G651" s="60"/>
      <c r="J651" s="99"/>
      <c r="K651" s="99"/>
      <c r="L651" s="99"/>
      <c r="M651" s="99"/>
      <c r="N651" s="43">
        <f t="shared" ref="N651:N714" si="10">IF($L$4=$C$10,C651,IF(D651="","",B651))</f>
        <v>0</v>
      </c>
    </row>
    <row r="652" spans="2:14" ht="1.5" customHeight="1">
      <c r="B652" s="57"/>
      <c r="C652" s="60"/>
      <c r="D652" s="60"/>
      <c r="E652" s="60"/>
      <c r="F652" s="60"/>
      <c r="G652" s="60"/>
      <c r="J652" s="99"/>
      <c r="K652" s="99"/>
      <c r="L652" s="99"/>
      <c r="M652" s="99"/>
      <c r="N652" s="43">
        <f t="shared" si="10"/>
        <v>0</v>
      </c>
    </row>
    <row r="653" spans="2:14" ht="1.5" customHeight="1">
      <c r="B653" s="57"/>
      <c r="C653" s="60"/>
      <c r="D653" s="60"/>
      <c r="E653" s="60"/>
      <c r="F653" s="60"/>
      <c r="G653" s="60"/>
      <c r="J653" s="99"/>
      <c r="K653" s="99"/>
      <c r="L653" s="99"/>
      <c r="M653" s="99"/>
      <c r="N653" s="43">
        <f t="shared" si="10"/>
        <v>0</v>
      </c>
    </row>
    <row r="654" spans="2:14" ht="1.5" customHeight="1">
      <c r="B654" s="57"/>
      <c r="C654" s="60"/>
      <c r="D654" s="60"/>
      <c r="E654" s="60"/>
      <c r="F654" s="60"/>
      <c r="G654" s="60"/>
      <c r="J654" s="99"/>
      <c r="K654" s="99"/>
      <c r="L654" s="99"/>
      <c r="M654" s="99"/>
      <c r="N654" s="43">
        <f t="shared" si="10"/>
        <v>0</v>
      </c>
    </row>
    <row r="655" spans="2:14" ht="1.5" customHeight="1">
      <c r="B655" s="57"/>
      <c r="C655" s="60"/>
      <c r="D655" s="60"/>
      <c r="E655" s="60"/>
      <c r="F655" s="60"/>
      <c r="G655" s="60"/>
      <c r="J655" s="99"/>
      <c r="K655" s="99"/>
      <c r="L655" s="99"/>
      <c r="M655" s="99"/>
      <c r="N655" s="43">
        <f t="shared" si="10"/>
        <v>0</v>
      </c>
    </row>
    <row r="656" spans="2:14" ht="1.5" customHeight="1">
      <c r="B656" s="57"/>
      <c r="C656" s="60"/>
      <c r="D656" s="60"/>
      <c r="E656" s="60"/>
      <c r="F656" s="60"/>
      <c r="G656" s="60"/>
      <c r="J656" s="99"/>
      <c r="K656" s="99"/>
      <c r="L656" s="99"/>
      <c r="M656" s="99"/>
      <c r="N656" s="43">
        <f t="shared" si="10"/>
        <v>0</v>
      </c>
    </row>
    <row r="657" spans="2:14" ht="1.5" customHeight="1">
      <c r="B657" s="57"/>
      <c r="C657" s="60"/>
      <c r="D657" s="60"/>
      <c r="E657" s="60"/>
      <c r="F657" s="60"/>
      <c r="G657" s="60"/>
      <c r="J657" s="99"/>
      <c r="K657" s="99"/>
      <c r="L657" s="99"/>
      <c r="M657" s="99"/>
      <c r="N657" s="43">
        <f t="shared" si="10"/>
        <v>0</v>
      </c>
    </row>
    <row r="658" spans="2:14" ht="1.5" customHeight="1">
      <c r="B658" s="57"/>
      <c r="C658" s="60"/>
      <c r="D658" s="60"/>
      <c r="E658" s="60"/>
      <c r="F658" s="60"/>
      <c r="G658" s="60"/>
      <c r="J658" s="99"/>
      <c r="K658" s="99"/>
      <c r="L658" s="99"/>
      <c r="M658" s="99"/>
      <c r="N658" s="43">
        <f t="shared" si="10"/>
        <v>0</v>
      </c>
    </row>
    <row r="659" spans="2:14" ht="1.5" customHeight="1">
      <c r="B659" s="57"/>
      <c r="C659" s="60"/>
      <c r="D659" s="60"/>
      <c r="E659" s="60"/>
      <c r="F659" s="60"/>
      <c r="G659" s="60"/>
      <c r="J659" s="99"/>
      <c r="K659" s="99"/>
      <c r="L659" s="99"/>
      <c r="M659" s="99"/>
      <c r="N659" s="43">
        <f t="shared" si="10"/>
        <v>0</v>
      </c>
    </row>
    <row r="660" spans="2:14" ht="1.5" customHeight="1">
      <c r="B660" s="57"/>
      <c r="C660" s="60"/>
      <c r="D660" s="60"/>
      <c r="E660" s="60"/>
      <c r="F660" s="60"/>
      <c r="G660" s="60"/>
      <c r="J660" s="99"/>
      <c r="K660" s="99"/>
      <c r="L660" s="99"/>
      <c r="M660" s="99"/>
      <c r="N660" s="43">
        <f t="shared" si="10"/>
        <v>0</v>
      </c>
    </row>
    <row r="661" spans="2:14" ht="1.5" customHeight="1">
      <c r="B661" s="57"/>
      <c r="C661" s="60"/>
      <c r="D661" s="60"/>
      <c r="E661" s="60"/>
      <c r="F661" s="60"/>
      <c r="G661" s="60"/>
      <c r="J661" s="99"/>
      <c r="K661" s="99"/>
      <c r="L661" s="99"/>
      <c r="M661" s="99"/>
      <c r="N661" s="43">
        <f t="shared" si="10"/>
        <v>0</v>
      </c>
    </row>
    <row r="662" spans="2:14" ht="1.5" customHeight="1">
      <c r="B662" s="57"/>
      <c r="C662" s="60"/>
      <c r="D662" s="60"/>
      <c r="E662" s="60"/>
      <c r="F662" s="60"/>
      <c r="G662" s="60"/>
      <c r="J662" s="99"/>
      <c r="K662" s="99"/>
      <c r="L662" s="99"/>
      <c r="M662" s="99"/>
      <c r="N662" s="43">
        <f t="shared" si="10"/>
        <v>0</v>
      </c>
    </row>
    <row r="663" spans="2:14" ht="1.5" customHeight="1">
      <c r="B663" s="57"/>
      <c r="C663" s="60"/>
      <c r="D663" s="60"/>
      <c r="E663" s="60"/>
      <c r="F663" s="60"/>
      <c r="G663" s="60"/>
      <c r="J663" s="99"/>
      <c r="K663" s="99"/>
      <c r="L663" s="99"/>
      <c r="M663" s="99"/>
      <c r="N663" s="43">
        <f t="shared" si="10"/>
        <v>0</v>
      </c>
    </row>
    <row r="664" spans="2:14" ht="1.5" customHeight="1">
      <c r="B664" s="57"/>
      <c r="C664" s="60"/>
      <c r="D664" s="60"/>
      <c r="E664" s="60"/>
      <c r="F664" s="60"/>
      <c r="G664" s="60"/>
      <c r="J664" s="99"/>
      <c r="K664" s="99"/>
      <c r="L664" s="99"/>
      <c r="M664" s="99"/>
      <c r="N664" s="43">
        <f t="shared" si="10"/>
        <v>0</v>
      </c>
    </row>
    <row r="665" spans="2:14" ht="1.5" customHeight="1">
      <c r="B665" s="57"/>
      <c r="C665" s="60"/>
      <c r="D665" s="60"/>
      <c r="E665" s="60"/>
      <c r="F665" s="60"/>
      <c r="G665" s="60"/>
      <c r="J665" s="99"/>
      <c r="K665" s="99"/>
      <c r="L665" s="99"/>
      <c r="M665" s="99"/>
      <c r="N665" s="43">
        <f t="shared" si="10"/>
        <v>0</v>
      </c>
    </row>
    <row r="666" spans="2:14" ht="1.5" customHeight="1">
      <c r="B666" s="57"/>
      <c r="C666" s="60"/>
      <c r="D666" s="60"/>
      <c r="E666" s="60"/>
      <c r="F666" s="60"/>
      <c r="G666" s="60"/>
      <c r="J666" s="99"/>
      <c r="K666" s="99"/>
      <c r="L666" s="99"/>
      <c r="M666" s="99"/>
      <c r="N666" s="43">
        <f t="shared" si="10"/>
        <v>0</v>
      </c>
    </row>
    <row r="667" spans="2:14" ht="1.5" customHeight="1">
      <c r="B667" s="57"/>
      <c r="C667" s="60"/>
      <c r="D667" s="60"/>
      <c r="E667" s="60"/>
      <c r="F667" s="60"/>
      <c r="G667" s="60"/>
      <c r="J667" s="99"/>
      <c r="K667" s="99"/>
      <c r="L667" s="99"/>
      <c r="M667" s="99"/>
      <c r="N667" s="43">
        <f t="shared" si="10"/>
        <v>0</v>
      </c>
    </row>
    <row r="668" spans="2:14" ht="1.5" customHeight="1">
      <c r="B668" s="57"/>
      <c r="C668" s="60"/>
      <c r="D668" s="60"/>
      <c r="E668" s="60"/>
      <c r="F668" s="60"/>
      <c r="G668" s="60"/>
      <c r="J668" s="99"/>
      <c r="K668" s="99"/>
      <c r="L668" s="99"/>
      <c r="M668" s="99"/>
      <c r="N668" s="43">
        <f t="shared" si="10"/>
        <v>0</v>
      </c>
    </row>
    <row r="669" spans="2:14" ht="1.5" customHeight="1">
      <c r="B669" s="57"/>
      <c r="C669" s="60"/>
      <c r="D669" s="60"/>
      <c r="E669" s="60"/>
      <c r="F669" s="60"/>
      <c r="G669" s="60"/>
      <c r="J669" s="99"/>
      <c r="K669" s="99"/>
      <c r="L669" s="99"/>
      <c r="M669" s="99"/>
      <c r="N669" s="43">
        <f t="shared" si="10"/>
        <v>0</v>
      </c>
    </row>
    <row r="670" spans="2:14" ht="1.5" customHeight="1">
      <c r="B670" s="57"/>
      <c r="C670" s="60"/>
      <c r="D670" s="60"/>
      <c r="E670" s="60"/>
      <c r="F670" s="60"/>
      <c r="G670" s="60"/>
      <c r="J670" s="99"/>
      <c r="K670" s="99"/>
      <c r="L670" s="99"/>
      <c r="M670" s="99"/>
      <c r="N670" s="43">
        <f t="shared" si="10"/>
        <v>0</v>
      </c>
    </row>
    <row r="671" spans="2:14" ht="1.5" customHeight="1">
      <c r="B671" s="57"/>
      <c r="C671" s="60"/>
      <c r="D671" s="60"/>
      <c r="E671" s="60"/>
      <c r="F671" s="60"/>
      <c r="G671" s="60"/>
      <c r="J671" s="99"/>
      <c r="K671" s="99"/>
      <c r="L671" s="99"/>
      <c r="M671" s="99"/>
      <c r="N671" s="43">
        <f t="shared" si="10"/>
        <v>0</v>
      </c>
    </row>
    <row r="672" spans="2:14" ht="1.5" customHeight="1">
      <c r="B672" s="57"/>
      <c r="C672" s="60"/>
      <c r="D672" s="60"/>
      <c r="E672" s="60"/>
      <c r="F672" s="60"/>
      <c r="G672" s="60"/>
      <c r="J672" s="99"/>
      <c r="K672" s="99"/>
      <c r="L672" s="99"/>
      <c r="M672" s="99"/>
      <c r="N672" s="43">
        <f t="shared" si="10"/>
        <v>0</v>
      </c>
    </row>
    <row r="673" spans="2:14" ht="1.5" customHeight="1">
      <c r="B673" s="57"/>
      <c r="C673" s="60"/>
      <c r="D673" s="60"/>
      <c r="E673" s="60"/>
      <c r="F673" s="60"/>
      <c r="G673" s="60"/>
      <c r="J673" s="99"/>
      <c r="K673" s="99"/>
      <c r="L673" s="99"/>
      <c r="M673" s="99"/>
      <c r="N673" s="43">
        <f t="shared" si="10"/>
        <v>0</v>
      </c>
    </row>
    <row r="674" spans="2:14" ht="1.5" customHeight="1">
      <c r="B674" s="57"/>
      <c r="C674" s="60"/>
      <c r="D674" s="60"/>
      <c r="E674" s="60"/>
      <c r="F674" s="60"/>
      <c r="G674" s="60"/>
      <c r="J674" s="99"/>
      <c r="K674" s="99"/>
      <c r="L674" s="99"/>
      <c r="M674" s="99"/>
      <c r="N674" s="43">
        <f t="shared" si="10"/>
        <v>0</v>
      </c>
    </row>
    <row r="675" spans="2:14" ht="1.5" customHeight="1">
      <c r="B675" s="57"/>
      <c r="C675" s="60"/>
      <c r="D675" s="60"/>
      <c r="E675" s="60"/>
      <c r="F675" s="60"/>
      <c r="G675" s="60"/>
      <c r="J675" s="99"/>
      <c r="K675" s="99"/>
      <c r="L675" s="99"/>
      <c r="M675" s="99"/>
      <c r="N675" s="43">
        <f t="shared" si="10"/>
        <v>0</v>
      </c>
    </row>
    <row r="676" spans="2:14" ht="1.5" customHeight="1">
      <c r="B676" s="57"/>
      <c r="C676" s="60"/>
      <c r="D676" s="60"/>
      <c r="E676" s="60"/>
      <c r="F676" s="60"/>
      <c r="G676" s="60"/>
      <c r="J676" s="99"/>
      <c r="K676" s="99"/>
      <c r="L676" s="99"/>
      <c r="M676" s="99"/>
      <c r="N676" s="43">
        <f t="shared" si="10"/>
        <v>0</v>
      </c>
    </row>
    <row r="677" spans="2:14" ht="1.5" customHeight="1">
      <c r="B677" s="57"/>
      <c r="C677" s="60"/>
      <c r="D677" s="60"/>
      <c r="E677" s="60"/>
      <c r="F677" s="60"/>
      <c r="G677" s="60"/>
      <c r="J677" s="99"/>
      <c r="K677" s="99"/>
      <c r="L677" s="99"/>
      <c r="M677" s="99"/>
      <c r="N677" s="43">
        <f t="shared" si="10"/>
        <v>0</v>
      </c>
    </row>
    <row r="678" spans="2:14" ht="1.5" customHeight="1">
      <c r="B678" s="57"/>
      <c r="C678" s="60"/>
      <c r="D678" s="60"/>
      <c r="E678" s="60"/>
      <c r="F678" s="60"/>
      <c r="G678" s="60"/>
      <c r="J678" s="99"/>
      <c r="K678" s="99"/>
      <c r="L678" s="99"/>
      <c r="M678" s="99"/>
      <c r="N678" s="43">
        <f t="shared" si="10"/>
        <v>0</v>
      </c>
    </row>
    <row r="679" spans="2:14" ht="1.5" customHeight="1">
      <c r="B679" s="57"/>
      <c r="C679" s="60"/>
      <c r="D679" s="60"/>
      <c r="E679" s="60"/>
      <c r="F679" s="60"/>
      <c r="G679" s="60"/>
      <c r="J679" s="99"/>
      <c r="K679" s="99"/>
      <c r="L679" s="99"/>
      <c r="M679" s="99"/>
      <c r="N679" s="43">
        <f t="shared" si="10"/>
        <v>0</v>
      </c>
    </row>
    <row r="680" spans="2:14" ht="1.5" customHeight="1">
      <c r="B680" s="57"/>
      <c r="C680" s="60"/>
      <c r="D680" s="60"/>
      <c r="E680" s="60"/>
      <c r="F680" s="60"/>
      <c r="G680" s="60"/>
      <c r="J680" s="99"/>
      <c r="K680" s="99"/>
      <c r="L680" s="99"/>
      <c r="M680" s="99"/>
      <c r="N680" s="43">
        <f t="shared" si="10"/>
        <v>0</v>
      </c>
    </row>
    <row r="681" spans="2:14" ht="1.5" customHeight="1">
      <c r="B681" s="57"/>
      <c r="C681" s="60"/>
      <c r="D681" s="60"/>
      <c r="E681" s="60"/>
      <c r="F681" s="60"/>
      <c r="G681" s="60"/>
      <c r="J681" s="99"/>
      <c r="K681" s="99"/>
      <c r="L681" s="99"/>
      <c r="M681" s="99"/>
      <c r="N681" s="43">
        <f t="shared" si="10"/>
        <v>0</v>
      </c>
    </row>
    <row r="682" spans="2:14" ht="1.5" customHeight="1">
      <c r="B682" s="57"/>
      <c r="C682" s="60"/>
      <c r="D682" s="60"/>
      <c r="E682" s="60"/>
      <c r="F682" s="60"/>
      <c r="G682" s="60"/>
      <c r="J682" s="99"/>
      <c r="K682" s="99"/>
      <c r="L682" s="99"/>
      <c r="M682" s="99"/>
      <c r="N682" s="43">
        <f t="shared" si="10"/>
        <v>0</v>
      </c>
    </row>
    <row r="683" spans="2:14" ht="1.5" customHeight="1">
      <c r="B683" s="57"/>
      <c r="C683" s="60"/>
      <c r="D683" s="60"/>
      <c r="E683" s="60"/>
      <c r="F683" s="60"/>
      <c r="G683" s="60"/>
      <c r="J683" s="99"/>
      <c r="K683" s="99"/>
      <c r="L683" s="99"/>
      <c r="M683" s="99"/>
      <c r="N683" s="43">
        <f t="shared" si="10"/>
        <v>0</v>
      </c>
    </row>
    <row r="684" spans="2:14" ht="1.5" customHeight="1">
      <c r="B684" s="57"/>
      <c r="C684" s="60"/>
      <c r="D684" s="60"/>
      <c r="E684" s="60"/>
      <c r="F684" s="60"/>
      <c r="G684" s="60"/>
      <c r="J684" s="99"/>
      <c r="K684" s="99"/>
      <c r="L684" s="99"/>
      <c r="M684" s="99"/>
      <c r="N684" s="43">
        <f t="shared" si="10"/>
        <v>0</v>
      </c>
    </row>
    <row r="685" spans="2:14" ht="1.5" customHeight="1">
      <c r="B685" s="57"/>
      <c r="C685" s="60"/>
      <c r="D685" s="60"/>
      <c r="E685" s="60"/>
      <c r="F685" s="60"/>
      <c r="G685" s="60"/>
      <c r="J685" s="99"/>
      <c r="K685" s="99"/>
      <c r="L685" s="99"/>
      <c r="M685" s="99"/>
      <c r="N685" s="43">
        <f t="shared" si="10"/>
        <v>0</v>
      </c>
    </row>
    <row r="686" spans="2:14" ht="1.5" customHeight="1">
      <c r="B686" s="57"/>
      <c r="C686" s="60"/>
      <c r="D686" s="60"/>
      <c r="E686" s="60"/>
      <c r="F686" s="60"/>
      <c r="G686" s="60"/>
      <c r="J686" s="99"/>
      <c r="K686" s="99"/>
      <c r="L686" s="99"/>
      <c r="M686" s="99"/>
      <c r="N686" s="43">
        <f t="shared" si="10"/>
        <v>0</v>
      </c>
    </row>
    <row r="687" spans="2:14" ht="1.5" customHeight="1">
      <c r="B687" s="57"/>
      <c r="C687" s="60"/>
      <c r="D687" s="60"/>
      <c r="E687" s="60"/>
      <c r="F687" s="60"/>
      <c r="G687" s="60"/>
      <c r="J687" s="99"/>
      <c r="K687" s="99"/>
      <c r="L687" s="99"/>
      <c r="M687" s="99"/>
      <c r="N687" s="43">
        <f t="shared" si="10"/>
        <v>0</v>
      </c>
    </row>
    <row r="688" spans="2:14" ht="1.5" customHeight="1">
      <c r="B688" s="57"/>
      <c r="C688" s="60"/>
      <c r="D688" s="60"/>
      <c r="E688" s="60"/>
      <c r="F688" s="60"/>
      <c r="G688" s="60"/>
      <c r="J688" s="99"/>
      <c r="K688" s="99"/>
      <c r="L688" s="99"/>
      <c r="M688" s="99"/>
      <c r="N688" s="43">
        <f t="shared" si="10"/>
        <v>0</v>
      </c>
    </row>
    <row r="689" spans="2:14" ht="1.5" customHeight="1">
      <c r="B689" s="57"/>
      <c r="C689" s="60"/>
      <c r="D689" s="60"/>
      <c r="E689" s="60"/>
      <c r="F689" s="60"/>
      <c r="G689" s="60"/>
      <c r="J689" s="99"/>
      <c r="K689" s="99"/>
      <c r="L689" s="99"/>
      <c r="M689" s="99"/>
      <c r="N689" s="43">
        <f t="shared" si="10"/>
        <v>0</v>
      </c>
    </row>
    <row r="690" spans="2:14" ht="1.5" customHeight="1">
      <c r="B690" s="57"/>
      <c r="C690" s="60"/>
      <c r="D690" s="60"/>
      <c r="E690" s="60"/>
      <c r="F690" s="60"/>
      <c r="G690" s="60"/>
      <c r="J690" s="99"/>
      <c r="K690" s="99"/>
      <c r="L690" s="99"/>
      <c r="M690" s="99"/>
      <c r="N690" s="43">
        <f t="shared" si="10"/>
        <v>0</v>
      </c>
    </row>
    <row r="691" spans="2:14" ht="1.5" customHeight="1">
      <c r="B691" s="57"/>
      <c r="C691" s="60"/>
      <c r="D691" s="60"/>
      <c r="E691" s="60"/>
      <c r="F691" s="60"/>
      <c r="G691" s="60"/>
      <c r="J691" s="99"/>
      <c r="K691" s="99"/>
      <c r="L691" s="99"/>
      <c r="M691" s="99"/>
      <c r="N691" s="43">
        <f t="shared" si="10"/>
        <v>0</v>
      </c>
    </row>
    <row r="692" spans="2:14" ht="1.5" customHeight="1">
      <c r="B692" s="57"/>
      <c r="C692" s="60"/>
      <c r="D692" s="60"/>
      <c r="E692" s="60"/>
      <c r="F692" s="60"/>
      <c r="G692" s="60"/>
      <c r="J692" s="99"/>
      <c r="K692" s="99"/>
      <c r="L692" s="99"/>
      <c r="M692" s="99"/>
      <c r="N692" s="43">
        <f t="shared" si="10"/>
        <v>0</v>
      </c>
    </row>
    <row r="693" spans="2:14" ht="1.5" customHeight="1">
      <c r="B693" s="57"/>
      <c r="C693" s="60"/>
      <c r="D693" s="60"/>
      <c r="E693" s="60"/>
      <c r="F693" s="60"/>
      <c r="G693" s="60"/>
      <c r="J693" s="99"/>
      <c r="K693" s="99"/>
      <c r="L693" s="99"/>
      <c r="M693" s="99"/>
      <c r="N693" s="43">
        <f t="shared" si="10"/>
        <v>0</v>
      </c>
    </row>
    <row r="694" spans="2:14" ht="1.5" customHeight="1">
      <c r="B694" s="57"/>
      <c r="C694" s="60"/>
      <c r="D694" s="60"/>
      <c r="E694" s="60"/>
      <c r="F694" s="60"/>
      <c r="G694" s="60"/>
      <c r="J694" s="99"/>
      <c r="K694" s="99"/>
      <c r="L694" s="99"/>
      <c r="M694" s="99"/>
      <c r="N694" s="43">
        <f t="shared" si="10"/>
        <v>0</v>
      </c>
    </row>
    <row r="695" spans="2:14" ht="1.5" customHeight="1">
      <c r="B695" s="57"/>
      <c r="C695" s="60"/>
      <c r="D695" s="60"/>
      <c r="E695" s="60"/>
      <c r="F695" s="60"/>
      <c r="G695" s="60"/>
      <c r="J695" s="99"/>
      <c r="K695" s="99"/>
      <c r="L695" s="99"/>
      <c r="M695" s="99"/>
      <c r="N695" s="43">
        <f t="shared" si="10"/>
        <v>0</v>
      </c>
    </row>
    <row r="696" spans="2:14" ht="1.5" customHeight="1">
      <c r="B696" s="57"/>
      <c r="C696" s="60"/>
      <c r="D696" s="60"/>
      <c r="E696" s="60"/>
      <c r="F696" s="60"/>
      <c r="G696" s="60"/>
      <c r="J696" s="99"/>
      <c r="K696" s="99"/>
      <c r="L696" s="99"/>
      <c r="M696" s="99"/>
      <c r="N696" s="43">
        <f t="shared" si="10"/>
        <v>0</v>
      </c>
    </row>
    <row r="697" spans="2:14" ht="1.5" customHeight="1">
      <c r="B697" s="57"/>
      <c r="C697" s="60"/>
      <c r="D697" s="60"/>
      <c r="E697" s="60"/>
      <c r="F697" s="60"/>
      <c r="G697" s="60"/>
      <c r="J697" s="99"/>
      <c r="K697" s="99"/>
      <c r="L697" s="99"/>
      <c r="M697" s="99"/>
      <c r="N697" s="43">
        <f t="shared" si="10"/>
        <v>0</v>
      </c>
    </row>
    <row r="698" spans="2:14" ht="1.5" customHeight="1">
      <c r="B698" s="57"/>
      <c r="C698" s="60"/>
      <c r="D698" s="60"/>
      <c r="E698" s="60"/>
      <c r="F698" s="60"/>
      <c r="G698" s="60"/>
      <c r="J698" s="99"/>
      <c r="K698" s="99"/>
      <c r="L698" s="99"/>
      <c r="M698" s="99"/>
      <c r="N698" s="43">
        <f t="shared" si="10"/>
        <v>0</v>
      </c>
    </row>
    <row r="699" spans="2:14" ht="1.5" customHeight="1">
      <c r="B699" s="57"/>
      <c r="C699" s="60"/>
      <c r="D699" s="60"/>
      <c r="E699" s="60"/>
      <c r="F699" s="60"/>
      <c r="G699" s="60"/>
      <c r="J699" s="99"/>
      <c r="K699" s="99"/>
      <c r="L699" s="99"/>
      <c r="M699" s="99"/>
      <c r="N699" s="43">
        <f t="shared" si="10"/>
        <v>0</v>
      </c>
    </row>
    <row r="700" spans="2:14" ht="1.5" customHeight="1">
      <c r="B700" s="57"/>
      <c r="C700" s="60"/>
      <c r="D700" s="60"/>
      <c r="E700" s="60"/>
      <c r="F700" s="60"/>
      <c r="G700" s="60"/>
      <c r="J700" s="99"/>
      <c r="K700" s="99"/>
      <c r="L700" s="99"/>
      <c r="M700" s="99"/>
      <c r="N700" s="43">
        <f t="shared" si="10"/>
        <v>0</v>
      </c>
    </row>
    <row r="701" spans="2:14" ht="1.5" customHeight="1">
      <c r="B701" s="57"/>
      <c r="C701" s="60"/>
      <c r="D701" s="60"/>
      <c r="E701" s="60"/>
      <c r="F701" s="60"/>
      <c r="G701" s="60"/>
      <c r="J701" s="99"/>
      <c r="K701" s="99"/>
      <c r="L701" s="99"/>
      <c r="M701" s="99"/>
      <c r="N701" s="43">
        <f t="shared" si="10"/>
        <v>0</v>
      </c>
    </row>
    <row r="702" spans="2:14" ht="1.5" customHeight="1">
      <c r="B702" s="57"/>
      <c r="C702" s="60"/>
      <c r="D702" s="60"/>
      <c r="E702" s="60"/>
      <c r="F702" s="60"/>
      <c r="G702" s="60"/>
      <c r="J702" s="99"/>
      <c r="K702" s="99"/>
      <c r="L702" s="99"/>
      <c r="M702" s="99"/>
      <c r="N702" s="43">
        <f t="shared" si="10"/>
        <v>0</v>
      </c>
    </row>
    <row r="703" spans="2:14" ht="1.5" customHeight="1">
      <c r="B703" s="57"/>
      <c r="C703" s="60"/>
      <c r="D703" s="60"/>
      <c r="E703" s="60"/>
      <c r="F703" s="60"/>
      <c r="G703" s="60"/>
      <c r="J703" s="99"/>
      <c r="K703" s="99"/>
      <c r="L703" s="99"/>
      <c r="M703" s="99"/>
      <c r="N703" s="43">
        <f t="shared" si="10"/>
        <v>0</v>
      </c>
    </row>
    <row r="704" spans="2:14" ht="1.5" customHeight="1">
      <c r="B704" s="57"/>
      <c r="C704" s="60"/>
      <c r="D704" s="60"/>
      <c r="E704" s="60"/>
      <c r="F704" s="60"/>
      <c r="G704" s="60"/>
      <c r="J704" s="99"/>
      <c r="K704" s="99"/>
      <c r="L704" s="99"/>
      <c r="M704" s="99"/>
      <c r="N704" s="43">
        <f t="shared" si="10"/>
        <v>0</v>
      </c>
    </row>
    <row r="705" spans="2:14" ht="1.5" customHeight="1">
      <c r="B705" s="57"/>
      <c r="C705" s="60"/>
      <c r="D705" s="60"/>
      <c r="E705" s="60"/>
      <c r="F705" s="60"/>
      <c r="G705" s="60"/>
      <c r="J705" s="99"/>
      <c r="K705" s="99"/>
      <c r="L705" s="99"/>
      <c r="M705" s="99"/>
      <c r="N705" s="43">
        <f t="shared" si="10"/>
        <v>0</v>
      </c>
    </row>
    <row r="706" spans="2:14" ht="1.5" customHeight="1">
      <c r="B706" s="57"/>
      <c r="C706" s="60"/>
      <c r="D706" s="60"/>
      <c r="E706" s="60"/>
      <c r="F706" s="60"/>
      <c r="G706" s="60"/>
      <c r="J706" s="99"/>
      <c r="K706" s="99"/>
      <c r="L706" s="99"/>
      <c r="M706" s="99"/>
      <c r="N706" s="43">
        <f t="shared" si="10"/>
        <v>0</v>
      </c>
    </row>
    <row r="707" spans="2:14" ht="1.5" customHeight="1">
      <c r="B707" s="57"/>
      <c r="C707" s="60"/>
      <c r="D707" s="60"/>
      <c r="E707" s="60"/>
      <c r="F707" s="60"/>
      <c r="G707" s="60"/>
      <c r="J707" s="99"/>
      <c r="K707" s="99"/>
      <c r="L707" s="99"/>
      <c r="M707" s="99"/>
      <c r="N707" s="43">
        <f t="shared" si="10"/>
        <v>0</v>
      </c>
    </row>
    <row r="708" spans="2:14" ht="1.5" customHeight="1">
      <c r="B708" s="57"/>
      <c r="C708" s="60"/>
      <c r="D708" s="60"/>
      <c r="E708" s="60"/>
      <c r="F708" s="60"/>
      <c r="G708" s="60"/>
      <c r="J708" s="99"/>
      <c r="K708" s="99"/>
      <c r="L708" s="99"/>
      <c r="M708" s="99"/>
      <c r="N708" s="43">
        <f t="shared" si="10"/>
        <v>0</v>
      </c>
    </row>
    <row r="709" spans="2:14" ht="1.5" customHeight="1">
      <c r="B709" s="57"/>
      <c r="C709" s="60"/>
      <c r="D709" s="60"/>
      <c r="E709" s="60"/>
      <c r="F709" s="60"/>
      <c r="G709" s="60"/>
      <c r="J709" s="99"/>
      <c r="K709" s="99"/>
      <c r="L709" s="99"/>
      <c r="M709" s="99"/>
      <c r="N709" s="43">
        <f t="shared" si="10"/>
        <v>0</v>
      </c>
    </row>
    <row r="710" spans="2:14" ht="1.5" customHeight="1">
      <c r="B710" s="57"/>
      <c r="C710" s="60"/>
      <c r="D710" s="60"/>
      <c r="E710" s="60"/>
      <c r="F710" s="60"/>
      <c r="G710" s="60"/>
      <c r="J710" s="99"/>
      <c r="K710" s="99"/>
      <c r="L710" s="99"/>
      <c r="M710" s="99"/>
      <c r="N710" s="43">
        <f t="shared" si="10"/>
        <v>0</v>
      </c>
    </row>
    <row r="711" spans="2:14" ht="1.5" customHeight="1">
      <c r="B711" s="57"/>
      <c r="C711" s="60"/>
      <c r="D711" s="60"/>
      <c r="E711" s="60"/>
      <c r="F711" s="60"/>
      <c r="G711" s="60"/>
      <c r="J711" s="99"/>
      <c r="K711" s="99"/>
      <c r="L711" s="99"/>
      <c r="M711" s="99"/>
      <c r="N711" s="43">
        <f t="shared" si="10"/>
        <v>0</v>
      </c>
    </row>
    <row r="712" spans="2:14" ht="1.5" customHeight="1">
      <c r="B712" s="57"/>
      <c r="C712" s="60"/>
      <c r="D712" s="60"/>
      <c r="E712" s="60"/>
      <c r="F712" s="60"/>
      <c r="G712" s="60"/>
      <c r="J712" s="99"/>
      <c r="K712" s="99"/>
      <c r="L712" s="99"/>
      <c r="M712" s="99"/>
      <c r="N712" s="43">
        <f t="shared" si="10"/>
        <v>0</v>
      </c>
    </row>
    <row r="713" spans="2:14" ht="1.5" customHeight="1">
      <c r="B713" s="57"/>
      <c r="C713" s="60"/>
      <c r="D713" s="60"/>
      <c r="E713" s="60"/>
      <c r="F713" s="60"/>
      <c r="G713" s="60"/>
      <c r="J713" s="99"/>
      <c r="K713" s="99"/>
      <c r="L713" s="99"/>
      <c r="M713" s="99"/>
      <c r="N713" s="43">
        <f t="shared" si="10"/>
        <v>0</v>
      </c>
    </row>
    <row r="714" spans="2:14" ht="1.5" customHeight="1">
      <c r="B714" s="57"/>
      <c r="C714" s="60"/>
      <c r="D714" s="60"/>
      <c r="E714" s="60"/>
      <c r="F714" s="60"/>
      <c r="G714" s="60"/>
      <c r="J714" s="99"/>
      <c r="K714" s="99"/>
      <c r="L714" s="99"/>
      <c r="M714" s="99"/>
      <c r="N714" s="43">
        <f t="shared" si="10"/>
        <v>0</v>
      </c>
    </row>
    <row r="715" spans="2:14" ht="1.5" customHeight="1">
      <c r="B715" s="57"/>
      <c r="C715" s="60"/>
      <c r="D715" s="60"/>
      <c r="E715" s="60"/>
      <c r="F715" s="60"/>
      <c r="G715" s="60"/>
      <c r="J715" s="99"/>
      <c r="K715" s="99"/>
      <c r="L715" s="99"/>
      <c r="M715" s="99"/>
      <c r="N715" s="43">
        <f t="shared" ref="N715:N778" si="11">IF($L$4=$C$10,C715,IF(D715="","",B715))</f>
        <v>0</v>
      </c>
    </row>
    <row r="716" spans="2:14" ht="1.5" customHeight="1">
      <c r="B716" s="57"/>
      <c r="C716" s="60"/>
      <c r="D716" s="60"/>
      <c r="E716" s="60"/>
      <c r="F716" s="60"/>
      <c r="G716" s="60"/>
      <c r="J716" s="99"/>
      <c r="K716" s="99"/>
      <c r="L716" s="99"/>
      <c r="M716" s="99"/>
      <c r="N716" s="43">
        <f t="shared" si="11"/>
        <v>0</v>
      </c>
    </row>
    <row r="717" spans="2:14" ht="1.5" customHeight="1">
      <c r="B717" s="57"/>
      <c r="C717" s="60"/>
      <c r="D717" s="60"/>
      <c r="E717" s="60"/>
      <c r="F717" s="60"/>
      <c r="G717" s="60"/>
      <c r="J717" s="99"/>
      <c r="K717" s="99"/>
      <c r="L717" s="99"/>
      <c r="M717" s="99"/>
      <c r="N717" s="43">
        <f t="shared" si="11"/>
        <v>0</v>
      </c>
    </row>
    <row r="718" spans="2:14" ht="1.5" customHeight="1">
      <c r="B718" s="57"/>
      <c r="C718" s="60"/>
      <c r="D718" s="60"/>
      <c r="E718" s="60"/>
      <c r="F718" s="60"/>
      <c r="G718" s="60"/>
      <c r="J718" s="99"/>
      <c r="K718" s="99"/>
      <c r="L718" s="99"/>
      <c r="M718" s="99"/>
      <c r="N718" s="43">
        <f t="shared" si="11"/>
        <v>0</v>
      </c>
    </row>
    <row r="719" spans="2:14" ht="1.5" customHeight="1">
      <c r="B719" s="57"/>
      <c r="C719" s="60"/>
      <c r="D719" s="60"/>
      <c r="E719" s="60"/>
      <c r="F719" s="60"/>
      <c r="G719" s="60"/>
      <c r="J719" s="99"/>
      <c r="K719" s="99"/>
      <c r="L719" s="99"/>
      <c r="M719" s="99"/>
      <c r="N719" s="43">
        <f t="shared" si="11"/>
        <v>0</v>
      </c>
    </row>
    <row r="720" spans="2:14" ht="1.5" customHeight="1">
      <c r="B720" s="57"/>
      <c r="C720" s="60"/>
      <c r="D720" s="60"/>
      <c r="E720" s="60"/>
      <c r="F720" s="60"/>
      <c r="G720" s="60"/>
      <c r="J720" s="99"/>
      <c r="K720" s="99"/>
      <c r="L720" s="99"/>
      <c r="M720" s="99"/>
      <c r="N720" s="43">
        <f t="shared" si="11"/>
        <v>0</v>
      </c>
    </row>
    <row r="721" spans="2:14" ht="1.5" customHeight="1">
      <c r="B721" s="57"/>
      <c r="C721" s="60"/>
      <c r="D721" s="60"/>
      <c r="E721" s="60"/>
      <c r="F721" s="60"/>
      <c r="G721" s="60"/>
      <c r="J721" s="99"/>
      <c r="K721" s="99"/>
      <c r="L721" s="99"/>
      <c r="M721" s="99"/>
      <c r="N721" s="43">
        <f t="shared" si="11"/>
        <v>0</v>
      </c>
    </row>
    <row r="722" spans="2:14" ht="1.5" customHeight="1">
      <c r="B722" s="57"/>
      <c r="C722" s="60"/>
      <c r="D722" s="60"/>
      <c r="E722" s="60"/>
      <c r="F722" s="60"/>
      <c r="G722" s="60"/>
      <c r="J722" s="99"/>
      <c r="K722" s="99"/>
      <c r="L722" s="99"/>
      <c r="M722" s="99"/>
      <c r="N722" s="43">
        <f t="shared" si="11"/>
        <v>0</v>
      </c>
    </row>
    <row r="723" spans="2:14" ht="1.5" customHeight="1">
      <c r="B723" s="57"/>
      <c r="C723" s="60"/>
      <c r="D723" s="60"/>
      <c r="E723" s="60"/>
      <c r="F723" s="60"/>
      <c r="G723" s="60"/>
      <c r="J723" s="99"/>
      <c r="K723" s="99"/>
      <c r="L723" s="99"/>
      <c r="M723" s="99"/>
      <c r="N723" s="43">
        <f t="shared" si="11"/>
        <v>0</v>
      </c>
    </row>
    <row r="724" spans="2:14" ht="1.5" customHeight="1">
      <c r="B724" s="57"/>
      <c r="C724" s="60"/>
      <c r="D724" s="60"/>
      <c r="E724" s="60"/>
      <c r="F724" s="60"/>
      <c r="G724" s="60"/>
      <c r="J724" s="99"/>
      <c r="K724" s="99"/>
      <c r="L724" s="99"/>
      <c r="M724" s="99"/>
      <c r="N724" s="43">
        <f t="shared" si="11"/>
        <v>0</v>
      </c>
    </row>
    <row r="725" spans="2:14" ht="1.5" customHeight="1">
      <c r="B725" s="57"/>
      <c r="C725" s="60"/>
      <c r="D725" s="60"/>
      <c r="E725" s="60"/>
      <c r="F725" s="60"/>
      <c r="G725" s="60"/>
      <c r="J725" s="99"/>
      <c r="K725" s="99"/>
      <c r="L725" s="99"/>
      <c r="M725" s="99"/>
      <c r="N725" s="43">
        <f t="shared" si="11"/>
        <v>0</v>
      </c>
    </row>
    <row r="726" spans="2:14" ht="1.5" customHeight="1">
      <c r="B726" s="57"/>
      <c r="C726" s="60"/>
      <c r="D726" s="60"/>
      <c r="E726" s="60"/>
      <c r="F726" s="60"/>
      <c r="G726" s="60"/>
      <c r="J726" s="99"/>
      <c r="K726" s="99"/>
      <c r="L726" s="99"/>
      <c r="M726" s="99"/>
      <c r="N726" s="43">
        <f t="shared" si="11"/>
        <v>0</v>
      </c>
    </row>
    <row r="727" spans="2:14" ht="1.5" customHeight="1">
      <c r="B727" s="57"/>
      <c r="C727" s="60"/>
      <c r="D727" s="60"/>
      <c r="E727" s="60"/>
      <c r="F727" s="60"/>
      <c r="G727" s="60"/>
      <c r="J727" s="99"/>
      <c r="K727" s="99"/>
      <c r="L727" s="99"/>
      <c r="M727" s="99"/>
      <c r="N727" s="43">
        <f t="shared" si="11"/>
        <v>0</v>
      </c>
    </row>
    <row r="728" spans="2:14" ht="1.5" customHeight="1">
      <c r="B728" s="57"/>
      <c r="C728" s="60"/>
      <c r="D728" s="60"/>
      <c r="E728" s="60"/>
      <c r="F728" s="60"/>
      <c r="G728" s="60"/>
      <c r="J728" s="99"/>
      <c r="K728" s="99"/>
      <c r="L728" s="99"/>
      <c r="M728" s="99"/>
      <c r="N728" s="43">
        <f t="shared" si="11"/>
        <v>0</v>
      </c>
    </row>
    <row r="729" spans="2:14" ht="1.5" customHeight="1">
      <c r="B729" s="57"/>
      <c r="C729" s="60"/>
      <c r="D729" s="60"/>
      <c r="E729" s="60"/>
      <c r="F729" s="60"/>
      <c r="G729" s="60"/>
      <c r="J729" s="99"/>
      <c r="K729" s="99"/>
      <c r="L729" s="99"/>
      <c r="M729" s="99"/>
      <c r="N729" s="43">
        <f t="shared" si="11"/>
        <v>0</v>
      </c>
    </row>
    <row r="730" spans="2:14" ht="1.5" customHeight="1">
      <c r="B730" s="57"/>
      <c r="C730" s="60"/>
      <c r="D730" s="60"/>
      <c r="E730" s="60"/>
      <c r="F730" s="60"/>
      <c r="G730" s="60"/>
      <c r="J730" s="99"/>
      <c r="K730" s="99"/>
      <c r="L730" s="99"/>
      <c r="M730" s="99"/>
      <c r="N730" s="43">
        <f t="shared" si="11"/>
        <v>0</v>
      </c>
    </row>
    <row r="731" spans="2:14" ht="1.5" customHeight="1">
      <c r="B731" s="57"/>
      <c r="C731" s="60"/>
      <c r="D731" s="60"/>
      <c r="E731" s="60"/>
      <c r="F731" s="60"/>
      <c r="G731" s="60"/>
      <c r="J731" s="99"/>
      <c r="K731" s="99"/>
      <c r="L731" s="99"/>
      <c r="M731" s="99"/>
      <c r="N731" s="43">
        <f t="shared" si="11"/>
        <v>0</v>
      </c>
    </row>
    <row r="732" spans="2:14" ht="1.5" customHeight="1">
      <c r="B732" s="57"/>
      <c r="C732" s="60"/>
      <c r="D732" s="60"/>
      <c r="E732" s="60"/>
      <c r="F732" s="60"/>
      <c r="G732" s="60"/>
      <c r="J732" s="99"/>
      <c r="K732" s="99"/>
      <c r="L732" s="99"/>
      <c r="M732" s="99"/>
      <c r="N732" s="43">
        <f t="shared" si="11"/>
        <v>0</v>
      </c>
    </row>
    <row r="733" spans="2:14" ht="1.5" customHeight="1">
      <c r="B733" s="57"/>
      <c r="C733" s="60"/>
      <c r="D733" s="60"/>
      <c r="E733" s="60"/>
      <c r="F733" s="60"/>
      <c r="G733" s="60"/>
      <c r="J733" s="99"/>
      <c r="K733" s="99"/>
      <c r="L733" s="99"/>
      <c r="M733" s="99"/>
      <c r="N733" s="43">
        <f t="shared" si="11"/>
        <v>0</v>
      </c>
    </row>
    <row r="734" spans="2:14" ht="1.5" customHeight="1">
      <c r="B734" s="57"/>
      <c r="C734" s="60"/>
      <c r="D734" s="60"/>
      <c r="E734" s="60"/>
      <c r="F734" s="60"/>
      <c r="G734" s="60"/>
      <c r="J734" s="99"/>
      <c r="K734" s="99"/>
      <c r="L734" s="99"/>
      <c r="M734" s="99"/>
      <c r="N734" s="43">
        <f t="shared" si="11"/>
        <v>0</v>
      </c>
    </row>
    <row r="735" spans="2:14" ht="1.5" customHeight="1">
      <c r="B735" s="57"/>
      <c r="C735" s="60"/>
      <c r="D735" s="60"/>
      <c r="E735" s="60"/>
      <c r="F735" s="60"/>
      <c r="G735" s="60"/>
      <c r="J735" s="99"/>
      <c r="K735" s="99"/>
      <c r="L735" s="99"/>
      <c r="M735" s="99"/>
      <c r="N735" s="43">
        <f t="shared" si="11"/>
        <v>0</v>
      </c>
    </row>
    <row r="736" spans="2:14" ht="1.5" customHeight="1">
      <c r="B736" s="57"/>
      <c r="C736" s="60"/>
      <c r="D736" s="60"/>
      <c r="E736" s="60"/>
      <c r="F736" s="60"/>
      <c r="G736" s="60"/>
      <c r="J736" s="99"/>
      <c r="K736" s="99"/>
      <c r="L736" s="99"/>
      <c r="M736" s="99"/>
      <c r="N736" s="43">
        <f t="shared" si="11"/>
        <v>0</v>
      </c>
    </row>
    <row r="737" spans="2:14" ht="1.5" customHeight="1">
      <c r="B737" s="57"/>
      <c r="C737" s="60"/>
      <c r="D737" s="60"/>
      <c r="E737" s="60"/>
      <c r="F737" s="60"/>
      <c r="G737" s="60"/>
      <c r="J737" s="99"/>
      <c r="K737" s="99"/>
      <c r="L737" s="99"/>
      <c r="M737" s="99"/>
      <c r="N737" s="43">
        <f t="shared" si="11"/>
        <v>0</v>
      </c>
    </row>
    <row r="738" spans="2:14" ht="1.5" customHeight="1">
      <c r="B738" s="57"/>
      <c r="C738" s="60"/>
      <c r="D738" s="60"/>
      <c r="E738" s="60"/>
      <c r="F738" s="60"/>
      <c r="G738" s="60"/>
      <c r="J738" s="99"/>
      <c r="K738" s="99"/>
      <c r="L738" s="99"/>
      <c r="M738" s="99"/>
      <c r="N738" s="43">
        <f t="shared" si="11"/>
        <v>0</v>
      </c>
    </row>
    <row r="739" spans="2:14" ht="1.5" customHeight="1">
      <c r="B739" s="57"/>
      <c r="C739" s="60"/>
      <c r="D739" s="60"/>
      <c r="E739" s="60"/>
      <c r="F739" s="60"/>
      <c r="G739" s="60"/>
      <c r="J739" s="99"/>
      <c r="K739" s="99"/>
      <c r="L739" s="99"/>
      <c r="M739" s="99"/>
      <c r="N739" s="43">
        <f t="shared" si="11"/>
        <v>0</v>
      </c>
    </row>
    <row r="740" spans="2:14" ht="1.5" customHeight="1">
      <c r="B740" s="57"/>
      <c r="C740" s="60"/>
      <c r="D740" s="60"/>
      <c r="E740" s="60"/>
      <c r="F740" s="60"/>
      <c r="G740" s="60"/>
      <c r="J740" s="99"/>
      <c r="K740" s="99"/>
      <c r="L740" s="99"/>
      <c r="M740" s="99"/>
      <c r="N740" s="43">
        <f t="shared" si="11"/>
        <v>0</v>
      </c>
    </row>
    <row r="741" spans="2:14" ht="1.5" customHeight="1">
      <c r="B741" s="57"/>
      <c r="C741" s="60"/>
      <c r="D741" s="60"/>
      <c r="E741" s="60"/>
      <c r="F741" s="60"/>
      <c r="G741" s="60"/>
      <c r="J741" s="99"/>
      <c r="K741" s="99"/>
      <c r="L741" s="99"/>
      <c r="M741" s="99"/>
      <c r="N741" s="43">
        <f t="shared" si="11"/>
        <v>0</v>
      </c>
    </row>
    <row r="742" spans="2:14" ht="1.5" customHeight="1">
      <c r="B742" s="57"/>
      <c r="C742" s="60"/>
      <c r="D742" s="60"/>
      <c r="E742" s="60"/>
      <c r="F742" s="60"/>
      <c r="G742" s="60"/>
      <c r="J742" s="99"/>
      <c r="K742" s="99"/>
      <c r="L742" s="99"/>
      <c r="M742" s="99"/>
      <c r="N742" s="43">
        <f t="shared" si="11"/>
        <v>0</v>
      </c>
    </row>
    <row r="743" spans="2:14" ht="1.5" customHeight="1">
      <c r="B743" s="57"/>
      <c r="C743" s="60"/>
      <c r="D743" s="60"/>
      <c r="E743" s="60"/>
      <c r="F743" s="60"/>
      <c r="G743" s="60"/>
      <c r="J743" s="99"/>
      <c r="K743" s="99"/>
      <c r="L743" s="99"/>
      <c r="M743" s="99"/>
      <c r="N743" s="43">
        <f t="shared" si="11"/>
        <v>0</v>
      </c>
    </row>
    <row r="744" spans="2:14" ht="1.5" customHeight="1">
      <c r="B744" s="57"/>
      <c r="C744" s="60"/>
      <c r="D744" s="60"/>
      <c r="E744" s="60"/>
      <c r="F744" s="60"/>
      <c r="G744" s="60"/>
      <c r="J744" s="99"/>
      <c r="K744" s="99"/>
      <c r="L744" s="99"/>
      <c r="M744" s="99"/>
      <c r="N744" s="43">
        <f t="shared" si="11"/>
        <v>0</v>
      </c>
    </row>
    <row r="745" spans="2:14" ht="1.5" customHeight="1">
      <c r="B745" s="57"/>
      <c r="C745" s="60"/>
      <c r="D745" s="60"/>
      <c r="E745" s="60"/>
      <c r="F745" s="60"/>
      <c r="G745" s="60"/>
      <c r="J745" s="99"/>
      <c r="K745" s="99"/>
      <c r="L745" s="99"/>
      <c r="M745" s="99"/>
      <c r="N745" s="43">
        <f t="shared" si="11"/>
        <v>0</v>
      </c>
    </row>
    <row r="746" spans="2:14" ht="1.5" customHeight="1">
      <c r="B746" s="57"/>
      <c r="C746" s="60"/>
      <c r="D746" s="60"/>
      <c r="E746" s="60"/>
      <c r="F746" s="60"/>
      <c r="G746" s="60"/>
      <c r="J746" s="99"/>
      <c r="K746" s="99"/>
      <c r="L746" s="99"/>
      <c r="M746" s="99"/>
      <c r="N746" s="43">
        <f t="shared" si="11"/>
        <v>0</v>
      </c>
    </row>
    <row r="747" spans="2:14" ht="1.5" customHeight="1">
      <c r="B747" s="57"/>
      <c r="C747" s="60"/>
      <c r="D747" s="60"/>
      <c r="E747" s="60"/>
      <c r="F747" s="60"/>
      <c r="G747" s="60"/>
      <c r="J747" s="99"/>
      <c r="K747" s="99"/>
      <c r="L747" s="99"/>
      <c r="M747" s="99"/>
      <c r="N747" s="43">
        <f t="shared" si="11"/>
        <v>0</v>
      </c>
    </row>
    <row r="748" spans="2:14" ht="1.5" customHeight="1">
      <c r="B748" s="57"/>
      <c r="C748" s="60"/>
      <c r="D748" s="60"/>
      <c r="E748" s="60"/>
      <c r="F748" s="60"/>
      <c r="G748" s="60"/>
      <c r="J748" s="99"/>
      <c r="K748" s="99"/>
      <c r="L748" s="99"/>
      <c r="M748" s="99"/>
      <c r="N748" s="43">
        <f t="shared" si="11"/>
        <v>0</v>
      </c>
    </row>
    <row r="749" spans="2:14" ht="1.5" customHeight="1">
      <c r="B749" s="57"/>
      <c r="C749" s="60"/>
      <c r="D749" s="60"/>
      <c r="E749" s="60"/>
      <c r="F749" s="60"/>
      <c r="G749" s="60"/>
      <c r="J749" s="99"/>
      <c r="K749" s="99"/>
      <c r="L749" s="99"/>
      <c r="M749" s="99"/>
      <c r="N749" s="43">
        <f t="shared" si="11"/>
        <v>0</v>
      </c>
    </row>
    <row r="750" spans="2:14" ht="1.5" customHeight="1">
      <c r="B750" s="57"/>
      <c r="C750" s="60"/>
      <c r="D750" s="60"/>
      <c r="E750" s="60"/>
      <c r="F750" s="60"/>
      <c r="G750" s="60"/>
      <c r="J750" s="99"/>
      <c r="K750" s="99"/>
      <c r="L750" s="99"/>
      <c r="M750" s="99"/>
      <c r="N750" s="43">
        <f t="shared" si="11"/>
        <v>0</v>
      </c>
    </row>
    <row r="751" spans="2:14" ht="1.5" customHeight="1">
      <c r="B751" s="57"/>
      <c r="C751" s="60"/>
      <c r="D751" s="60"/>
      <c r="E751" s="60"/>
      <c r="F751" s="60"/>
      <c r="G751" s="60"/>
      <c r="J751" s="99"/>
      <c r="K751" s="99"/>
      <c r="L751" s="99"/>
      <c r="M751" s="99"/>
      <c r="N751" s="43">
        <f t="shared" si="11"/>
        <v>0</v>
      </c>
    </row>
    <row r="752" spans="2:14" ht="1.5" customHeight="1">
      <c r="B752" s="57"/>
      <c r="C752" s="60"/>
      <c r="D752" s="60"/>
      <c r="E752" s="60"/>
      <c r="F752" s="60"/>
      <c r="G752" s="60"/>
      <c r="J752" s="99"/>
      <c r="K752" s="99"/>
      <c r="L752" s="99"/>
      <c r="M752" s="99"/>
      <c r="N752" s="43">
        <f t="shared" si="11"/>
        <v>0</v>
      </c>
    </row>
    <row r="753" spans="2:14" ht="1.5" customHeight="1">
      <c r="B753" s="57"/>
      <c r="C753" s="60"/>
      <c r="D753" s="60"/>
      <c r="E753" s="60"/>
      <c r="F753" s="60"/>
      <c r="G753" s="60"/>
      <c r="J753" s="99"/>
      <c r="K753" s="99"/>
      <c r="L753" s="99"/>
      <c r="M753" s="99"/>
      <c r="N753" s="43">
        <f t="shared" si="11"/>
        <v>0</v>
      </c>
    </row>
    <row r="754" spans="2:14" ht="1.5" customHeight="1">
      <c r="B754" s="57"/>
      <c r="C754" s="60"/>
      <c r="D754" s="60"/>
      <c r="E754" s="60"/>
      <c r="F754" s="60"/>
      <c r="G754" s="60"/>
      <c r="J754" s="99"/>
      <c r="K754" s="99"/>
      <c r="L754" s="99"/>
      <c r="M754" s="99"/>
      <c r="N754" s="43">
        <f t="shared" si="11"/>
        <v>0</v>
      </c>
    </row>
    <row r="755" spans="2:14" ht="1.5" customHeight="1">
      <c r="B755" s="57"/>
      <c r="C755" s="60"/>
      <c r="D755" s="60"/>
      <c r="E755" s="60"/>
      <c r="F755" s="60"/>
      <c r="G755" s="60"/>
      <c r="J755" s="99"/>
      <c r="K755" s="99"/>
      <c r="L755" s="99"/>
      <c r="M755" s="99"/>
      <c r="N755" s="43">
        <f t="shared" si="11"/>
        <v>0</v>
      </c>
    </row>
    <row r="756" spans="2:14" ht="1.5" customHeight="1">
      <c r="B756" s="57"/>
      <c r="C756" s="60"/>
      <c r="D756" s="60"/>
      <c r="E756" s="60"/>
      <c r="F756" s="60"/>
      <c r="G756" s="60"/>
      <c r="J756" s="99"/>
      <c r="K756" s="99"/>
      <c r="L756" s="99"/>
      <c r="M756" s="99"/>
      <c r="N756" s="43">
        <f t="shared" si="11"/>
        <v>0</v>
      </c>
    </row>
    <row r="757" spans="2:14" ht="1.5" customHeight="1">
      <c r="B757" s="57"/>
      <c r="C757" s="60"/>
      <c r="D757" s="60"/>
      <c r="E757" s="60"/>
      <c r="F757" s="60"/>
      <c r="G757" s="60"/>
      <c r="J757" s="99"/>
      <c r="K757" s="99"/>
      <c r="L757" s="99"/>
      <c r="M757" s="99"/>
      <c r="N757" s="43">
        <f t="shared" si="11"/>
        <v>0</v>
      </c>
    </row>
    <row r="758" spans="2:14" ht="1.5" customHeight="1">
      <c r="B758" s="57"/>
      <c r="C758" s="60"/>
      <c r="D758" s="60"/>
      <c r="E758" s="60"/>
      <c r="F758" s="60"/>
      <c r="G758" s="60"/>
      <c r="J758" s="99"/>
      <c r="K758" s="99"/>
      <c r="L758" s="99"/>
      <c r="M758" s="99"/>
      <c r="N758" s="43">
        <f t="shared" si="11"/>
        <v>0</v>
      </c>
    </row>
    <row r="759" spans="2:14" ht="1.5" customHeight="1">
      <c r="B759" s="57"/>
      <c r="C759" s="60"/>
      <c r="D759" s="60"/>
      <c r="E759" s="60"/>
      <c r="F759" s="60"/>
      <c r="G759" s="60"/>
      <c r="J759" s="99"/>
      <c r="K759" s="99"/>
      <c r="L759" s="99"/>
      <c r="M759" s="99"/>
      <c r="N759" s="43">
        <f t="shared" si="11"/>
        <v>0</v>
      </c>
    </row>
    <row r="760" spans="2:14" ht="1.5" customHeight="1">
      <c r="B760" s="57"/>
      <c r="C760" s="60"/>
      <c r="D760" s="60"/>
      <c r="E760" s="60"/>
      <c r="F760" s="60"/>
      <c r="G760" s="60"/>
      <c r="J760" s="99"/>
      <c r="K760" s="99"/>
      <c r="L760" s="99"/>
      <c r="M760" s="99"/>
      <c r="N760" s="43">
        <f t="shared" si="11"/>
        <v>0</v>
      </c>
    </row>
    <row r="761" spans="2:14" ht="1.5" customHeight="1">
      <c r="B761" s="57"/>
      <c r="C761" s="60"/>
      <c r="D761" s="60"/>
      <c r="E761" s="60"/>
      <c r="F761" s="60"/>
      <c r="G761" s="60"/>
      <c r="J761" s="99"/>
      <c r="K761" s="99"/>
      <c r="L761" s="99"/>
      <c r="M761" s="99"/>
      <c r="N761" s="43">
        <f t="shared" si="11"/>
        <v>0</v>
      </c>
    </row>
    <row r="762" spans="2:14" ht="1.5" customHeight="1">
      <c r="B762" s="57"/>
      <c r="C762" s="60"/>
      <c r="D762" s="60"/>
      <c r="E762" s="60"/>
      <c r="F762" s="60"/>
      <c r="G762" s="60"/>
      <c r="J762" s="99"/>
      <c r="K762" s="99"/>
      <c r="L762" s="99"/>
      <c r="M762" s="99"/>
      <c r="N762" s="43">
        <f t="shared" si="11"/>
        <v>0</v>
      </c>
    </row>
    <row r="763" spans="2:14" ht="1.5" customHeight="1">
      <c r="B763" s="57"/>
      <c r="C763" s="60"/>
      <c r="D763" s="60"/>
      <c r="E763" s="60"/>
      <c r="F763" s="60"/>
      <c r="G763" s="60"/>
      <c r="J763" s="99"/>
      <c r="K763" s="99"/>
      <c r="L763" s="99"/>
      <c r="M763" s="99"/>
      <c r="N763" s="43">
        <f t="shared" si="11"/>
        <v>0</v>
      </c>
    </row>
    <row r="764" spans="2:14" ht="1.5" customHeight="1">
      <c r="B764" s="57"/>
      <c r="C764" s="60"/>
      <c r="D764" s="60"/>
      <c r="E764" s="60"/>
      <c r="F764" s="60"/>
      <c r="G764" s="60"/>
      <c r="J764" s="99"/>
      <c r="K764" s="99"/>
      <c r="L764" s="99"/>
      <c r="M764" s="99"/>
      <c r="N764" s="43">
        <f t="shared" si="11"/>
        <v>0</v>
      </c>
    </row>
    <row r="765" spans="2:14" ht="1.5" customHeight="1">
      <c r="B765" s="57"/>
      <c r="C765" s="60"/>
      <c r="D765" s="60"/>
      <c r="E765" s="60"/>
      <c r="F765" s="60"/>
      <c r="G765" s="60"/>
      <c r="J765" s="99"/>
      <c r="K765" s="99"/>
      <c r="L765" s="99"/>
      <c r="M765" s="99"/>
      <c r="N765" s="43">
        <f t="shared" si="11"/>
        <v>0</v>
      </c>
    </row>
    <row r="766" spans="2:14" ht="1.5" customHeight="1">
      <c r="B766" s="57"/>
      <c r="C766" s="60"/>
      <c r="D766" s="60"/>
      <c r="E766" s="60"/>
      <c r="F766" s="60"/>
      <c r="G766" s="60"/>
      <c r="J766" s="99"/>
      <c r="K766" s="99"/>
      <c r="L766" s="99"/>
      <c r="M766" s="99"/>
      <c r="N766" s="43">
        <f t="shared" si="11"/>
        <v>0</v>
      </c>
    </row>
    <row r="767" spans="2:14" ht="1.5" customHeight="1">
      <c r="B767" s="57"/>
      <c r="C767" s="60"/>
      <c r="D767" s="60"/>
      <c r="E767" s="60"/>
      <c r="F767" s="60"/>
      <c r="G767" s="60"/>
      <c r="J767" s="99"/>
      <c r="K767" s="99"/>
      <c r="L767" s="99"/>
      <c r="M767" s="99"/>
      <c r="N767" s="43">
        <f t="shared" si="11"/>
        <v>0</v>
      </c>
    </row>
    <row r="768" spans="2:14" ht="1.5" customHeight="1">
      <c r="B768" s="57"/>
      <c r="C768" s="60"/>
      <c r="D768" s="60"/>
      <c r="E768" s="60"/>
      <c r="F768" s="60"/>
      <c r="G768" s="60"/>
      <c r="J768" s="99"/>
      <c r="K768" s="99"/>
      <c r="L768" s="99"/>
      <c r="M768" s="99"/>
      <c r="N768" s="43">
        <f t="shared" si="11"/>
        <v>0</v>
      </c>
    </row>
    <row r="769" spans="2:14" ht="1.5" customHeight="1">
      <c r="B769" s="57"/>
      <c r="C769" s="60"/>
      <c r="D769" s="60"/>
      <c r="E769" s="60"/>
      <c r="F769" s="60"/>
      <c r="G769" s="60"/>
      <c r="J769" s="99"/>
      <c r="K769" s="99"/>
      <c r="L769" s="99"/>
      <c r="M769" s="99"/>
      <c r="N769" s="43">
        <f t="shared" si="11"/>
        <v>0</v>
      </c>
    </row>
    <row r="770" spans="2:14" ht="1.5" customHeight="1">
      <c r="B770" s="57"/>
      <c r="C770" s="60"/>
      <c r="D770" s="60"/>
      <c r="E770" s="60"/>
      <c r="F770" s="60"/>
      <c r="G770" s="60"/>
      <c r="J770" s="99"/>
      <c r="K770" s="99"/>
      <c r="L770" s="99"/>
      <c r="M770" s="99"/>
      <c r="N770" s="43">
        <f t="shared" si="11"/>
        <v>0</v>
      </c>
    </row>
    <row r="771" spans="2:14" ht="1.5" customHeight="1">
      <c r="B771" s="57"/>
      <c r="C771" s="60"/>
      <c r="D771" s="60"/>
      <c r="E771" s="60"/>
      <c r="F771" s="60"/>
      <c r="G771" s="60"/>
      <c r="J771" s="99"/>
      <c r="K771" s="99"/>
      <c r="L771" s="99"/>
      <c r="M771" s="99"/>
      <c r="N771" s="43">
        <f t="shared" si="11"/>
        <v>0</v>
      </c>
    </row>
    <row r="772" spans="2:14" ht="1.5" customHeight="1">
      <c r="B772" s="57"/>
      <c r="C772" s="60"/>
      <c r="D772" s="60"/>
      <c r="E772" s="60"/>
      <c r="F772" s="60"/>
      <c r="G772" s="60"/>
      <c r="J772" s="99"/>
      <c r="K772" s="99"/>
      <c r="L772" s="99"/>
      <c r="M772" s="99"/>
      <c r="N772" s="43">
        <f t="shared" si="11"/>
        <v>0</v>
      </c>
    </row>
    <row r="773" spans="2:14" ht="1.5" customHeight="1">
      <c r="B773" s="57"/>
      <c r="C773" s="60"/>
      <c r="D773" s="60"/>
      <c r="E773" s="60"/>
      <c r="F773" s="60"/>
      <c r="G773" s="60"/>
      <c r="J773" s="99"/>
      <c r="K773" s="99"/>
      <c r="L773" s="99"/>
      <c r="M773" s="99"/>
      <c r="N773" s="43">
        <f t="shared" si="11"/>
        <v>0</v>
      </c>
    </row>
    <row r="774" spans="2:14" ht="1.5" customHeight="1">
      <c r="B774" s="57"/>
      <c r="C774" s="60"/>
      <c r="D774" s="60"/>
      <c r="E774" s="60"/>
      <c r="F774" s="60"/>
      <c r="G774" s="60"/>
      <c r="J774" s="99"/>
      <c r="K774" s="99"/>
      <c r="L774" s="99"/>
      <c r="M774" s="99"/>
      <c r="N774" s="43">
        <f t="shared" si="11"/>
        <v>0</v>
      </c>
    </row>
    <row r="775" spans="2:14" ht="1.5" customHeight="1">
      <c r="B775" s="57"/>
      <c r="C775" s="60"/>
      <c r="D775" s="60"/>
      <c r="E775" s="60"/>
      <c r="F775" s="60"/>
      <c r="G775" s="60"/>
      <c r="J775" s="99"/>
      <c r="K775" s="99"/>
      <c r="L775" s="99"/>
      <c r="M775" s="99"/>
      <c r="N775" s="43">
        <f t="shared" si="11"/>
        <v>0</v>
      </c>
    </row>
    <row r="776" spans="2:14" ht="1.5" customHeight="1">
      <c r="B776" s="57"/>
      <c r="C776" s="60"/>
      <c r="D776" s="60"/>
      <c r="E776" s="60"/>
      <c r="F776" s="60"/>
      <c r="G776" s="60"/>
      <c r="J776" s="99"/>
      <c r="K776" s="99"/>
      <c r="L776" s="99"/>
      <c r="M776" s="99"/>
      <c r="N776" s="43">
        <f t="shared" si="11"/>
        <v>0</v>
      </c>
    </row>
    <row r="777" spans="2:14" ht="1.5" customHeight="1">
      <c r="B777" s="57"/>
      <c r="C777" s="60"/>
      <c r="D777" s="60"/>
      <c r="E777" s="60"/>
      <c r="F777" s="60"/>
      <c r="G777" s="60"/>
      <c r="J777" s="99"/>
      <c r="K777" s="99"/>
      <c r="L777" s="99"/>
      <c r="M777" s="99"/>
      <c r="N777" s="43">
        <f t="shared" si="11"/>
        <v>0</v>
      </c>
    </row>
    <row r="778" spans="2:14" ht="1.5" customHeight="1">
      <c r="B778" s="57"/>
      <c r="C778" s="60"/>
      <c r="D778" s="60"/>
      <c r="E778" s="60"/>
      <c r="F778" s="60"/>
      <c r="G778" s="60"/>
      <c r="J778" s="99"/>
      <c r="K778" s="99"/>
      <c r="L778" s="99"/>
      <c r="M778" s="99"/>
      <c r="N778" s="43">
        <f t="shared" si="11"/>
        <v>0</v>
      </c>
    </row>
    <row r="779" spans="2:14" ht="1.5" customHeight="1">
      <c r="B779" s="57"/>
      <c r="C779" s="60"/>
      <c r="D779" s="60"/>
      <c r="E779" s="60"/>
      <c r="F779" s="60"/>
      <c r="G779" s="60"/>
      <c r="J779" s="99"/>
      <c r="K779" s="99"/>
      <c r="L779" s="99"/>
      <c r="M779" s="99"/>
      <c r="N779" s="43">
        <f t="shared" ref="N779:N811" si="12">IF($L$4=$C$10,C779,IF(D779="","",B779))</f>
        <v>0</v>
      </c>
    </row>
    <row r="780" spans="2:14" ht="1.5" customHeight="1">
      <c r="B780" s="57"/>
      <c r="C780" s="60"/>
      <c r="D780" s="60"/>
      <c r="E780" s="60"/>
      <c r="F780" s="60"/>
      <c r="G780" s="60"/>
      <c r="J780" s="99"/>
      <c r="K780" s="99"/>
      <c r="L780" s="99"/>
      <c r="M780" s="99"/>
      <c r="N780" s="43">
        <f t="shared" si="12"/>
        <v>0</v>
      </c>
    </row>
    <row r="781" spans="2:14" ht="1.5" customHeight="1">
      <c r="B781" s="57"/>
      <c r="C781" s="60"/>
      <c r="D781" s="60"/>
      <c r="E781" s="60"/>
      <c r="F781" s="60"/>
      <c r="G781" s="60"/>
      <c r="J781" s="99"/>
      <c r="K781" s="99"/>
      <c r="L781" s="99"/>
      <c r="M781" s="99"/>
      <c r="N781" s="43">
        <f t="shared" si="12"/>
        <v>0</v>
      </c>
    </row>
    <row r="782" spans="2:14" ht="1.5" customHeight="1">
      <c r="B782" s="57"/>
      <c r="C782" s="60"/>
      <c r="D782" s="60"/>
      <c r="E782" s="60"/>
      <c r="F782" s="60"/>
      <c r="G782" s="60"/>
      <c r="J782" s="99"/>
      <c r="K782" s="99"/>
      <c r="L782" s="99"/>
      <c r="M782" s="99"/>
      <c r="N782" s="43">
        <f t="shared" si="12"/>
        <v>0</v>
      </c>
    </row>
    <row r="783" spans="2:14" ht="1.5" customHeight="1">
      <c r="B783" s="57"/>
      <c r="C783" s="60"/>
      <c r="D783" s="60"/>
      <c r="E783" s="60"/>
      <c r="F783" s="60"/>
      <c r="G783" s="60"/>
      <c r="J783" s="99"/>
      <c r="K783" s="99"/>
      <c r="L783" s="99"/>
      <c r="M783" s="99"/>
      <c r="N783" s="43">
        <f t="shared" si="12"/>
        <v>0</v>
      </c>
    </row>
    <row r="784" spans="2:14" ht="1.5" customHeight="1">
      <c r="B784" s="57"/>
      <c r="C784" s="60"/>
      <c r="D784" s="60"/>
      <c r="E784" s="60"/>
      <c r="F784" s="60"/>
      <c r="G784" s="60"/>
      <c r="J784" s="99"/>
      <c r="K784" s="99"/>
      <c r="L784" s="99"/>
      <c r="M784" s="99"/>
      <c r="N784" s="43">
        <f t="shared" si="12"/>
        <v>0</v>
      </c>
    </row>
    <row r="785" spans="2:14" ht="1.5" customHeight="1">
      <c r="B785" s="57"/>
      <c r="C785" s="60"/>
      <c r="D785" s="60"/>
      <c r="E785" s="60"/>
      <c r="F785" s="60"/>
      <c r="G785" s="60"/>
      <c r="J785" s="99"/>
      <c r="K785" s="99"/>
      <c r="L785" s="99"/>
      <c r="M785" s="99"/>
      <c r="N785" s="43">
        <f t="shared" si="12"/>
        <v>0</v>
      </c>
    </row>
    <row r="786" spans="2:14" ht="1.5" customHeight="1">
      <c r="B786" s="57"/>
      <c r="C786" s="60"/>
      <c r="D786" s="60"/>
      <c r="E786" s="60"/>
      <c r="F786" s="60"/>
      <c r="G786" s="60"/>
      <c r="J786" s="99"/>
      <c r="K786" s="99"/>
      <c r="L786" s="99"/>
      <c r="M786" s="99"/>
      <c r="N786" s="43">
        <f t="shared" si="12"/>
        <v>0</v>
      </c>
    </row>
    <row r="787" spans="2:14" ht="1.5" customHeight="1">
      <c r="B787" s="57"/>
      <c r="C787" s="60"/>
      <c r="D787" s="60"/>
      <c r="E787" s="60"/>
      <c r="F787" s="60"/>
      <c r="G787" s="60"/>
      <c r="J787" s="99"/>
      <c r="K787" s="99"/>
      <c r="L787" s="99"/>
      <c r="M787" s="99"/>
      <c r="N787" s="43">
        <f t="shared" si="12"/>
        <v>0</v>
      </c>
    </row>
    <row r="788" spans="2:14" ht="1.5" customHeight="1">
      <c r="B788" s="57"/>
      <c r="C788" s="60"/>
      <c r="D788" s="60"/>
      <c r="E788" s="60"/>
      <c r="F788" s="60"/>
      <c r="G788" s="60"/>
      <c r="J788" s="99"/>
      <c r="K788" s="99"/>
      <c r="L788" s="99"/>
      <c r="M788" s="99"/>
      <c r="N788" s="43">
        <f t="shared" si="12"/>
        <v>0</v>
      </c>
    </row>
    <row r="789" spans="2:14" ht="1.5" customHeight="1">
      <c r="B789" s="57"/>
      <c r="C789" s="60"/>
      <c r="D789" s="60"/>
      <c r="E789" s="60"/>
      <c r="F789" s="60"/>
      <c r="G789" s="60"/>
      <c r="J789" s="99"/>
      <c r="K789" s="99"/>
      <c r="L789" s="99"/>
      <c r="M789" s="99"/>
      <c r="N789" s="43">
        <f t="shared" si="12"/>
        <v>0</v>
      </c>
    </row>
    <row r="790" spans="2:14" ht="1.5" customHeight="1">
      <c r="B790" s="57"/>
      <c r="C790" s="60"/>
      <c r="D790" s="60"/>
      <c r="E790" s="60"/>
      <c r="F790" s="60"/>
      <c r="G790" s="60"/>
      <c r="J790" s="99"/>
      <c r="K790" s="99"/>
      <c r="L790" s="99"/>
      <c r="M790" s="99"/>
      <c r="N790" s="43">
        <f t="shared" si="12"/>
        <v>0</v>
      </c>
    </row>
    <row r="791" spans="2:14" ht="1.5" customHeight="1">
      <c r="B791" s="57"/>
      <c r="C791" s="60"/>
      <c r="D791" s="60"/>
      <c r="E791" s="60"/>
      <c r="F791" s="60"/>
      <c r="G791" s="60"/>
      <c r="J791" s="99"/>
      <c r="K791" s="99"/>
      <c r="L791" s="99"/>
      <c r="M791" s="99"/>
      <c r="N791" s="43">
        <f t="shared" si="12"/>
        <v>0</v>
      </c>
    </row>
    <row r="792" spans="2:14" ht="1.5" customHeight="1">
      <c r="B792" s="57"/>
      <c r="C792" s="60"/>
      <c r="D792" s="60"/>
      <c r="E792" s="60"/>
      <c r="F792" s="60"/>
      <c r="G792" s="60"/>
      <c r="J792" s="99"/>
      <c r="K792" s="99"/>
      <c r="L792" s="99"/>
      <c r="M792" s="99"/>
      <c r="N792" s="43">
        <f t="shared" si="12"/>
        <v>0</v>
      </c>
    </row>
    <row r="793" spans="2:14" ht="1.5" customHeight="1">
      <c r="B793" s="57"/>
      <c r="C793" s="60"/>
      <c r="D793" s="60"/>
      <c r="E793" s="60"/>
      <c r="F793" s="60"/>
      <c r="G793" s="60"/>
      <c r="J793" s="99"/>
      <c r="K793" s="99"/>
      <c r="L793" s="99"/>
      <c r="M793" s="99"/>
      <c r="N793" s="43">
        <f t="shared" si="12"/>
        <v>0</v>
      </c>
    </row>
    <row r="794" spans="2:14" ht="1.5" customHeight="1">
      <c r="B794" s="57"/>
      <c r="C794" s="60"/>
      <c r="D794" s="60"/>
      <c r="E794" s="60"/>
      <c r="F794" s="60"/>
      <c r="G794" s="60"/>
      <c r="J794" s="99"/>
      <c r="K794" s="99"/>
      <c r="L794" s="99"/>
      <c r="M794" s="99"/>
      <c r="N794" s="43">
        <f t="shared" si="12"/>
        <v>0</v>
      </c>
    </row>
    <row r="795" spans="2:14" ht="1.5" customHeight="1">
      <c r="B795" s="57"/>
      <c r="C795" s="60"/>
      <c r="D795" s="60"/>
      <c r="E795" s="60"/>
      <c r="F795" s="60"/>
      <c r="G795" s="60"/>
      <c r="J795" s="99"/>
      <c r="K795" s="99"/>
      <c r="L795" s="99"/>
      <c r="M795" s="99"/>
      <c r="N795" s="43">
        <f t="shared" si="12"/>
        <v>0</v>
      </c>
    </row>
    <row r="796" spans="2:14" ht="1.5" customHeight="1">
      <c r="B796" s="57"/>
      <c r="C796" s="60"/>
      <c r="D796" s="60"/>
      <c r="E796" s="60"/>
      <c r="F796" s="60"/>
      <c r="G796" s="60"/>
      <c r="J796" s="99"/>
      <c r="K796" s="99"/>
      <c r="L796" s="99"/>
      <c r="M796" s="99"/>
      <c r="N796" s="43">
        <f t="shared" si="12"/>
        <v>0</v>
      </c>
    </row>
    <row r="797" spans="2:14" ht="1.5" customHeight="1">
      <c r="B797" s="57"/>
      <c r="C797" s="60"/>
      <c r="D797" s="60"/>
      <c r="E797" s="60"/>
      <c r="F797" s="60"/>
      <c r="G797" s="60"/>
      <c r="J797" s="99"/>
      <c r="K797" s="99"/>
      <c r="L797" s="99"/>
      <c r="M797" s="99"/>
      <c r="N797" s="43">
        <f t="shared" si="12"/>
        <v>0</v>
      </c>
    </row>
    <row r="798" spans="2:14" ht="1.5" customHeight="1">
      <c r="B798" s="57"/>
      <c r="C798" s="60"/>
      <c r="D798" s="60"/>
      <c r="E798" s="60"/>
      <c r="F798" s="60"/>
      <c r="G798" s="60"/>
      <c r="J798" s="99"/>
      <c r="K798" s="99"/>
      <c r="L798" s="99"/>
      <c r="M798" s="99"/>
      <c r="N798" s="43">
        <f t="shared" si="12"/>
        <v>0</v>
      </c>
    </row>
    <row r="799" spans="2:14" ht="1.5" customHeight="1">
      <c r="B799" s="57"/>
      <c r="C799" s="60"/>
      <c r="D799" s="60"/>
      <c r="E799" s="60"/>
      <c r="F799" s="60"/>
      <c r="G799" s="60"/>
      <c r="J799" s="99"/>
      <c r="K799" s="99"/>
      <c r="L799" s="99"/>
      <c r="M799" s="99"/>
      <c r="N799" s="43">
        <f t="shared" si="12"/>
        <v>0</v>
      </c>
    </row>
    <row r="800" spans="2:14" ht="1.5" customHeight="1">
      <c r="B800" s="57"/>
      <c r="C800" s="60"/>
      <c r="D800" s="60"/>
      <c r="E800" s="60"/>
      <c r="F800" s="60"/>
      <c r="G800" s="60"/>
      <c r="J800" s="99"/>
      <c r="K800" s="99"/>
      <c r="L800" s="99"/>
      <c r="M800" s="99"/>
      <c r="N800" s="43">
        <f t="shared" si="12"/>
        <v>0</v>
      </c>
    </row>
    <row r="801" spans="2:14" ht="1.5" customHeight="1">
      <c r="B801" s="57"/>
      <c r="C801" s="60"/>
      <c r="D801" s="60"/>
      <c r="E801" s="60"/>
      <c r="F801" s="60"/>
      <c r="G801" s="60"/>
      <c r="J801" s="99"/>
      <c r="K801" s="99"/>
      <c r="L801" s="99"/>
      <c r="M801" s="99"/>
      <c r="N801" s="43">
        <f t="shared" si="12"/>
        <v>0</v>
      </c>
    </row>
    <row r="802" spans="2:14" ht="1.5" customHeight="1">
      <c r="B802" s="57"/>
      <c r="C802" s="60"/>
      <c r="D802" s="60"/>
      <c r="E802" s="60"/>
      <c r="F802" s="60"/>
      <c r="G802" s="60"/>
      <c r="J802" s="99"/>
      <c r="K802" s="99"/>
      <c r="L802" s="99"/>
      <c r="M802" s="99"/>
      <c r="N802" s="43">
        <f t="shared" si="12"/>
        <v>0</v>
      </c>
    </row>
    <row r="803" spans="2:14" ht="1.5" customHeight="1">
      <c r="B803" s="57"/>
      <c r="C803" s="60"/>
      <c r="D803" s="60"/>
      <c r="E803" s="60"/>
      <c r="F803" s="60"/>
      <c r="G803" s="60"/>
      <c r="J803" s="99"/>
      <c r="K803" s="99"/>
      <c r="L803" s="99"/>
      <c r="M803" s="99"/>
      <c r="N803" s="43">
        <f t="shared" si="12"/>
        <v>0</v>
      </c>
    </row>
    <row r="804" spans="2:14" ht="1.5" customHeight="1">
      <c r="B804" s="57"/>
      <c r="C804" s="60"/>
      <c r="D804" s="60"/>
      <c r="E804" s="60"/>
      <c r="F804" s="60"/>
      <c r="G804" s="60"/>
      <c r="J804" s="99"/>
      <c r="K804" s="99"/>
      <c r="L804" s="99"/>
      <c r="M804" s="99"/>
      <c r="N804" s="43">
        <f t="shared" si="12"/>
        <v>0</v>
      </c>
    </row>
    <row r="805" spans="2:14" ht="1.5" customHeight="1">
      <c r="B805" s="57"/>
      <c r="C805" s="60"/>
      <c r="D805" s="60"/>
      <c r="E805" s="60"/>
      <c r="F805" s="60"/>
      <c r="G805" s="60"/>
      <c r="J805" s="99"/>
      <c r="K805" s="99"/>
      <c r="L805" s="99"/>
      <c r="M805" s="99"/>
      <c r="N805" s="43">
        <f t="shared" si="12"/>
        <v>0</v>
      </c>
    </row>
    <row r="806" spans="2:14" ht="1.5" customHeight="1">
      <c r="B806" s="57"/>
      <c r="C806" s="60"/>
      <c r="D806" s="60"/>
      <c r="E806" s="60"/>
      <c r="F806" s="60"/>
      <c r="G806" s="60"/>
      <c r="J806" s="99"/>
      <c r="K806" s="99"/>
      <c r="L806" s="99"/>
      <c r="M806" s="99"/>
      <c r="N806" s="43">
        <f t="shared" si="12"/>
        <v>0</v>
      </c>
    </row>
    <row r="807" spans="2:14" ht="1.5" customHeight="1">
      <c r="B807" s="57"/>
      <c r="C807" s="60"/>
      <c r="D807" s="60"/>
      <c r="E807" s="60"/>
      <c r="F807" s="60"/>
      <c r="G807" s="60"/>
      <c r="J807" s="99"/>
      <c r="K807" s="99"/>
      <c r="L807" s="99"/>
      <c r="M807" s="99"/>
      <c r="N807" s="43">
        <f t="shared" si="12"/>
        <v>0</v>
      </c>
    </row>
    <row r="808" spans="2:14" ht="1.5" customHeight="1">
      <c r="B808" s="57"/>
      <c r="C808" s="60"/>
      <c r="D808" s="60"/>
      <c r="E808" s="60"/>
      <c r="F808" s="60"/>
      <c r="G808" s="60"/>
      <c r="J808" s="99"/>
      <c r="K808" s="99"/>
      <c r="L808" s="99"/>
      <c r="M808" s="99"/>
      <c r="N808" s="43">
        <f t="shared" si="12"/>
        <v>0</v>
      </c>
    </row>
    <row r="809" spans="2:14" ht="1.5" customHeight="1">
      <c r="B809" s="57"/>
      <c r="C809" s="60"/>
      <c r="D809" s="60"/>
      <c r="E809" s="60"/>
      <c r="F809" s="60"/>
      <c r="G809" s="60"/>
      <c r="J809" s="99"/>
      <c r="K809" s="99"/>
      <c r="L809" s="99"/>
      <c r="M809" s="99"/>
      <c r="N809" s="43">
        <f t="shared" si="12"/>
        <v>0</v>
      </c>
    </row>
    <row r="810" spans="2:14" ht="1.5" customHeight="1">
      <c r="B810" s="57"/>
      <c r="C810" s="60"/>
      <c r="D810" s="60"/>
      <c r="E810" s="60"/>
      <c r="F810" s="60"/>
      <c r="G810" s="60"/>
      <c r="J810" s="99"/>
      <c r="K810" s="99"/>
      <c r="L810" s="99"/>
      <c r="M810" s="99"/>
      <c r="N810" s="43">
        <f t="shared" si="12"/>
        <v>0</v>
      </c>
    </row>
    <row r="811" spans="2:14" ht="1.5" customHeight="1">
      <c r="B811" s="57"/>
      <c r="C811" s="60"/>
      <c r="D811" s="60"/>
      <c r="E811" s="60"/>
      <c r="F811" s="60"/>
      <c r="G811" s="60"/>
      <c r="J811" s="99"/>
      <c r="K811" s="99"/>
      <c r="L811" s="99"/>
      <c r="M811" s="99"/>
      <c r="N811" s="43">
        <f t="shared" si="12"/>
        <v>0</v>
      </c>
    </row>
    <row r="812" spans="2:14" ht="12.6" customHeight="1">
      <c r="B812" s="57"/>
      <c r="C812" s="60"/>
      <c r="D812" s="60"/>
      <c r="E812" s="60"/>
      <c r="F812" s="60"/>
      <c r="G812" s="60"/>
      <c r="J812" s="99"/>
      <c r="K812" s="99"/>
      <c r="L812" s="99"/>
      <c r="M812" s="99"/>
      <c r="N812" s="43"/>
    </row>
    <row r="813" spans="2:14" ht="12.6" customHeight="1"/>
  </sheetData>
  <mergeCells count="1641">
    <mergeCell ref="J811:K811"/>
    <mergeCell ref="L811:M811"/>
    <mergeCell ref="J812:K812"/>
    <mergeCell ref="L812:M812"/>
    <mergeCell ref="J808:K808"/>
    <mergeCell ref="L808:M808"/>
    <mergeCell ref="J809:K809"/>
    <mergeCell ref="L809:M809"/>
    <mergeCell ref="J810:K810"/>
    <mergeCell ref="L810:M810"/>
    <mergeCell ref="J805:K805"/>
    <mergeCell ref="L805:M805"/>
    <mergeCell ref="J806:K806"/>
    <mergeCell ref="L806:M806"/>
    <mergeCell ref="J807:K807"/>
    <mergeCell ref="L807:M807"/>
    <mergeCell ref="J802:K802"/>
    <mergeCell ref="L802:M802"/>
    <mergeCell ref="J803:K803"/>
    <mergeCell ref="L803:M803"/>
    <mergeCell ref="J804:K804"/>
    <mergeCell ref="L804:M804"/>
    <mergeCell ref="J799:K799"/>
    <mergeCell ref="L799:M799"/>
    <mergeCell ref="J800:K800"/>
    <mergeCell ref="L800:M800"/>
    <mergeCell ref="J801:K801"/>
    <mergeCell ref="L801:M801"/>
    <mergeCell ref="J796:K796"/>
    <mergeCell ref="L796:M796"/>
    <mergeCell ref="J797:K797"/>
    <mergeCell ref="L797:M797"/>
    <mergeCell ref="J798:K798"/>
    <mergeCell ref="L798:M798"/>
    <mergeCell ref="J793:K793"/>
    <mergeCell ref="L793:M793"/>
    <mergeCell ref="J794:K794"/>
    <mergeCell ref="L794:M794"/>
    <mergeCell ref="J795:K795"/>
    <mergeCell ref="L795:M795"/>
    <mergeCell ref="J790:K790"/>
    <mergeCell ref="L790:M790"/>
    <mergeCell ref="J791:K791"/>
    <mergeCell ref="L791:M791"/>
    <mergeCell ref="J792:K792"/>
    <mergeCell ref="L792:M792"/>
    <mergeCell ref="J787:K787"/>
    <mergeCell ref="L787:M787"/>
    <mergeCell ref="J788:K788"/>
    <mergeCell ref="L788:M788"/>
    <mergeCell ref="J789:K789"/>
    <mergeCell ref="L789:M789"/>
    <mergeCell ref="J784:K784"/>
    <mergeCell ref="L784:M784"/>
    <mergeCell ref="J785:K785"/>
    <mergeCell ref="L785:M785"/>
    <mergeCell ref="J786:K786"/>
    <mergeCell ref="L786:M786"/>
    <mergeCell ref="J781:K781"/>
    <mergeCell ref="L781:M781"/>
    <mergeCell ref="J782:K782"/>
    <mergeCell ref="L782:M782"/>
    <mergeCell ref="J783:K783"/>
    <mergeCell ref="L783:M783"/>
    <mergeCell ref="J778:K778"/>
    <mergeCell ref="L778:M778"/>
    <mergeCell ref="J779:K779"/>
    <mergeCell ref="L779:M779"/>
    <mergeCell ref="J780:K780"/>
    <mergeCell ref="L780:M780"/>
    <mergeCell ref="J775:K775"/>
    <mergeCell ref="L775:M775"/>
    <mergeCell ref="J776:K776"/>
    <mergeCell ref="L776:M776"/>
    <mergeCell ref="J777:K777"/>
    <mergeCell ref="L777:M777"/>
    <mergeCell ref="J772:K772"/>
    <mergeCell ref="L772:M772"/>
    <mergeCell ref="J773:K773"/>
    <mergeCell ref="L773:M773"/>
    <mergeCell ref="J774:K774"/>
    <mergeCell ref="L774:M774"/>
    <mergeCell ref="J769:K769"/>
    <mergeCell ref="L769:M769"/>
    <mergeCell ref="J770:K770"/>
    <mergeCell ref="L770:M770"/>
    <mergeCell ref="J771:K771"/>
    <mergeCell ref="L771:M771"/>
    <mergeCell ref="J766:K766"/>
    <mergeCell ref="L766:M766"/>
    <mergeCell ref="J767:K767"/>
    <mergeCell ref="L767:M767"/>
    <mergeCell ref="J768:K768"/>
    <mergeCell ref="L768:M768"/>
    <mergeCell ref="J763:K763"/>
    <mergeCell ref="L763:M763"/>
    <mergeCell ref="J764:K764"/>
    <mergeCell ref="L764:M764"/>
    <mergeCell ref="J765:K765"/>
    <mergeCell ref="L765:M765"/>
    <mergeCell ref="J760:K760"/>
    <mergeCell ref="L760:M760"/>
    <mergeCell ref="J761:K761"/>
    <mergeCell ref="L761:M761"/>
    <mergeCell ref="J762:K762"/>
    <mergeCell ref="L762:M762"/>
    <mergeCell ref="J757:K757"/>
    <mergeCell ref="L757:M757"/>
    <mergeCell ref="J758:K758"/>
    <mergeCell ref="L758:M758"/>
    <mergeCell ref="J759:K759"/>
    <mergeCell ref="L759:M759"/>
    <mergeCell ref="J754:K754"/>
    <mergeCell ref="L754:M754"/>
    <mergeCell ref="J755:K755"/>
    <mergeCell ref="L755:M755"/>
    <mergeCell ref="J756:K756"/>
    <mergeCell ref="L756:M756"/>
    <mergeCell ref="J751:K751"/>
    <mergeCell ref="L751:M751"/>
    <mergeCell ref="J752:K752"/>
    <mergeCell ref="L752:M752"/>
    <mergeCell ref="J753:K753"/>
    <mergeCell ref="L753:M753"/>
    <mergeCell ref="J748:K748"/>
    <mergeCell ref="L748:M748"/>
    <mergeCell ref="J749:K749"/>
    <mergeCell ref="L749:M749"/>
    <mergeCell ref="J750:K750"/>
    <mergeCell ref="L750:M750"/>
    <mergeCell ref="J745:K745"/>
    <mergeCell ref="L745:M745"/>
    <mergeCell ref="J746:K746"/>
    <mergeCell ref="L746:M746"/>
    <mergeCell ref="J747:K747"/>
    <mergeCell ref="L747:M747"/>
    <mergeCell ref="J742:K742"/>
    <mergeCell ref="L742:M742"/>
    <mergeCell ref="J743:K743"/>
    <mergeCell ref="L743:M743"/>
    <mergeCell ref="J744:K744"/>
    <mergeCell ref="L744:M744"/>
    <mergeCell ref="J739:K739"/>
    <mergeCell ref="L739:M739"/>
    <mergeCell ref="J740:K740"/>
    <mergeCell ref="L740:M740"/>
    <mergeCell ref="J741:K741"/>
    <mergeCell ref="L741:M741"/>
    <mergeCell ref="J736:K736"/>
    <mergeCell ref="L736:M736"/>
    <mergeCell ref="J737:K737"/>
    <mergeCell ref="L737:M737"/>
    <mergeCell ref="J738:K738"/>
    <mergeCell ref="L738:M738"/>
    <mergeCell ref="J733:K733"/>
    <mergeCell ref="L733:M733"/>
    <mergeCell ref="J734:K734"/>
    <mergeCell ref="L734:M734"/>
    <mergeCell ref="J735:K735"/>
    <mergeCell ref="L735:M735"/>
    <mergeCell ref="J730:K730"/>
    <mergeCell ref="L730:M730"/>
    <mergeCell ref="J731:K731"/>
    <mergeCell ref="L731:M731"/>
    <mergeCell ref="J732:K732"/>
    <mergeCell ref="L732:M732"/>
    <mergeCell ref="J727:K727"/>
    <mergeCell ref="L727:M727"/>
    <mergeCell ref="J728:K728"/>
    <mergeCell ref="L728:M728"/>
    <mergeCell ref="J729:K729"/>
    <mergeCell ref="L729:M729"/>
    <mergeCell ref="J724:K724"/>
    <mergeCell ref="L724:M724"/>
    <mergeCell ref="J725:K725"/>
    <mergeCell ref="L725:M725"/>
    <mergeCell ref="J726:K726"/>
    <mergeCell ref="L726:M726"/>
    <mergeCell ref="J721:K721"/>
    <mergeCell ref="L721:M721"/>
    <mergeCell ref="J722:K722"/>
    <mergeCell ref="L722:M722"/>
    <mergeCell ref="J723:K723"/>
    <mergeCell ref="L723:M723"/>
    <mergeCell ref="J718:K718"/>
    <mergeCell ref="L718:M718"/>
    <mergeCell ref="J719:K719"/>
    <mergeCell ref="L719:M719"/>
    <mergeCell ref="J720:K720"/>
    <mergeCell ref="L720:M720"/>
    <mergeCell ref="J715:K715"/>
    <mergeCell ref="L715:M715"/>
    <mergeCell ref="J716:K716"/>
    <mergeCell ref="L716:M716"/>
    <mergeCell ref="J717:K717"/>
    <mergeCell ref="L717:M717"/>
    <mergeCell ref="J712:K712"/>
    <mergeCell ref="L712:M712"/>
    <mergeCell ref="J713:K713"/>
    <mergeCell ref="L713:M713"/>
    <mergeCell ref="J714:K714"/>
    <mergeCell ref="L714:M714"/>
    <mergeCell ref="J709:K709"/>
    <mergeCell ref="L709:M709"/>
    <mergeCell ref="J710:K710"/>
    <mergeCell ref="L710:M710"/>
    <mergeCell ref="J711:K711"/>
    <mergeCell ref="L711:M711"/>
    <mergeCell ref="J706:K706"/>
    <mergeCell ref="L706:M706"/>
    <mergeCell ref="J707:K707"/>
    <mergeCell ref="L707:M707"/>
    <mergeCell ref="J708:K708"/>
    <mergeCell ref="L708:M708"/>
    <mergeCell ref="J703:K703"/>
    <mergeCell ref="L703:M703"/>
    <mergeCell ref="J704:K704"/>
    <mergeCell ref="L704:M704"/>
    <mergeCell ref="J705:K705"/>
    <mergeCell ref="L705:M705"/>
    <mergeCell ref="J700:K700"/>
    <mergeCell ref="L700:M700"/>
    <mergeCell ref="J701:K701"/>
    <mergeCell ref="L701:M701"/>
    <mergeCell ref="J702:K702"/>
    <mergeCell ref="L702:M702"/>
    <mergeCell ref="J697:K697"/>
    <mergeCell ref="L697:M697"/>
    <mergeCell ref="J698:K698"/>
    <mergeCell ref="L698:M698"/>
    <mergeCell ref="J699:K699"/>
    <mergeCell ref="L699:M699"/>
    <mergeCell ref="J694:K694"/>
    <mergeCell ref="L694:M694"/>
    <mergeCell ref="J695:K695"/>
    <mergeCell ref="L695:M695"/>
    <mergeCell ref="J696:K696"/>
    <mergeCell ref="L696:M696"/>
    <mergeCell ref="J691:K691"/>
    <mergeCell ref="L691:M691"/>
    <mergeCell ref="J692:K692"/>
    <mergeCell ref="L692:M692"/>
    <mergeCell ref="J693:K693"/>
    <mergeCell ref="L693:M693"/>
    <mergeCell ref="J688:K688"/>
    <mergeCell ref="L688:M688"/>
    <mergeCell ref="J689:K689"/>
    <mergeCell ref="L689:M689"/>
    <mergeCell ref="J690:K690"/>
    <mergeCell ref="L690:M690"/>
    <mergeCell ref="J685:K685"/>
    <mergeCell ref="L685:M685"/>
    <mergeCell ref="J686:K686"/>
    <mergeCell ref="L686:M686"/>
    <mergeCell ref="J687:K687"/>
    <mergeCell ref="L687:M687"/>
    <mergeCell ref="J682:K682"/>
    <mergeCell ref="L682:M682"/>
    <mergeCell ref="J683:K683"/>
    <mergeCell ref="L683:M683"/>
    <mergeCell ref="J684:K684"/>
    <mergeCell ref="L684:M684"/>
    <mergeCell ref="J679:K679"/>
    <mergeCell ref="L679:M679"/>
    <mergeCell ref="J680:K680"/>
    <mergeCell ref="L680:M680"/>
    <mergeCell ref="J681:K681"/>
    <mergeCell ref="L681:M681"/>
    <mergeCell ref="J676:K676"/>
    <mergeCell ref="L676:M676"/>
    <mergeCell ref="J677:K677"/>
    <mergeCell ref="L677:M677"/>
    <mergeCell ref="J678:K678"/>
    <mergeCell ref="L678:M678"/>
    <mergeCell ref="J673:K673"/>
    <mergeCell ref="L673:M673"/>
    <mergeCell ref="J674:K674"/>
    <mergeCell ref="L674:M674"/>
    <mergeCell ref="J675:K675"/>
    <mergeCell ref="L675:M675"/>
    <mergeCell ref="J670:K670"/>
    <mergeCell ref="L670:M670"/>
    <mergeCell ref="J671:K671"/>
    <mergeCell ref="L671:M671"/>
    <mergeCell ref="J672:K672"/>
    <mergeCell ref="L672:M672"/>
    <mergeCell ref="J667:K667"/>
    <mergeCell ref="L667:M667"/>
    <mergeCell ref="J668:K668"/>
    <mergeCell ref="L668:M668"/>
    <mergeCell ref="J669:K669"/>
    <mergeCell ref="L669:M669"/>
    <mergeCell ref="J664:K664"/>
    <mergeCell ref="L664:M664"/>
    <mergeCell ref="J665:K665"/>
    <mergeCell ref="L665:M665"/>
    <mergeCell ref="J666:K666"/>
    <mergeCell ref="L666:M666"/>
    <mergeCell ref="J661:K661"/>
    <mergeCell ref="L661:M661"/>
    <mergeCell ref="J662:K662"/>
    <mergeCell ref="L662:M662"/>
    <mergeCell ref="J663:K663"/>
    <mergeCell ref="L663:M663"/>
    <mergeCell ref="J658:K658"/>
    <mergeCell ref="L658:M658"/>
    <mergeCell ref="J659:K659"/>
    <mergeCell ref="L659:M659"/>
    <mergeCell ref="J660:K660"/>
    <mergeCell ref="L660:M660"/>
    <mergeCell ref="J655:K655"/>
    <mergeCell ref="L655:M655"/>
    <mergeCell ref="J656:K656"/>
    <mergeCell ref="L656:M656"/>
    <mergeCell ref="J657:K657"/>
    <mergeCell ref="L657:M657"/>
    <mergeCell ref="J652:K652"/>
    <mergeCell ref="L652:M652"/>
    <mergeCell ref="J653:K653"/>
    <mergeCell ref="L653:M653"/>
    <mergeCell ref="J654:K654"/>
    <mergeCell ref="L654:M654"/>
    <mergeCell ref="J649:K649"/>
    <mergeCell ref="L649:M649"/>
    <mergeCell ref="J650:K650"/>
    <mergeCell ref="L650:M650"/>
    <mergeCell ref="J651:K651"/>
    <mergeCell ref="L651:M651"/>
    <mergeCell ref="J646:K646"/>
    <mergeCell ref="L646:M646"/>
    <mergeCell ref="J647:K647"/>
    <mergeCell ref="L647:M647"/>
    <mergeCell ref="J648:K648"/>
    <mergeCell ref="L648:M648"/>
    <mergeCell ref="J643:K643"/>
    <mergeCell ref="L643:M643"/>
    <mergeCell ref="J644:K644"/>
    <mergeCell ref="L644:M644"/>
    <mergeCell ref="J645:K645"/>
    <mergeCell ref="L645:M645"/>
    <mergeCell ref="J640:K640"/>
    <mergeCell ref="L640:M640"/>
    <mergeCell ref="J641:K641"/>
    <mergeCell ref="L641:M641"/>
    <mergeCell ref="J642:K642"/>
    <mergeCell ref="L642:M642"/>
    <mergeCell ref="J637:K637"/>
    <mergeCell ref="L637:M637"/>
    <mergeCell ref="J638:K638"/>
    <mergeCell ref="L638:M638"/>
    <mergeCell ref="J639:K639"/>
    <mergeCell ref="L639:M639"/>
    <mergeCell ref="J634:K634"/>
    <mergeCell ref="L634:M634"/>
    <mergeCell ref="J635:K635"/>
    <mergeCell ref="L635:M635"/>
    <mergeCell ref="J636:K636"/>
    <mergeCell ref="L636:M636"/>
    <mergeCell ref="J631:K631"/>
    <mergeCell ref="L631:M631"/>
    <mergeCell ref="J632:K632"/>
    <mergeCell ref="L632:M632"/>
    <mergeCell ref="J633:K633"/>
    <mergeCell ref="L633:M633"/>
    <mergeCell ref="J628:K628"/>
    <mergeCell ref="L628:M628"/>
    <mergeCell ref="J629:K629"/>
    <mergeCell ref="L629:M629"/>
    <mergeCell ref="J630:K630"/>
    <mergeCell ref="L630:M630"/>
    <mergeCell ref="J625:K625"/>
    <mergeCell ref="L625:M625"/>
    <mergeCell ref="J626:K626"/>
    <mergeCell ref="L626:M626"/>
    <mergeCell ref="J627:K627"/>
    <mergeCell ref="L627:M627"/>
    <mergeCell ref="J622:K622"/>
    <mergeCell ref="L622:M622"/>
    <mergeCell ref="J623:K623"/>
    <mergeCell ref="L623:M623"/>
    <mergeCell ref="J624:K624"/>
    <mergeCell ref="L624:M624"/>
    <mergeCell ref="J619:K619"/>
    <mergeCell ref="L619:M619"/>
    <mergeCell ref="J620:K620"/>
    <mergeCell ref="L620:M620"/>
    <mergeCell ref="J621:K621"/>
    <mergeCell ref="L621:M621"/>
    <mergeCell ref="J616:K616"/>
    <mergeCell ref="L616:M616"/>
    <mergeCell ref="J617:K617"/>
    <mergeCell ref="L617:M617"/>
    <mergeCell ref="J618:K618"/>
    <mergeCell ref="L618:M618"/>
    <mergeCell ref="J613:K613"/>
    <mergeCell ref="L613:M613"/>
    <mergeCell ref="J614:K614"/>
    <mergeCell ref="L614:M614"/>
    <mergeCell ref="J615:K615"/>
    <mergeCell ref="L615:M615"/>
    <mergeCell ref="J610:K610"/>
    <mergeCell ref="L610:M610"/>
    <mergeCell ref="J611:K611"/>
    <mergeCell ref="L611:M611"/>
    <mergeCell ref="J612:K612"/>
    <mergeCell ref="L612:M612"/>
    <mergeCell ref="J607:K607"/>
    <mergeCell ref="L607:M607"/>
    <mergeCell ref="J608:K608"/>
    <mergeCell ref="L608:M608"/>
    <mergeCell ref="J609:K609"/>
    <mergeCell ref="L609:M609"/>
    <mergeCell ref="J604:K604"/>
    <mergeCell ref="L604:M604"/>
    <mergeCell ref="J605:K605"/>
    <mergeCell ref="L605:M605"/>
    <mergeCell ref="J606:K606"/>
    <mergeCell ref="L606:M606"/>
    <mergeCell ref="J601:K601"/>
    <mergeCell ref="L601:M601"/>
    <mergeCell ref="J602:K602"/>
    <mergeCell ref="L602:M602"/>
    <mergeCell ref="J603:K603"/>
    <mergeCell ref="L603:M603"/>
    <mergeCell ref="J598:K598"/>
    <mergeCell ref="L598:M598"/>
    <mergeCell ref="J599:K599"/>
    <mergeCell ref="L599:M599"/>
    <mergeCell ref="J600:K600"/>
    <mergeCell ref="L600:M600"/>
    <mergeCell ref="J595:K595"/>
    <mergeCell ref="L595:M595"/>
    <mergeCell ref="J596:K596"/>
    <mergeCell ref="L596:M596"/>
    <mergeCell ref="J597:K597"/>
    <mergeCell ref="L597:M597"/>
    <mergeCell ref="J592:K592"/>
    <mergeCell ref="L592:M592"/>
    <mergeCell ref="J593:K593"/>
    <mergeCell ref="L593:M593"/>
    <mergeCell ref="J594:K594"/>
    <mergeCell ref="L594:M594"/>
    <mergeCell ref="J589:K589"/>
    <mergeCell ref="L589:M589"/>
    <mergeCell ref="J590:K590"/>
    <mergeCell ref="L590:M590"/>
    <mergeCell ref="J591:K591"/>
    <mergeCell ref="L591:M591"/>
    <mergeCell ref="J586:K586"/>
    <mergeCell ref="L586:M586"/>
    <mergeCell ref="J587:K587"/>
    <mergeCell ref="L587:M587"/>
    <mergeCell ref="J588:K588"/>
    <mergeCell ref="L588:M588"/>
    <mergeCell ref="J583:K583"/>
    <mergeCell ref="L583:M583"/>
    <mergeCell ref="J584:K584"/>
    <mergeCell ref="L584:M584"/>
    <mergeCell ref="J585:K585"/>
    <mergeCell ref="L585:M585"/>
    <mergeCell ref="J580:K580"/>
    <mergeCell ref="L580:M580"/>
    <mergeCell ref="J581:K581"/>
    <mergeCell ref="L581:M581"/>
    <mergeCell ref="J582:K582"/>
    <mergeCell ref="L582:M582"/>
    <mergeCell ref="J577:K577"/>
    <mergeCell ref="L577:M577"/>
    <mergeCell ref="J578:K578"/>
    <mergeCell ref="L578:M578"/>
    <mergeCell ref="J579:K579"/>
    <mergeCell ref="L579:M579"/>
    <mergeCell ref="J574:K574"/>
    <mergeCell ref="L574:M574"/>
    <mergeCell ref="J575:K575"/>
    <mergeCell ref="L575:M575"/>
    <mergeCell ref="J576:K576"/>
    <mergeCell ref="L576:M576"/>
    <mergeCell ref="J571:K571"/>
    <mergeCell ref="L571:M571"/>
    <mergeCell ref="J572:K572"/>
    <mergeCell ref="L572:M572"/>
    <mergeCell ref="J573:K573"/>
    <mergeCell ref="L573:M573"/>
    <mergeCell ref="J568:K568"/>
    <mergeCell ref="L568:M568"/>
    <mergeCell ref="J569:K569"/>
    <mergeCell ref="L569:M569"/>
    <mergeCell ref="J570:K570"/>
    <mergeCell ref="L570:M570"/>
    <mergeCell ref="J565:K565"/>
    <mergeCell ref="L565:M565"/>
    <mergeCell ref="J566:K566"/>
    <mergeCell ref="L566:M566"/>
    <mergeCell ref="J567:K567"/>
    <mergeCell ref="L567:M567"/>
    <mergeCell ref="J562:K562"/>
    <mergeCell ref="L562:M562"/>
    <mergeCell ref="J563:K563"/>
    <mergeCell ref="L563:M563"/>
    <mergeCell ref="J564:K564"/>
    <mergeCell ref="L564:M564"/>
    <mergeCell ref="J559:K559"/>
    <mergeCell ref="L559:M559"/>
    <mergeCell ref="J560:K560"/>
    <mergeCell ref="L560:M560"/>
    <mergeCell ref="J561:K561"/>
    <mergeCell ref="L561:M561"/>
    <mergeCell ref="J556:K556"/>
    <mergeCell ref="L556:M556"/>
    <mergeCell ref="J557:K557"/>
    <mergeCell ref="L557:M557"/>
    <mergeCell ref="J558:K558"/>
    <mergeCell ref="L558:M558"/>
    <mergeCell ref="J553:K553"/>
    <mergeCell ref="L553:M553"/>
    <mergeCell ref="J554:K554"/>
    <mergeCell ref="L554:M554"/>
    <mergeCell ref="J555:K555"/>
    <mergeCell ref="L555:M555"/>
    <mergeCell ref="J550:K550"/>
    <mergeCell ref="L550:M550"/>
    <mergeCell ref="J551:K551"/>
    <mergeCell ref="L551:M551"/>
    <mergeCell ref="J552:K552"/>
    <mergeCell ref="L552:M552"/>
    <mergeCell ref="J547:K547"/>
    <mergeCell ref="L547:M547"/>
    <mergeCell ref="J548:K548"/>
    <mergeCell ref="L548:M548"/>
    <mergeCell ref="J549:K549"/>
    <mergeCell ref="L549:M549"/>
    <mergeCell ref="J544:K544"/>
    <mergeCell ref="L544:M544"/>
    <mergeCell ref="J545:K545"/>
    <mergeCell ref="L545:M545"/>
    <mergeCell ref="J546:K546"/>
    <mergeCell ref="L546:M546"/>
    <mergeCell ref="J541:K541"/>
    <mergeCell ref="L541:M541"/>
    <mergeCell ref="J542:K542"/>
    <mergeCell ref="L542:M542"/>
    <mergeCell ref="J543:K543"/>
    <mergeCell ref="L543:M543"/>
    <mergeCell ref="J538:K538"/>
    <mergeCell ref="L538:M538"/>
    <mergeCell ref="J539:K539"/>
    <mergeCell ref="L539:M539"/>
    <mergeCell ref="J540:K540"/>
    <mergeCell ref="L540:M540"/>
    <mergeCell ref="J535:K535"/>
    <mergeCell ref="L535:M535"/>
    <mergeCell ref="J536:K536"/>
    <mergeCell ref="L536:M536"/>
    <mergeCell ref="J537:K537"/>
    <mergeCell ref="L537:M537"/>
    <mergeCell ref="J532:K532"/>
    <mergeCell ref="L532:M532"/>
    <mergeCell ref="J533:K533"/>
    <mergeCell ref="L533:M533"/>
    <mergeCell ref="J534:K534"/>
    <mergeCell ref="L534:M534"/>
    <mergeCell ref="J529:K529"/>
    <mergeCell ref="L529:M529"/>
    <mergeCell ref="J530:K530"/>
    <mergeCell ref="L530:M530"/>
    <mergeCell ref="J531:K531"/>
    <mergeCell ref="L531:M531"/>
    <mergeCell ref="J526:K526"/>
    <mergeCell ref="L526:M526"/>
    <mergeCell ref="J527:K527"/>
    <mergeCell ref="L527:M527"/>
    <mergeCell ref="J528:K528"/>
    <mergeCell ref="L528:M528"/>
    <mergeCell ref="J523:K523"/>
    <mergeCell ref="L523:M523"/>
    <mergeCell ref="J524:K524"/>
    <mergeCell ref="L524:M524"/>
    <mergeCell ref="J525:K525"/>
    <mergeCell ref="L525:M525"/>
    <mergeCell ref="J520:K520"/>
    <mergeCell ref="L520:M520"/>
    <mergeCell ref="J521:K521"/>
    <mergeCell ref="L521:M521"/>
    <mergeCell ref="J522:K522"/>
    <mergeCell ref="L522:M522"/>
    <mergeCell ref="J517:K517"/>
    <mergeCell ref="L517:M517"/>
    <mergeCell ref="J518:K518"/>
    <mergeCell ref="L518:M518"/>
    <mergeCell ref="J519:K519"/>
    <mergeCell ref="L519:M519"/>
    <mergeCell ref="J514:K514"/>
    <mergeCell ref="L514:M514"/>
    <mergeCell ref="J515:K515"/>
    <mergeCell ref="L515:M515"/>
    <mergeCell ref="J516:K516"/>
    <mergeCell ref="L516:M516"/>
    <mergeCell ref="J511:K511"/>
    <mergeCell ref="L511:M511"/>
    <mergeCell ref="J512:K512"/>
    <mergeCell ref="L512:M512"/>
    <mergeCell ref="J513:K513"/>
    <mergeCell ref="L513:M513"/>
    <mergeCell ref="J508:K508"/>
    <mergeCell ref="L508:M508"/>
    <mergeCell ref="J509:K509"/>
    <mergeCell ref="L509:M509"/>
    <mergeCell ref="J510:K510"/>
    <mergeCell ref="L510:M510"/>
    <mergeCell ref="J505:K505"/>
    <mergeCell ref="L505:M505"/>
    <mergeCell ref="J506:K506"/>
    <mergeCell ref="L506:M506"/>
    <mergeCell ref="J507:K507"/>
    <mergeCell ref="L507:M507"/>
    <mergeCell ref="J502:K502"/>
    <mergeCell ref="L502:M502"/>
    <mergeCell ref="J503:K503"/>
    <mergeCell ref="L503:M503"/>
    <mergeCell ref="J504:K504"/>
    <mergeCell ref="L504:M504"/>
    <mergeCell ref="J499:K499"/>
    <mergeCell ref="L499:M499"/>
    <mergeCell ref="J500:K500"/>
    <mergeCell ref="L500:M500"/>
    <mergeCell ref="J501:K501"/>
    <mergeCell ref="L501:M501"/>
    <mergeCell ref="J496:K496"/>
    <mergeCell ref="L496:M496"/>
    <mergeCell ref="J497:K497"/>
    <mergeCell ref="L497:M497"/>
    <mergeCell ref="J498:K498"/>
    <mergeCell ref="L498:M498"/>
    <mergeCell ref="J493:K493"/>
    <mergeCell ref="L493:M493"/>
    <mergeCell ref="J494:K494"/>
    <mergeCell ref="L494:M494"/>
    <mergeCell ref="J495:K495"/>
    <mergeCell ref="L495:M495"/>
    <mergeCell ref="J490:K490"/>
    <mergeCell ref="L490:M490"/>
    <mergeCell ref="J491:K491"/>
    <mergeCell ref="L491:M491"/>
    <mergeCell ref="J492:K492"/>
    <mergeCell ref="L492:M492"/>
    <mergeCell ref="J487:K487"/>
    <mergeCell ref="L487:M487"/>
    <mergeCell ref="J488:K488"/>
    <mergeCell ref="L488:M488"/>
    <mergeCell ref="J489:K489"/>
    <mergeCell ref="L489:M489"/>
    <mergeCell ref="J484:K484"/>
    <mergeCell ref="L484:M484"/>
    <mergeCell ref="J485:K485"/>
    <mergeCell ref="L485:M485"/>
    <mergeCell ref="J486:K486"/>
    <mergeCell ref="L486:M486"/>
    <mergeCell ref="J481:K481"/>
    <mergeCell ref="L481:M481"/>
    <mergeCell ref="J482:K482"/>
    <mergeCell ref="L482:M482"/>
    <mergeCell ref="J483:K483"/>
    <mergeCell ref="L483:M483"/>
    <mergeCell ref="J478:K478"/>
    <mergeCell ref="L478:M478"/>
    <mergeCell ref="J479:K479"/>
    <mergeCell ref="L479:M479"/>
    <mergeCell ref="J480:K480"/>
    <mergeCell ref="L480:M480"/>
    <mergeCell ref="J475:K475"/>
    <mergeCell ref="L475:M475"/>
    <mergeCell ref="J476:K476"/>
    <mergeCell ref="L476:M476"/>
    <mergeCell ref="J477:K477"/>
    <mergeCell ref="L477:M477"/>
    <mergeCell ref="J472:K472"/>
    <mergeCell ref="L472:M472"/>
    <mergeCell ref="J473:K473"/>
    <mergeCell ref="L473:M473"/>
    <mergeCell ref="J474:K474"/>
    <mergeCell ref="L474:M474"/>
    <mergeCell ref="J469:K469"/>
    <mergeCell ref="L469:M469"/>
    <mergeCell ref="J470:K470"/>
    <mergeCell ref="L470:M470"/>
    <mergeCell ref="J471:K471"/>
    <mergeCell ref="L471:M471"/>
    <mergeCell ref="J466:K466"/>
    <mergeCell ref="L466:M466"/>
    <mergeCell ref="J467:K467"/>
    <mergeCell ref="L467:M467"/>
    <mergeCell ref="J468:K468"/>
    <mergeCell ref="L468:M468"/>
    <mergeCell ref="J463:K463"/>
    <mergeCell ref="L463:M463"/>
    <mergeCell ref="J464:K464"/>
    <mergeCell ref="L464:M464"/>
    <mergeCell ref="J465:K465"/>
    <mergeCell ref="L465:M465"/>
    <mergeCell ref="J460:K460"/>
    <mergeCell ref="L460:M460"/>
    <mergeCell ref="J461:K461"/>
    <mergeCell ref="L461:M461"/>
    <mergeCell ref="J462:K462"/>
    <mergeCell ref="L462:M462"/>
    <mergeCell ref="J457:K457"/>
    <mergeCell ref="L457:M457"/>
    <mergeCell ref="J458:K458"/>
    <mergeCell ref="L458:M458"/>
    <mergeCell ref="J459:K459"/>
    <mergeCell ref="L459:M459"/>
    <mergeCell ref="J454:K454"/>
    <mergeCell ref="L454:M454"/>
    <mergeCell ref="J455:K455"/>
    <mergeCell ref="L455:M455"/>
    <mergeCell ref="J456:K456"/>
    <mergeCell ref="L456:M456"/>
    <mergeCell ref="J451:K451"/>
    <mergeCell ref="L451:M451"/>
    <mergeCell ref="J452:K452"/>
    <mergeCell ref="L452:M452"/>
    <mergeCell ref="J453:K453"/>
    <mergeCell ref="L453:M453"/>
    <mergeCell ref="J448:K448"/>
    <mergeCell ref="L448:M448"/>
    <mergeCell ref="J449:K449"/>
    <mergeCell ref="L449:M449"/>
    <mergeCell ref="J450:K450"/>
    <mergeCell ref="L450:M450"/>
    <mergeCell ref="J445:K445"/>
    <mergeCell ref="L445:M445"/>
    <mergeCell ref="J446:K446"/>
    <mergeCell ref="L446:M446"/>
    <mergeCell ref="J447:K447"/>
    <mergeCell ref="L447:M447"/>
    <mergeCell ref="J442:K442"/>
    <mergeCell ref="L442:M442"/>
    <mergeCell ref="J443:K443"/>
    <mergeCell ref="L443:M443"/>
    <mergeCell ref="J444:K444"/>
    <mergeCell ref="L444:M444"/>
    <mergeCell ref="J439:K439"/>
    <mergeCell ref="L439:M439"/>
    <mergeCell ref="J440:K440"/>
    <mergeCell ref="L440:M440"/>
    <mergeCell ref="J441:K441"/>
    <mergeCell ref="L441:M441"/>
    <mergeCell ref="J436:K436"/>
    <mergeCell ref="L436:M436"/>
    <mergeCell ref="J437:K437"/>
    <mergeCell ref="L437:M437"/>
    <mergeCell ref="J438:K438"/>
    <mergeCell ref="L438:M438"/>
    <mergeCell ref="J433:K433"/>
    <mergeCell ref="L433:M433"/>
    <mergeCell ref="J434:K434"/>
    <mergeCell ref="L434:M434"/>
    <mergeCell ref="J435:K435"/>
    <mergeCell ref="L435:M435"/>
    <mergeCell ref="J430:K430"/>
    <mergeCell ref="L430:M430"/>
    <mergeCell ref="J431:K431"/>
    <mergeCell ref="L431:M431"/>
    <mergeCell ref="J432:K432"/>
    <mergeCell ref="L432:M432"/>
    <mergeCell ref="J427:K427"/>
    <mergeCell ref="L427:M427"/>
    <mergeCell ref="J428:K428"/>
    <mergeCell ref="L428:M428"/>
    <mergeCell ref="J429:K429"/>
    <mergeCell ref="L429:M429"/>
    <mergeCell ref="J424:K424"/>
    <mergeCell ref="L424:M424"/>
    <mergeCell ref="J425:K425"/>
    <mergeCell ref="L425:M425"/>
    <mergeCell ref="J426:K426"/>
    <mergeCell ref="L426:M426"/>
    <mergeCell ref="J421:K421"/>
    <mergeCell ref="L421:M421"/>
    <mergeCell ref="J422:K422"/>
    <mergeCell ref="L422:M422"/>
    <mergeCell ref="J423:K423"/>
    <mergeCell ref="L423:M423"/>
    <mergeCell ref="J418:K418"/>
    <mergeCell ref="L418:M418"/>
    <mergeCell ref="J419:K419"/>
    <mergeCell ref="L419:M419"/>
    <mergeCell ref="J420:K420"/>
    <mergeCell ref="L420:M420"/>
    <mergeCell ref="J415:K415"/>
    <mergeCell ref="L415:M415"/>
    <mergeCell ref="J416:K416"/>
    <mergeCell ref="L416:M416"/>
    <mergeCell ref="J417:K417"/>
    <mergeCell ref="L417:M417"/>
    <mergeCell ref="J412:K412"/>
    <mergeCell ref="L412:M412"/>
    <mergeCell ref="J413:K413"/>
    <mergeCell ref="L413:M413"/>
    <mergeCell ref="J414:K414"/>
    <mergeCell ref="L414:M414"/>
    <mergeCell ref="J409:K409"/>
    <mergeCell ref="L409:M409"/>
    <mergeCell ref="J410:K410"/>
    <mergeCell ref="L410:M410"/>
    <mergeCell ref="J411:K411"/>
    <mergeCell ref="L411:M411"/>
    <mergeCell ref="J406:K406"/>
    <mergeCell ref="L406:M406"/>
    <mergeCell ref="J407:K407"/>
    <mergeCell ref="L407:M407"/>
    <mergeCell ref="J408:K408"/>
    <mergeCell ref="L408:M408"/>
    <mergeCell ref="J403:K403"/>
    <mergeCell ref="L403:M403"/>
    <mergeCell ref="J404:K404"/>
    <mergeCell ref="L404:M404"/>
    <mergeCell ref="J405:K405"/>
    <mergeCell ref="L405:M405"/>
    <mergeCell ref="J400:K400"/>
    <mergeCell ref="L400:M400"/>
    <mergeCell ref="J401:K401"/>
    <mergeCell ref="L401:M401"/>
    <mergeCell ref="J402:K402"/>
    <mergeCell ref="L402:M402"/>
    <mergeCell ref="J397:K397"/>
    <mergeCell ref="L397:M397"/>
    <mergeCell ref="J398:K398"/>
    <mergeCell ref="L398:M398"/>
    <mergeCell ref="J399:K399"/>
    <mergeCell ref="L399:M399"/>
    <mergeCell ref="J394:K394"/>
    <mergeCell ref="L394:M394"/>
    <mergeCell ref="J395:K395"/>
    <mergeCell ref="L395:M395"/>
    <mergeCell ref="J396:K396"/>
    <mergeCell ref="L396:M396"/>
    <mergeCell ref="J391:K391"/>
    <mergeCell ref="L391:M391"/>
    <mergeCell ref="J392:K392"/>
    <mergeCell ref="L392:M392"/>
    <mergeCell ref="J393:K393"/>
    <mergeCell ref="L393:M393"/>
    <mergeCell ref="J388:K388"/>
    <mergeCell ref="L388:M388"/>
    <mergeCell ref="J389:K389"/>
    <mergeCell ref="L389:M389"/>
    <mergeCell ref="J390:K390"/>
    <mergeCell ref="L390:M390"/>
    <mergeCell ref="J385:K385"/>
    <mergeCell ref="L385:M385"/>
    <mergeCell ref="J386:K386"/>
    <mergeCell ref="L386:M386"/>
    <mergeCell ref="J387:K387"/>
    <mergeCell ref="L387:M387"/>
    <mergeCell ref="J382:K382"/>
    <mergeCell ref="L382:M382"/>
    <mergeCell ref="J383:K383"/>
    <mergeCell ref="L383:M383"/>
    <mergeCell ref="J384:K384"/>
    <mergeCell ref="L384:M384"/>
    <mergeCell ref="J379:K379"/>
    <mergeCell ref="L379:M379"/>
    <mergeCell ref="J380:K380"/>
    <mergeCell ref="L380:M380"/>
    <mergeCell ref="J381:K381"/>
    <mergeCell ref="L381:M381"/>
    <mergeCell ref="J376:K376"/>
    <mergeCell ref="L376:M376"/>
    <mergeCell ref="J377:K377"/>
    <mergeCell ref="L377:M377"/>
    <mergeCell ref="J378:K378"/>
    <mergeCell ref="L378:M378"/>
    <mergeCell ref="J373:K373"/>
    <mergeCell ref="L373:M373"/>
    <mergeCell ref="J374:K374"/>
    <mergeCell ref="L374:M374"/>
    <mergeCell ref="J375:K375"/>
    <mergeCell ref="L375:M375"/>
    <mergeCell ref="J370:K370"/>
    <mergeCell ref="L370:M370"/>
    <mergeCell ref="J371:K371"/>
    <mergeCell ref="L371:M371"/>
    <mergeCell ref="J372:K372"/>
    <mergeCell ref="L372:M372"/>
    <mergeCell ref="J367:K367"/>
    <mergeCell ref="L367:M367"/>
    <mergeCell ref="J368:K368"/>
    <mergeCell ref="L368:M368"/>
    <mergeCell ref="J369:K369"/>
    <mergeCell ref="L369:M369"/>
    <mergeCell ref="J364:K364"/>
    <mergeCell ref="L364:M364"/>
    <mergeCell ref="J365:K365"/>
    <mergeCell ref="L365:M365"/>
    <mergeCell ref="J366:K366"/>
    <mergeCell ref="L366:M366"/>
    <mergeCell ref="J361:K361"/>
    <mergeCell ref="L361:M361"/>
    <mergeCell ref="J362:K362"/>
    <mergeCell ref="L362:M362"/>
    <mergeCell ref="J363:K363"/>
    <mergeCell ref="L363:M363"/>
    <mergeCell ref="J358:K358"/>
    <mergeCell ref="L358:M358"/>
    <mergeCell ref="J359:K359"/>
    <mergeCell ref="L359:M359"/>
    <mergeCell ref="J360:K360"/>
    <mergeCell ref="L360:M360"/>
    <mergeCell ref="J355:K355"/>
    <mergeCell ref="L355:M355"/>
    <mergeCell ref="J356:K356"/>
    <mergeCell ref="L356:M356"/>
    <mergeCell ref="J357:K357"/>
    <mergeCell ref="L357:M357"/>
    <mergeCell ref="J352:K352"/>
    <mergeCell ref="L352:M352"/>
    <mergeCell ref="J353:K353"/>
    <mergeCell ref="L353:M353"/>
    <mergeCell ref="J354:K354"/>
    <mergeCell ref="L354:M354"/>
    <mergeCell ref="J349:K349"/>
    <mergeCell ref="L349:M349"/>
    <mergeCell ref="J350:K350"/>
    <mergeCell ref="L350:M350"/>
    <mergeCell ref="J351:K351"/>
    <mergeCell ref="L351:M351"/>
    <mergeCell ref="J346:K346"/>
    <mergeCell ref="L346:M346"/>
    <mergeCell ref="J347:K347"/>
    <mergeCell ref="L347:M347"/>
    <mergeCell ref="J348:K348"/>
    <mergeCell ref="L348:M348"/>
    <mergeCell ref="J343:K343"/>
    <mergeCell ref="L343:M343"/>
    <mergeCell ref="J344:K344"/>
    <mergeCell ref="L344:M344"/>
    <mergeCell ref="J345:K345"/>
    <mergeCell ref="L345:M345"/>
    <mergeCell ref="J340:K340"/>
    <mergeCell ref="L340:M340"/>
    <mergeCell ref="J341:K341"/>
    <mergeCell ref="L341:M341"/>
    <mergeCell ref="J342:K342"/>
    <mergeCell ref="L342:M342"/>
    <mergeCell ref="J337:K337"/>
    <mergeCell ref="L337:M337"/>
    <mergeCell ref="J338:K338"/>
    <mergeCell ref="L338:M338"/>
    <mergeCell ref="J339:K339"/>
    <mergeCell ref="L339:M339"/>
    <mergeCell ref="J334:K334"/>
    <mergeCell ref="L334:M334"/>
    <mergeCell ref="J335:K335"/>
    <mergeCell ref="L335:M335"/>
    <mergeCell ref="J336:K336"/>
    <mergeCell ref="L336:M336"/>
    <mergeCell ref="J331:K331"/>
    <mergeCell ref="L331:M331"/>
    <mergeCell ref="J332:K332"/>
    <mergeCell ref="L332:M332"/>
    <mergeCell ref="J333:K333"/>
    <mergeCell ref="L333:M333"/>
    <mergeCell ref="J328:K328"/>
    <mergeCell ref="L328:M328"/>
    <mergeCell ref="J329:K329"/>
    <mergeCell ref="L329:M329"/>
    <mergeCell ref="J330:K330"/>
    <mergeCell ref="L330:M330"/>
    <mergeCell ref="J325:K325"/>
    <mergeCell ref="L325:M325"/>
    <mergeCell ref="J326:K326"/>
    <mergeCell ref="L326:M326"/>
    <mergeCell ref="J327:K327"/>
    <mergeCell ref="L327:M327"/>
    <mergeCell ref="J322:K322"/>
    <mergeCell ref="L322:M322"/>
    <mergeCell ref="J323:K323"/>
    <mergeCell ref="L323:M323"/>
    <mergeCell ref="J324:K324"/>
    <mergeCell ref="L324:M324"/>
    <mergeCell ref="J319:K319"/>
    <mergeCell ref="L319:M319"/>
    <mergeCell ref="J320:K320"/>
    <mergeCell ref="L320:M320"/>
    <mergeCell ref="J321:K321"/>
    <mergeCell ref="L321:M321"/>
    <mergeCell ref="J316:K316"/>
    <mergeCell ref="L316:M316"/>
    <mergeCell ref="J317:K317"/>
    <mergeCell ref="L317:M317"/>
    <mergeCell ref="J318:K318"/>
    <mergeCell ref="L318:M318"/>
    <mergeCell ref="J313:K313"/>
    <mergeCell ref="L313:M313"/>
    <mergeCell ref="J314:K314"/>
    <mergeCell ref="L314:M314"/>
    <mergeCell ref="J315:K315"/>
    <mergeCell ref="L315:M315"/>
    <mergeCell ref="J310:K310"/>
    <mergeCell ref="L310:M310"/>
    <mergeCell ref="J311:K311"/>
    <mergeCell ref="L311:M311"/>
    <mergeCell ref="J312:K312"/>
    <mergeCell ref="L312:M312"/>
    <mergeCell ref="J307:K307"/>
    <mergeCell ref="L307:M307"/>
    <mergeCell ref="J308:K308"/>
    <mergeCell ref="L308:M308"/>
    <mergeCell ref="J309:K309"/>
    <mergeCell ref="L309:M309"/>
    <mergeCell ref="J304:K304"/>
    <mergeCell ref="L304:M304"/>
    <mergeCell ref="J305:K305"/>
    <mergeCell ref="L305:M305"/>
    <mergeCell ref="J306:K306"/>
    <mergeCell ref="L306:M306"/>
    <mergeCell ref="J301:K301"/>
    <mergeCell ref="L301:M301"/>
    <mergeCell ref="J302:K302"/>
    <mergeCell ref="L302:M302"/>
    <mergeCell ref="J303:K303"/>
    <mergeCell ref="L303:M303"/>
    <mergeCell ref="J298:K298"/>
    <mergeCell ref="L298:M298"/>
    <mergeCell ref="J299:K299"/>
    <mergeCell ref="L299:M299"/>
    <mergeCell ref="J300:K300"/>
    <mergeCell ref="L300:M300"/>
    <mergeCell ref="J295:K295"/>
    <mergeCell ref="L295:M295"/>
    <mergeCell ref="J296:K296"/>
    <mergeCell ref="L296:M296"/>
    <mergeCell ref="J297:K297"/>
    <mergeCell ref="L297:M297"/>
    <mergeCell ref="J292:K292"/>
    <mergeCell ref="L292:M292"/>
    <mergeCell ref="J293:K293"/>
    <mergeCell ref="L293:M293"/>
    <mergeCell ref="J294:K294"/>
    <mergeCell ref="L294:M294"/>
    <mergeCell ref="J289:K289"/>
    <mergeCell ref="L289:M289"/>
    <mergeCell ref="J290:K290"/>
    <mergeCell ref="L290:M290"/>
    <mergeCell ref="J291:K291"/>
    <mergeCell ref="L291:M291"/>
    <mergeCell ref="J286:K286"/>
    <mergeCell ref="L286:M286"/>
    <mergeCell ref="J287:K287"/>
    <mergeCell ref="L287:M287"/>
    <mergeCell ref="J288:K288"/>
    <mergeCell ref="L288:M288"/>
    <mergeCell ref="J283:K283"/>
    <mergeCell ref="L283:M283"/>
    <mergeCell ref="J284:K284"/>
    <mergeCell ref="L284:M284"/>
    <mergeCell ref="J285:K285"/>
    <mergeCell ref="L285:M285"/>
    <mergeCell ref="J280:K280"/>
    <mergeCell ref="L280:M280"/>
    <mergeCell ref="J281:K281"/>
    <mergeCell ref="L281:M281"/>
    <mergeCell ref="J282:K282"/>
    <mergeCell ref="L282:M282"/>
    <mergeCell ref="J277:K277"/>
    <mergeCell ref="L277:M277"/>
    <mergeCell ref="J278:K278"/>
    <mergeCell ref="L278:M278"/>
    <mergeCell ref="J279:K279"/>
    <mergeCell ref="L279:M279"/>
    <mergeCell ref="J274:K274"/>
    <mergeCell ref="L274:M274"/>
    <mergeCell ref="J275:K275"/>
    <mergeCell ref="L275:M275"/>
    <mergeCell ref="J276:K276"/>
    <mergeCell ref="L276:M276"/>
    <mergeCell ref="J271:K271"/>
    <mergeCell ref="L271:M271"/>
    <mergeCell ref="J272:K272"/>
    <mergeCell ref="L272:M272"/>
    <mergeCell ref="J273:K273"/>
    <mergeCell ref="L273:M273"/>
    <mergeCell ref="J268:K268"/>
    <mergeCell ref="L268:M268"/>
    <mergeCell ref="J269:K269"/>
    <mergeCell ref="L269:M269"/>
    <mergeCell ref="J270:K270"/>
    <mergeCell ref="L270:M270"/>
    <mergeCell ref="J265:K265"/>
    <mergeCell ref="L265:M265"/>
    <mergeCell ref="J266:K266"/>
    <mergeCell ref="L266:M266"/>
    <mergeCell ref="J267:K267"/>
    <mergeCell ref="L267:M267"/>
    <mergeCell ref="J262:K262"/>
    <mergeCell ref="L262:M262"/>
    <mergeCell ref="J263:K263"/>
    <mergeCell ref="L263:M263"/>
    <mergeCell ref="J264:K264"/>
    <mergeCell ref="L264:M264"/>
    <mergeCell ref="J259:K259"/>
    <mergeCell ref="L259:M259"/>
    <mergeCell ref="J260:K260"/>
    <mergeCell ref="L260:M260"/>
    <mergeCell ref="J261:K261"/>
    <mergeCell ref="L261:M261"/>
    <mergeCell ref="J256:K256"/>
    <mergeCell ref="L256:M256"/>
    <mergeCell ref="J257:K257"/>
    <mergeCell ref="L257:M257"/>
    <mergeCell ref="J258:K258"/>
    <mergeCell ref="L258:M258"/>
    <mergeCell ref="J253:K253"/>
    <mergeCell ref="L253:M253"/>
    <mergeCell ref="J254:K254"/>
    <mergeCell ref="L254:M254"/>
    <mergeCell ref="J255:K255"/>
    <mergeCell ref="L255:M255"/>
    <mergeCell ref="J250:K250"/>
    <mergeCell ref="L250:M250"/>
    <mergeCell ref="J251:K251"/>
    <mergeCell ref="L251:M251"/>
    <mergeCell ref="J252:K252"/>
    <mergeCell ref="L252:M252"/>
    <mergeCell ref="J247:K247"/>
    <mergeCell ref="L247:M247"/>
    <mergeCell ref="J248:K248"/>
    <mergeCell ref="L248:M248"/>
    <mergeCell ref="J249:K249"/>
    <mergeCell ref="L249:M249"/>
    <mergeCell ref="J244:K244"/>
    <mergeCell ref="L244:M244"/>
    <mergeCell ref="J245:K245"/>
    <mergeCell ref="L245:M245"/>
    <mergeCell ref="J246:K246"/>
    <mergeCell ref="L246:M246"/>
    <mergeCell ref="J241:K241"/>
    <mergeCell ref="L241:M241"/>
    <mergeCell ref="J242:K242"/>
    <mergeCell ref="L242:M242"/>
    <mergeCell ref="J243:K243"/>
    <mergeCell ref="L243:M243"/>
    <mergeCell ref="J238:K238"/>
    <mergeCell ref="L238:M238"/>
    <mergeCell ref="J239:K239"/>
    <mergeCell ref="L239:M239"/>
    <mergeCell ref="J240:K240"/>
    <mergeCell ref="L240:M240"/>
    <mergeCell ref="J235:K235"/>
    <mergeCell ref="L235:M235"/>
    <mergeCell ref="J236:K236"/>
    <mergeCell ref="L236:M236"/>
    <mergeCell ref="J237:K237"/>
    <mergeCell ref="L237:M237"/>
    <mergeCell ref="J232:K232"/>
    <mergeCell ref="L232:M232"/>
    <mergeCell ref="J233:K233"/>
    <mergeCell ref="L233:M233"/>
    <mergeCell ref="J234:K234"/>
    <mergeCell ref="L234:M234"/>
    <mergeCell ref="J229:K229"/>
    <mergeCell ref="L229:M229"/>
    <mergeCell ref="J230:K230"/>
    <mergeCell ref="L230:M230"/>
    <mergeCell ref="J231:K231"/>
    <mergeCell ref="L231:M231"/>
    <mergeCell ref="J226:K226"/>
    <mergeCell ref="L226:M226"/>
    <mergeCell ref="J227:K227"/>
    <mergeCell ref="L227:M227"/>
    <mergeCell ref="J228:K228"/>
    <mergeCell ref="L228:M228"/>
    <mergeCell ref="J223:K223"/>
    <mergeCell ref="L223:M223"/>
    <mergeCell ref="J224:K224"/>
    <mergeCell ref="L224:M224"/>
    <mergeCell ref="J225:K225"/>
    <mergeCell ref="L225:M225"/>
    <mergeCell ref="J220:K220"/>
    <mergeCell ref="L220:M220"/>
    <mergeCell ref="J221:K221"/>
    <mergeCell ref="L221:M221"/>
    <mergeCell ref="J222:K222"/>
    <mergeCell ref="L222:M222"/>
    <mergeCell ref="J217:K217"/>
    <mergeCell ref="L217:M217"/>
    <mergeCell ref="J218:K218"/>
    <mergeCell ref="L218:M218"/>
    <mergeCell ref="J219:K219"/>
    <mergeCell ref="L219:M219"/>
    <mergeCell ref="J214:K214"/>
    <mergeCell ref="L214:M214"/>
    <mergeCell ref="J215:K215"/>
    <mergeCell ref="L215:M215"/>
    <mergeCell ref="J216:K216"/>
    <mergeCell ref="L216:M216"/>
    <mergeCell ref="J211:K211"/>
    <mergeCell ref="L211:M211"/>
    <mergeCell ref="J212:K212"/>
    <mergeCell ref="L212:M212"/>
    <mergeCell ref="J213:K213"/>
    <mergeCell ref="L213:M213"/>
    <mergeCell ref="J208:K208"/>
    <mergeCell ref="L208:M208"/>
    <mergeCell ref="J209:K209"/>
    <mergeCell ref="L209:M209"/>
    <mergeCell ref="J210:K210"/>
    <mergeCell ref="L210:M210"/>
    <mergeCell ref="J205:K205"/>
    <mergeCell ref="L205:M205"/>
    <mergeCell ref="J206:K206"/>
    <mergeCell ref="L206:M206"/>
    <mergeCell ref="J207:K207"/>
    <mergeCell ref="L207:M207"/>
    <mergeCell ref="J202:K202"/>
    <mergeCell ref="L202:M202"/>
    <mergeCell ref="J203:K203"/>
    <mergeCell ref="L203:M203"/>
    <mergeCell ref="J204:K204"/>
    <mergeCell ref="L204:M204"/>
    <mergeCell ref="J199:K199"/>
    <mergeCell ref="L199:M199"/>
    <mergeCell ref="J200:K200"/>
    <mergeCell ref="L200:M200"/>
    <mergeCell ref="J201:K201"/>
    <mergeCell ref="L201:M201"/>
    <mergeCell ref="J196:K196"/>
    <mergeCell ref="L196:M196"/>
    <mergeCell ref="J197:K197"/>
    <mergeCell ref="L197:M197"/>
    <mergeCell ref="J198:K198"/>
    <mergeCell ref="L198:M198"/>
    <mergeCell ref="J193:K193"/>
    <mergeCell ref="L193:M193"/>
    <mergeCell ref="J194:K194"/>
    <mergeCell ref="L194:M194"/>
    <mergeCell ref="J195:K195"/>
    <mergeCell ref="L195:M195"/>
    <mergeCell ref="J190:K190"/>
    <mergeCell ref="L190:M190"/>
    <mergeCell ref="J191:K191"/>
    <mergeCell ref="L191:M191"/>
    <mergeCell ref="J192:K192"/>
    <mergeCell ref="L192:M192"/>
    <mergeCell ref="J187:K187"/>
    <mergeCell ref="L187:M187"/>
    <mergeCell ref="J188:K188"/>
    <mergeCell ref="L188:M188"/>
    <mergeCell ref="J189:K189"/>
    <mergeCell ref="L189:M189"/>
    <mergeCell ref="J184:K184"/>
    <mergeCell ref="L184:M184"/>
    <mergeCell ref="J185:K185"/>
    <mergeCell ref="L185:M185"/>
    <mergeCell ref="J186:K186"/>
    <mergeCell ref="L186:M186"/>
    <mergeCell ref="J181:K181"/>
    <mergeCell ref="L181:M181"/>
    <mergeCell ref="J182:K182"/>
    <mergeCell ref="L182:M182"/>
    <mergeCell ref="J183:K183"/>
    <mergeCell ref="L183:M183"/>
    <mergeCell ref="J178:K178"/>
    <mergeCell ref="L178:M178"/>
    <mergeCell ref="J179:K179"/>
    <mergeCell ref="L179:M179"/>
    <mergeCell ref="J180:K180"/>
    <mergeCell ref="L180:M180"/>
    <mergeCell ref="J175:K175"/>
    <mergeCell ref="L175:M175"/>
    <mergeCell ref="J176:K176"/>
    <mergeCell ref="L176:M176"/>
    <mergeCell ref="J177:K177"/>
    <mergeCell ref="L177:M177"/>
    <mergeCell ref="J172:K172"/>
    <mergeCell ref="L172:M172"/>
    <mergeCell ref="J173:K173"/>
    <mergeCell ref="L173:M173"/>
    <mergeCell ref="J174:K174"/>
    <mergeCell ref="L174:M174"/>
    <mergeCell ref="J169:K169"/>
    <mergeCell ref="L169:M169"/>
    <mergeCell ref="J170:K170"/>
    <mergeCell ref="L170:M170"/>
    <mergeCell ref="J171:K171"/>
    <mergeCell ref="L171:M171"/>
    <mergeCell ref="J166:K166"/>
    <mergeCell ref="L166:M166"/>
    <mergeCell ref="J167:K167"/>
    <mergeCell ref="L167:M167"/>
    <mergeCell ref="J168:K168"/>
    <mergeCell ref="L168:M168"/>
    <mergeCell ref="J163:K163"/>
    <mergeCell ref="L163:M163"/>
    <mergeCell ref="J164:K164"/>
    <mergeCell ref="L164:M164"/>
    <mergeCell ref="J165:K165"/>
    <mergeCell ref="L165:M165"/>
    <mergeCell ref="J160:K160"/>
    <mergeCell ref="L160:M160"/>
    <mergeCell ref="J161:K161"/>
    <mergeCell ref="L161:M161"/>
    <mergeCell ref="J162:K162"/>
    <mergeCell ref="L162:M162"/>
    <mergeCell ref="J157:K157"/>
    <mergeCell ref="L157:M157"/>
    <mergeCell ref="J158:K158"/>
    <mergeCell ref="L158:M158"/>
    <mergeCell ref="J159:K159"/>
    <mergeCell ref="L159:M159"/>
    <mergeCell ref="J154:K154"/>
    <mergeCell ref="L154:M154"/>
    <mergeCell ref="J155:K155"/>
    <mergeCell ref="L155:M155"/>
    <mergeCell ref="J156:K156"/>
    <mergeCell ref="L156:M156"/>
    <mergeCell ref="J151:K151"/>
    <mergeCell ref="L151:M151"/>
    <mergeCell ref="J152:K152"/>
    <mergeCell ref="L152:M152"/>
    <mergeCell ref="J153:K153"/>
    <mergeCell ref="L153:M153"/>
    <mergeCell ref="J148:K148"/>
    <mergeCell ref="L148:M148"/>
    <mergeCell ref="J149:K149"/>
    <mergeCell ref="L149:M149"/>
    <mergeCell ref="J150:K150"/>
    <mergeCell ref="L150:M150"/>
    <mergeCell ref="J145:K145"/>
    <mergeCell ref="L145:M145"/>
    <mergeCell ref="J146:K146"/>
    <mergeCell ref="L146:M146"/>
    <mergeCell ref="J147:K147"/>
    <mergeCell ref="L147:M147"/>
    <mergeCell ref="J142:K142"/>
    <mergeCell ref="L142:M142"/>
    <mergeCell ref="J143:K143"/>
    <mergeCell ref="L143:M143"/>
    <mergeCell ref="J144:K144"/>
    <mergeCell ref="L144:M144"/>
    <mergeCell ref="J139:K139"/>
    <mergeCell ref="L139:M139"/>
    <mergeCell ref="J140:K140"/>
    <mergeCell ref="L140:M140"/>
    <mergeCell ref="J141:K141"/>
    <mergeCell ref="L141:M141"/>
    <mergeCell ref="J136:K136"/>
    <mergeCell ref="L136:M136"/>
    <mergeCell ref="J137:K137"/>
    <mergeCell ref="L137:M137"/>
    <mergeCell ref="J138:K138"/>
    <mergeCell ref="L138:M138"/>
    <mergeCell ref="J133:K133"/>
    <mergeCell ref="L133:M133"/>
    <mergeCell ref="J134:K134"/>
    <mergeCell ref="L134:M134"/>
    <mergeCell ref="J135:K135"/>
    <mergeCell ref="L135:M135"/>
    <mergeCell ref="J130:K130"/>
    <mergeCell ref="L130:M130"/>
    <mergeCell ref="J131:K131"/>
    <mergeCell ref="L131:M131"/>
    <mergeCell ref="J132:K132"/>
    <mergeCell ref="L132:M132"/>
    <mergeCell ref="J127:K127"/>
    <mergeCell ref="L127:M127"/>
    <mergeCell ref="J128:K128"/>
    <mergeCell ref="L128:M128"/>
    <mergeCell ref="J129:K129"/>
    <mergeCell ref="L129:M129"/>
    <mergeCell ref="J124:K124"/>
    <mergeCell ref="L124:M124"/>
    <mergeCell ref="J125:K125"/>
    <mergeCell ref="L125:M125"/>
    <mergeCell ref="J126:K126"/>
    <mergeCell ref="L126:M126"/>
    <mergeCell ref="J121:K121"/>
    <mergeCell ref="L121:M121"/>
    <mergeCell ref="J122:K122"/>
    <mergeCell ref="L122:M122"/>
    <mergeCell ref="J123:K123"/>
    <mergeCell ref="L123:M123"/>
    <mergeCell ref="J118:K118"/>
    <mergeCell ref="L118:M118"/>
    <mergeCell ref="J119:K119"/>
    <mergeCell ref="L119:M119"/>
    <mergeCell ref="J120:K120"/>
    <mergeCell ref="L120:M120"/>
    <mergeCell ref="J115:K115"/>
    <mergeCell ref="L115:M115"/>
    <mergeCell ref="J116:K116"/>
    <mergeCell ref="L116:M116"/>
    <mergeCell ref="J117:K117"/>
    <mergeCell ref="L117:M117"/>
    <mergeCell ref="J112:K112"/>
    <mergeCell ref="L112:M112"/>
    <mergeCell ref="J113:K113"/>
    <mergeCell ref="L113:M113"/>
    <mergeCell ref="J114:K114"/>
    <mergeCell ref="L114:M114"/>
    <mergeCell ref="J109:K109"/>
    <mergeCell ref="L109:M109"/>
    <mergeCell ref="J110:K110"/>
    <mergeCell ref="L110:M110"/>
    <mergeCell ref="J111:K111"/>
    <mergeCell ref="L111:M111"/>
    <mergeCell ref="J106:K106"/>
    <mergeCell ref="L106:M106"/>
    <mergeCell ref="J107:K107"/>
    <mergeCell ref="L107:M107"/>
    <mergeCell ref="J108:K108"/>
    <mergeCell ref="L108:M108"/>
    <mergeCell ref="J103:K103"/>
    <mergeCell ref="L103:M103"/>
    <mergeCell ref="J104:K104"/>
    <mergeCell ref="L104:M104"/>
    <mergeCell ref="J105:K105"/>
    <mergeCell ref="L105:M105"/>
    <mergeCell ref="J100:K100"/>
    <mergeCell ref="L100:M100"/>
    <mergeCell ref="J101:K101"/>
    <mergeCell ref="L101:M101"/>
    <mergeCell ref="J102:K102"/>
    <mergeCell ref="L102:M102"/>
    <mergeCell ref="J97:K97"/>
    <mergeCell ref="L97:M97"/>
    <mergeCell ref="J98:K98"/>
    <mergeCell ref="L98:M98"/>
    <mergeCell ref="J99:K99"/>
    <mergeCell ref="L99:M99"/>
    <mergeCell ref="J94:K94"/>
    <mergeCell ref="L94:M94"/>
    <mergeCell ref="J95:K95"/>
    <mergeCell ref="L95:M95"/>
    <mergeCell ref="J96:K96"/>
    <mergeCell ref="L96:M96"/>
    <mergeCell ref="J91:K91"/>
    <mergeCell ref="L91:M91"/>
    <mergeCell ref="J92:K92"/>
    <mergeCell ref="L92:M92"/>
    <mergeCell ref="J93:K93"/>
    <mergeCell ref="L93:M93"/>
    <mergeCell ref="J88:K88"/>
    <mergeCell ref="L88:M88"/>
    <mergeCell ref="J89:K89"/>
    <mergeCell ref="L89:M89"/>
    <mergeCell ref="J90:K90"/>
    <mergeCell ref="L90:M90"/>
    <mergeCell ref="J85:K85"/>
    <mergeCell ref="L85:M85"/>
    <mergeCell ref="J86:K86"/>
    <mergeCell ref="L86:M86"/>
    <mergeCell ref="J87:K87"/>
    <mergeCell ref="L87:M87"/>
    <mergeCell ref="J82:K82"/>
    <mergeCell ref="L82:M82"/>
    <mergeCell ref="J83:K83"/>
    <mergeCell ref="L83:M83"/>
    <mergeCell ref="J84:K84"/>
    <mergeCell ref="L84:M84"/>
    <mergeCell ref="J79:K79"/>
    <mergeCell ref="L79:M79"/>
    <mergeCell ref="J80:K80"/>
    <mergeCell ref="L80:M80"/>
    <mergeCell ref="J81:K81"/>
    <mergeCell ref="L81:M81"/>
    <mergeCell ref="J76:K76"/>
    <mergeCell ref="L76:M76"/>
    <mergeCell ref="J77:K77"/>
    <mergeCell ref="L77:M77"/>
    <mergeCell ref="J78:K78"/>
    <mergeCell ref="L78:M78"/>
    <mergeCell ref="J73:K73"/>
    <mergeCell ref="L73:M73"/>
    <mergeCell ref="J74:K74"/>
    <mergeCell ref="L74:M74"/>
    <mergeCell ref="J75:K75"/>
    <mergeCell ref="L75:M75"/>
    <mergeCell ref="J70:K70"/>
    <mergeCell ref="L70:M70"/>
    <mergeCell ref="J71:K71"/>
    <mergeCell ref="L71:M71"/>
    <mergeCell ref="J72:K72"/>
    <mergeCell ref="L72:M72"/>
    <mergeCell ref="J67:K67"/>
    <mergeCell ref="L67:M67"/>
    <mergeCell ref="J68:K68"/>
    <mergeCell ref="L68:M68"/>
    <mergeCell ref="J69:K69"/>
    <mergeCell ref="L69:M69"/>
    <mergeCell ref="J64:K64"/>
    <mergeCell ref="L64:M64"/>
    <mergeCell ref="J65:K65"/>
    <mergeCell ref="L65:M65"/>
    <mergeCell ref="J66:K66"/>
    <mergeCell ref="L66:M66"/>
    <mergeCell ref="J61:K61"/>
    <mergeCell ref="L61:M61"/>
    <mergeCell ref="J62:K62"/>
    <mergeCell ref="L62:M62"/>
    <mergeCell ref="J63:K63"/>
    <mergeCell ref="L63:M63"/>
    <mergeCell ref="J58:K58"/>
    <mergeCell ref="L58:M58"/>
    <mergeCell ref="J59:K59"/>
    <mergeCell ref="L59:M59"/>
    <mergeCell ref="J60:K60"/>
    <mergeCell ref="L60:M60"/>
    <mergeCell ref="J55:K55"/>
    <mergeCell ref="L55:M55"/>
    <mergeCell ref="J56:K56"/>
    <mergeCell ref="L56:M56"/>
    <mergeCell ref="J57:K57"/>
    <mergeCell ref="L57:M57"/>
    <mergeCell ref="J52:K52"/>
    <mergeCell ref="L52:M52"/>
    <mergeCell ref="J53:K53"/>
    <mergeCell ref="L53:M53"/>
    <mergeCell ref="J54:K54"/>
    <mergeCell ref="L54:M54"/>
    <mergeCell ref="J49:K49"/>
    <mergeCell ref="L49:M49"/>
    <mergeCell ref="J50:K50"/>
    <mergeCell ref="L50:M50"/>
    <mergeCell ref="J51:K51"/>
    <mergeCell ref="L51:M51"/>
    <mergeCell ref="J46:K46"/>
    <mergeCell ref="L46:M46"/>
    <mergeCell ref="J47:K47"/>
    <mergeCell ref="L47:M47"/>
    <mergeCell ref="J48:K48"/>
    <mergeCell ref="L48:M48"/>
    <mergeCell ref="J43:K43"/>
    <mergeCell ref="L43:M43"/>
    <mergeCell ref="J44:K44"/>
    <mergeCell ref="L44:M44"/>
    <mergeCell ref="J45:K45"/>
    <mergeCell ref="L45:M45"/>
    <mergeCell ref="J40:K40"/>
    <mergeCell ref="L40:M40"/>
    <mergeCell ref="J41:K41"/>
    <mergeCell ref="L41:M41"/>
    <mergeCell ref="J42:K42"/>
    <mergeCell ref="L42:M42"/>
    <mergeCell ref="J37:K37"/>
    <mergeCell ref="L37:M37"/>
    <mergeCell ref="J38:K38"/>
    <mergeCell ref="L38:M38"/>
    <mergeCell ref="J39:K39"/>
    <mergeCell ref="L39:M39"/>
    <mergeCell ref="J34:K34"/>
    <mergeCell ref="L34:M34"/>
    <mergeCell ref="J35:K35"/>
    <mergeCell ref="L35:M35"/>
    <mergeCell ref="J36:K36"/>
    <mergeCell ref="L36:M36"/>
    <mergeCell ref="J31:K31"/>
    <mergeCell ref="L31:M31"/>
    <mergeCell ref="J32:K32"/>
    <mergeCell ref="L32:M32"/>
    <mergeCell ref="J33:K33"/>
    <mergeCell ref="L33:M33"/>
    <mergeCell ref="J28:K28"/>
    <mergeCell ref="L28:M28"/>
    <mergeCell ref="J29:K29"/>
    <mergeCell ref="L29:M29"/>
    <mergeCell ref="J30:K30"/>
    <mergeCell ref="L30:M30"/>
    <mergeCell ref="J25:K25"/>
    <mergeCell ref="L25:M25"/>
    <mergeCell ref="J26:K26"/>
    <mergeCell ref="L26:M26"/>
    <mergeCell ref="J27:K27"/>
    <mergeCell ref="L27:M27"/>
    <mergeCell ref="J22:K22"/>
    <mergeCell ref="L22:M22"/>
    <mergeCell ref="J23:K23"/>
    <mergeCell ref="L23:M23"/>
    <mergeCell ref="J24:K24"/>
    <mergeCell ref="L24:M24"/>
    <mergeCell ref="J19:K19"/>
    <mergeCell ref="L19:M19"/>
    <mergeCell ref="J20:K20"/>
    <mergeCell ref="L20:M20"/>
    <mergeCell ref="J21:K21"/>
    <mergeCell ref="L21:M21"/>
    <mergeCell ref="J17:K17"/>
    <mergeCell ref="L17:M17"/>
    <mergeCell ref="J18:K18"/>
    <mergeCell ref="L18:M18"/>
    <mergeCell ref="J13:K13"/>
    <mergeCell ref="L13:M13"/>
    <mergeCell ref="J14:K14"/>
    <mergeCell ref="L14:M14"/>
    <mergeCell ref="J15:K15"/>
    <mergeCell ref="L15:M15"/>
    <mergeCell ref="T9:Y9"/>
    <mergeCell ref="J10:K10"/>
    <mergeCell ref="L10:M10"/>
    <mergeCell ref="J11:K11"/>
    <mergeCell ref="L11:M11"/>
    <mergeCell ref="J12:K12"/>
    <mergeCell ref="L12:M12"/>
    <mergeCell ref="B8:C8"/>
    <mergeCell ref="D8:E8"/>
    <mergeCell ref="F8:G8"/>
    <mergeCell ref="H8:I8"/>
    <mergeCell ref="T8:Y8"/>
    <mergeCell ref="B5:C5"/>
    <mergeCell ref="D5:E5"/>
    <mergeCell ref="F5:G5"/>
    <mergeCell ref="H5:I5"/>
    <mergeCell ref="T5:Y5"/>
    <mergeCell ref="B6:C6"/>
    <mergeCell ref="D6:E6"/>
    <mergeCell ref="F6:G6"/>
    <mergeCell ref="H6:I6"/>
    <mergeCell ref="T6:Y6"/>
    <mergeCell ref="J16:K16"/>
    <mergeCell ref="L16:M16"/>
    <mergeCell ref="K3:L3"/>
    <mergeCell ref="N3:O3"/>
    <mergeCell ref="T3:Y3"/>
    <mergeCell ref="B4:C4"/>
    <mergeCell ref="D4:E4"/>
    <mergeCell ref="F4:G4"/>
    <mergeCell ref="H4:I4"/>
    <mergeCell ref="T4:Y4"/>
    <mergeCell ref="B1:C1"/>
    <mergeCell ref="B2:C2"/>
    <mergeCell ref="B3:C3"/>
    <mergeCell ref="D3:E3"/>
    <mergeCell ref="F3:G3"/>
    <mergeCell ref="H3:I3"/>
    <mergeCell ref="B7:C7"/>
    <mergeCell ref="D7:E7"/>
    <mergeCell ref="F7:G7"/>
    <mergeCell ref="H7:I7"/>
    <mergeCell ref="T7:Y7"/>
  </mergeCells>
  <dataValidations count="1">
    <dataValidation type="list" allowBlank="1" showInputMessage="1" showErrorMessage="1" sqref="L4" xr:uid="{81A403BD-B30C-4685-AA72-D9E4F089BAE0}">
      <formula1>$O$11:$O$12</formula1>
    </dataValidation>
  </dataValidations>
  <pageMargins left="0.25" right="0.25" top="0.75" bottom="0.75" header="0.3" footer="0.3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88F9-F061-49DB-A15D-3EA2916FF693}">
  <sheetPr codeName="Sheet9"/>
  <dimension ref="A1:Y813"/>
  <sheetViews>
    <sheetView showGridLines="0" topLeftCell="A14" zoomScaleNormal="100" workbookViewId="0"/>
  </sheetViews>
  <sheetFormatPr defaultColWidth="9" defaultRowHeight="13.8"/>
  <cols>
    <col min="1" max="1" width="1.88671875" style="24" customWidth="1"/>
    <col min="2" max="9" width="9.6640625" style="24" customWidth="1"/>
    <col min="10" max="10" width="3.6640625" style="24" customWidth="1"/>
    <col min="11" max="11" width="6.6640625" style="24" customWidth="1"/>
    <col min="12" max="12" width="7.6640625" style="24" customWidth="1"/>
    <col min="13" max="13" width="3.6640625" style="24" customWidth="1"/>
    <col min="14" max="14" width="6.6640625" style="24" bestFit="1" customWidth="1"/>
    <col min="15" max="15" width="7.21875" style="24" bestFit="1" customWidth="1"/>
    <col min="16" max="16" width="4.33203125" style="24" customWidth="1"/>
    <col min="17" max="17" width="1.88671875" style="24" customWidth="1"/>
    <col min="18" max="16384" width="9" style="24"/>
  </cols>
  <sheetData>
    <row r="1" spans="1:25">
      <c r="A1" s="23"/>
      <c r="B1" s="88">
        <v>44767.526979166665</v>
      </c>
      <c r="C1" s="88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65" t="s">
        <v>70</v>
      </c>
    </row>
    <row r="2" spans="1:25">
      <c r="A2" s="23"/>
      <c r="B2" s="95" t="s">
        <v>50</v>
      </c>
      <c r="C2" s="9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4" t="s">
        <v>71</v>
      </c>
      <c r="S2" s="24" t="s">
        <v>69</v>
      </c>
      <c r="T2" s="24" t="s">
        <v>68</v>
      </c>
    </row>
    <row r="3" spans="1:25" ht="14.25" customHeight="1">
      <c r="A3" s="23"/>
      <c r="B3" s="89" t="s">
        <v>15</v>
      </c>
      <c r="C3" s="96"/>
      <c r="D3" s="93" t="s">
        <v>64</v>
      </c>
      <c r="E3" s="90"/>
      <c r="F3" s="89" t="s">
        <v>16</v>
      </c>
      <c r="G3" s="90"/>
      <c r="H3" s="89" t="s">
        <v>61</v>
      </c>
      <c r="I3" s="90"/>
      <c r="J3" s="25"/>
      <c r="K3" s="102" t="s">
        <v>17</v>
      </c>
      <c r="L3" s="103"/>
      <c r="M3" s="23"/>
      <c r="N3" s="98"/>
      <c r="O3" s="98"/>
      <c r="P3" s="23"/>
      <c r="Q3" s="23"/>
      <c r="R3" s="66"/>
      <c r="S3" s="66"/>
      <c r="T3" s="106"/>
      <c r="U3" s="107"/>
      <c r="V3" s="107"/>
      <c r="W3" s="107"/>
      <c r="X3" s="107"/>
      <c r="Y3" s="108"/>
    </row>
    <row r="4" spans="1:25" ht="13.5" customHeight="1">
      <c r="A4" s="23"/>
      <c r="B4" s="91" t="s">
        <v>18</v>
      </c>
      <c r="C4" s="97"/>
      <c r="D4" s="94" t="s">
        <v>55</v>
      </c>
      <c r="E4" s="92"/>
      <c r="F4" s="91" t="s">
        <v>19</v>
      </c>
      <c r="G4" s="92"/>
      <c r="H4" s="91" t="s">
        <v>59</v>
      </c>
      <c r="I4" s="92"/>
      <c r="J4" s="25"/>
      <c r="K4" s="26" t="s">
        <v>20</v>
      </c>
      <c r="L4" s="27" t="str">
        <f>C10</f>
        <v>Frequency</v>
      </c>
      <c r="M4" s="23"/>
      <c r="N4" s="28"/>
      <c r="O4" s="28"/>
      <c r="P4" s="23"/>
      <c r="Q4" s="23"/>
      <c r="R4" s="66"/>
      <c r="S4" s="66"/>
      <c r="T4" s="106"/>
      <c r="U4" s="107"/>
      <c r="V4" s="107"/>
      <c r="W4" s="107"/>
      <c r="X4" s="107"/>
      <c r="Y4" s="108"/>
    </row>
    <row r="5" spans="1:25" ht="13.5" customHeight="1">
      <c r="A5" s="23"/>
      <c r="B5" s="91" t="s">
        <v>21</v>
      </c>
      <c r="C5" s="97"/>
      <c r="D5" s="94" t="s">
        <v>56</v>
      </c>
      <c r="E5" s="92"/>
      <c r="F5" s="91" t="s">
        <v>22</v>
      </c>
      <c r="G5" s="92"/>
      <c r="H5" s="91">
        <v>5</v>
      </c>
      <c r="I5" s="92"/>
      <c r="J5" s="25"/>
      <c r="K5" s="29" t="s">
        <v>23</v>
      </c>
      <c r="L5" s="30" t="s">
        <v>65</v>
      </c>
      <c r="M5" s="23"/>
      <c r="N5" s="28"/>
      <c r="O5" s="28"/>
      <c r="P5" s="23"/>
      <c r="Q5" s="23"/>
      <c r="R5" s="66"/>
      <c r="S5" s="66"/>
      <c r="T5" s="106"/>
      <c r="U5" s="107"/>
      <c r="V5" s="107"/>
      <c r="W5" s="107"/>
      <c r="X5" s="107"/>
      <c r="Y5" s="108"/>
    </row>
    <row r="6" spans="1:25" ht="13.5" customHeight="1">
      <c r="A6" s="23"/>
      <c r="B6" s="91" t="s">
        <v>24</v>
      </c>
      <c r="C6" s="97"/>
      <c r="D6" s="94">
        <v>201</v>
      </c>
      <c r="E6" s="92"/>
      <c r="F6" s="91" t="s">
        <v>25</v>
      </c>
      <c r="G6" s="92"/>
      <c r="H6" s="91" t="s">
        <v>59</v>
      </c>
      <c r="I6" s="92"/>
      <c r="J6" s="25"/>
      <c r="K6" s="31" t="s">
        <v>14</v>
      </c>
      <c r="L6" s="32" t="s">
        <v>66</v>
      </c>
      <c r="M6" s="23"/>
      <c r="N6" s="28"/>
      <c r="O6" s="28"/>
      <c r="P6" s="23"/>
      <c r="Q6" s="23"/>
      <c r="R6" s="66"/>
      <c r="S6" s="66"/>
      <c r="T6" s="106"/>
      <c r="U6" s="107"/>
      <c r="V6" s="107"/>
      <c r="W6" s="107"/>
      <c r="X6" s="107"/>
      <c r="Y6" s="108"/>
    </row>
    <row r="7" spans="1:25" ht="13.5" customHeight="1">
      <c r="A7" s="23"/>
      <c r="B7" s="91" t="s">
        <v>26</v>
      </c>
      <c r="C7" s="97"/>
      <c r="D7" s="94" t="s">
        <v>57</v>
      </c>
      <c r="E7" s="92"/>
      <c r="F7" s="91" t="s">
        <v>27</v>
      </c>
      <c r="G7" s="92"/>
      <c r="H7" s="91" t="s">
        <v>59</v>
      </c>
      <c r="I7" s="92"/>
      <c r="J7" s="25"/>
      <c r="K7" s="33"/>
      <c r="L7" s="33"/>
      <c r="M7" s="23"/>
      <c r="N7" s="28"/>
      <c r="O7" s="28"/>
      <c r="P7" s="23"/>
      <c r="Q7" s="23"/>
      <c r="R7" s="66"/>
      <c r="S7" s="66"/>
      <c r="T7" s="106"/>
      <c r="U7" s="107"/>
      <c r="V7" s="107"/>
      <c r="W7" s="107"/>
      <c r="X7" s="107"/>
      <c r="Y7" s="108"/>
    </row>
    <row r="8" spans="1:25">
      <c r="A8" s="23"/>
      <c r="B8" s="100" t="s">
        <v>28</v>
      </c>
      <c r="C8" s="101"/>
      <c r="D8" s="104" t="s">
        <v>58</v>
      </c>
      <c r="E8" s="105"/>
      <c r="F8" s="100" t="s">
        <v>67</v>
      </c>
      <c r="G8" s="105"/>
      <c r="H8" s="91" t="s">
        <v>13</v>
      </c>
      <c r="I8" s="92"/>
      <c r="J8" s="34"/>
      <c r="K8" s="33"/>
      <c r="L8" s="33"/>
      <c r="M8" s="23"/>
      <c r="N8" s="28"/>
      <c r="O8" s="28"/>
      <c r="P8" s="23"/>
      <c r="Q8" s="23"/>
      <c r="R8" s="66"/>
      <c r="S8" s="66"/>
      <c r="T8" s="106"/>
      <c r="U8" s="107"/>
      <c r="V8" s="107"/>
      <c r="W8" s="107"/>
      <c r="X8" s="107"/>
      <c r="Y8" s="108"/>
    </row>
    <row r="9" spans="1:25">
      <c r="A9" s="23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23"/>
      <c r="N9" s="23"/>
      <c r="O9" s="23"/>
      <c r="P9" s="23"/>
      <c r="Q9" s="23"/>
      <c r="R9" s="66"/>
      <c r="S9" s="66"/>
      <c r="T9" s="106"/>
      <c r="U9" s="107"/>
      <c r="V9" s="107"/>
      <c r="W9" s="107"/>
      <c r="X9" s="107"/>
      <c r="Y9" s="108"/>
    </row>
    <row r="10" spans="1:25" ht="27.75" customHeight="1" thickBot="1">
      <c r="A10" s="23"/>
      <c r="B10" s="36" t="s">
        <v>30</v>
      </c>
      <c r="C10" s="36" t="s">
        <v>60</v>
      </c>
      <c r="D10" s="51" t="s">
        <v>51</v>
      </c>
      <c r="E10" s="51" t="s">
        <v>52</v>
      </c>
      <c r="F10" s="51" t="s">
        <v>53</v>
      </c>
      <c r="G10" s="51" t="s">
        <v>54</v>
      </c>
      <c r="H10" s="37"/>
      <c r="I10" s="37"/>
      <c r="J10" s="99"/>
      <c r="K10" s="99"/>
      <c r="L10" s="99"/>
      <c r="M10" s="99"/>
      <c r="N10" s="38" t="s">
        <v>32</v>
      </c>
      <c r="O10" s="39" t="s">
        <v>33</v>
      </c>
      <c r="P10" s="23"/>
      <c r="Q10" s="23"/>
    </row>
    <row r="11" spans="1:25" ht="14.4" thickTop="1">
      <c r="A11" s="23"/>
      <c r="B11" s="53">
        <v>1</v>
      </c>
      <c r="C11" s="58">
        <v>40</v>
      </c>
      <c r="D11" s="59">
        <v>99789216</v>
      </c>
      <c r="E11" s="59">
        <v>0</v>
      </c>
      <c r="F11" s="59">
        <v>-13.098329544067383</v>
      </c>
      <c r="G11" s="42">
        <v>0</v>
      </c>
      <c r="H11" s="23"/>
      <c r="I11" s="23"/>
      <c r="J11" s="99"/>
      <c r="K11" s="99"/>
      <c r="L11" s="99"/>
      <c r="M11" s="99"/>
      <c r="N11" s="43">
        <f t="shared" ref="N11:N74" si="0">IF($L$4=$C$10,C11,IF(D11="","",B11))</f>
        <v>40</v>
      </c>
      <c r="O11" s="39" t="str">
        <f>B10</f>
        <v>Point#</v>
      </c>
      <c r="P11" s="23"/>
      <c r="Q11" s="23"/>
    </row>
    <row r="12" spans="1:25">
      <c r="A12" s="23"/>
      <c r="B12" s="53">
        <v>2</v>
      </c>
      <c r="C12" s="58">
        <v>42.759998321533203</v>
      </c>
      <c r="D12" s="59">
        <v>97722480</v>
      </c>
      <c r="E12" s="59">
        <v>0</v>
      </c>
      <c r="F12" s="59">
        <v>-14.296159744262695</v>
      </c>
      <c r="G12" s="42">
        <v>0</v>
      </c>
      <c r="H12" s="23"/>
      <c r="I12" s="23"/>
      <c r="J12" s="99"/>
      <c r="K12" s="99"/>
      <c r="L12" s="99"/>
      <c r="M12" s="99"/>
      <c r="N12" s="43">
        <f t="shared" si="0"/>
        <v>42.759998321533203</v>
      </c>
      <c r="O12" s="39" t="str">
        <f>C10</f>
        <v>Frequency</v>
      </c>
      <c r="P12" s="23"/>
      <c r="Q12" s="23"/>
    </row>
    <row r="13" spans="1:25">
      <c r="A13" s="23"/>
      <c r="B13" s="53">
        <v>3</v>
      </c>
      <c r="C13" s="58">
        <v>45.71099853515625</v>
      </c>
      <c r="D13" s="59">
        <v>99543832</v>
      </c>
      <c r="E13" s="59">
        <v>0</v>
      </c>
      <c r="F13" s="59">
        <v>-14.272470474243164</v>
      </c>
      <c r="G13" s="42">
        <v>0</v>
      </c>
      <c r="H13" s="23"/>
      <c r="I13" s="23"/>
      <c r="J13" s="99"/>
      <c r="K13" s="99"/>
      <c r="L13" s="99"/>
      <c r="M13" s="99"/>
      <c r="N13" s="43">
        <f t="shared" si="0"/>
        <v>45.71099853515625</v>
      </c>
      <c r="O13" s="43"/>
      <c r="P13" s="23"/>
      <c r="Q13" s="23"/>
    </row>
    <row r="14" spans="1:25">
      <c r="A14" s="23"/>
      <c r="B14" s="53">
        <v>4</v>
      </c>
      <c r="C14" s="58">
        <v>48.865001678466797</v>
      </c>
      <c r="D14" s="59">
        <v>99582400</v>
      </c>
      <c r="E14" s="59">
        <v>0</v>
      </c>
      <c r="F14" s="59">
        <v>-15.139920234680176</v>
      </c>
      <c r="G14" s="42">
        <v>0</v>
      </c>
      <c r="H14" s="23"/>
      <c r="I14" s="23"/>
      <c r="J14" s="99"/>
      <c r="K14" s="99"/>
      <c r="L14" s="99"/>
      <c r="M14" s="99"/>
      <c r="N14" s="43">
        <f t="shared" si="0"/>
        <v>48.865001678466797</v>
      </c>
      <c r="O14" s="43"/>
      <c r="P14" s="23"/>
      <c r="Q14" s="23"/>
    </row>
    <row r="15" spans="1:25">
      <c r="A15" s="23"/>
      <c r="B15" s="53">
        <v>5</v>
      </c>
      <c r="C15" s="58">
        <v>52.23699951171875</v>
      </c>
      <c r="D15" s="59">
        <v>98340176</v>
      </c>
      <c r="E15" s="59">
        <v>0</v>
      </c>
      <c r="F15" s="59">
        <v>-15.478969573974609</v>
      </c>
      <c r="G15" s="42">
        <v>0</v>
      </c>
      <c r="H15" s="23"/>
      <c r="I15" s="23"/>
      <c r="J15" s="99"/>
      <c r="K15" s="99"/>
      <c r="L15" s="99"/>
      <c r="M15" s="99"/>
      <c r="N15" s="43">
        <f t="shared" si="0"/>
        <v>52.23699951171875</v>
      </c>
      <c r="O15" s="43"/>
      <c r="P15" s="23"/>
      <c r="Q15" s="23"/>
    </row>
    <row r="16" spans="1:25">
      <c r="A16" s="23"/>
      <c r="B16" s="53">
        <v>6</v>
      </c>
      <c r="C16" s="58">
        <v>55.840999603271484</v>
      </c>
      <c r="D16" s="59">
        <v>97294144</v>
      </c>
      <c r="E16" s="59">
        <v>0</v>
      </c>
      <c r="F16" s="59">
        <v>-18.583400726318359</v>
      </c>
      <c r="G16" s="42">
        <v>0</v>
      </c>
      <c r="H16" s="23"/>
      <c r="I16" s="23"/>
      <c r="J16" s="99"/>
      <c r="K16" s="99"/>
      <c r="L16" s="99"/>
      <c r="M16" s="99"/>
      <c r="N16" s="43">
        <f t="shared" si="0"/>
        <v>55.840999603271484</v>
      </c>
      <c r="O16" s="43"/>
      <c r="P16" s="23"/>
      <c r="Q16" s="23"/>
    </row>
    <row r="17" spans="1:17">
      <c r="A17" s="23"/>
      <c r="B17" s="53">
        <v>7</v>
      </c>
      <c r="C17" s="58">
        <v>59.694999694824219</v>
      </c>
      <c r="D17" s="59">
        <v>97795640</v>
      </c>
      <c r="E17" s="59">
        <v>0</v>
      </c>
      <c r="F17" s="59">
        <v>-19.55879020690918</v>
      </c>
      <c r="G17" s="42">
        <v>0</v>
      </c>
      <c r="H17" s="23"/>
      <c r="I17" s="23"/>
      <c r="J17" s="99"/>
      <c r="K17" s="99"/>
      <c r="L17" s="99"/>
      <c r="M17" s="99"/>
      <c r="N17" s="43">
        <f t="shared" si="0"/>
        <v>59.694999694824219</v>
      </c>
      <c r="O17" s="43"/>
      <c r="P17" s="23"/>
      <c r="Q17" s="23"/>
    </row>
    <row r="18" spans="1:17">
      <c r="A18" s="23"/>
      <c r="B18" s="53">
        <v>8</v>
      </c>
      <c r="C18" s="58">
        <v>63.813999176025391</v>
      </c>
      <c r="D18" s="59">
        <v>94654336</v>
      </c>
      <c r="E18" s="59">
        <v>0</v>
      </c>
      <c r="F18" s="59">
        <v>-19.970809936523438</v>
      </c>
      <c r="G18" s="42">
        <v>0</v>
      </c>
      <c r="H18" s="23"/>
      <c r="I18" s="23"/>
      <c r="J18" s="99"/>
      <c r="K18" s="99"/>
      <c r="L18" s="99"/>
      <c r="M18" s="99"/>
      <c r="N18" s="43">
        <f t="shared" si="0"/>
        <v>63.813999176025391</v>
      </c>
      <c r="O18" s="43"/>
      <c r="P18" s="23"/>
      <c r="Q18" s="23"/>
    </row>
    <row r="19" spans="1:17">
      <c r="A19" s="23"/>
      <c r="B19" s="53">
        <v>9</v>
      </c>
      <c r="C19" s="58">
        <v>68.217002868652344</v>
      </c>
      <c r="D19" s="59">
        <v>94743072</v>
      </c>
      <c r="E19" s="59">
        <v>0</v>
      </c>
      <c r="F19" s="59">
        <v>-21.082429885864258</v>
      </c>
      <c r="G19" s="42">
        <v>0</v>
      </c>
      <c r="H19" s="23"/>
      <c r="I19" s="23"/>
      <c r="J19" s="99"/>
      <c r="K19" s="99"/>
      <c r="L19" s="99"/>
      <c r="M19" s="99"/>
      <c r="N19" s="43">
        <f t="shared" si="0"/>
        <v>68.217002868652344</v>
      </c>
      <c r="O19" s="43"/>
      <c r="P19" s="23"/>
      <c r="Q19" s="23"/>
    </row>
    <row r="20" spans="1:17">
      <c r="A20" s="23"/>
      <c r="B20" s="53">
        <v>10</v>
      </c>
      <c r="C20" s="58">
        <v>72.925003051757813</v>
      </c>
      <c r="D20" s="59">
        <v>94506488</v>
      </c>
      <c r="E20" s="59">
        <v>0</v>
      </c>
      <c r="F20" s="59">
        <v>-22.008710861206055</v>
      </c>
      <c r="G20" s="42">
        <v>0</v>
      </c>
      <c r="H20" s="23"/>
      <c r="I20" s="23"/>
      <c r="J20" s="99"/>
      <c r="K20" s="99"/>
      <c r="L20" s="99"/>
      <c r="M20" s="99"/>
      <c r="N20" s="43">
        <f t="shared" si="0"/>
        <v>72.925003051757813</v>
      </c>
      <c r="O20" s="43"/>
      <c r="P20" s="23"/>
      <c r="Q20" s="23"/>
    </row>
    <row r="21" spans="1:17">
      <c r="A21" s="23"/>
      <c r="B21" s="53">
        <v>11</v>
      </c>
      <c r="C21" s="58">
        <v>77.957000732421875</v>
      </c>
      <c r="D21" s="59">
        <v>94731984</v>
      </c>
      <c r="E21" s="59">
        <v>0</v>
      </c>
      <c r="F21" s="59">
        <v>-23.74485969543457</v>
      </c>
      <c r="G21" s="42">
        <v>0</v>
      </c>
      <c r="H21" s="23"/>
      <c r="I21" s="23"/>
      <c r="J21" s="99"/>
      <c r="K21" s="99"/>
      <c r="L21" s="99"/>
      <c r="M21" s="99"/>
      <c r="N21" s="43">
        <f t="shared" si="0"/>
        <v>77.957000732421875</v>
      </c>
      <c r="O21" s="43"/>
      <c r="P21" s="23"/>
      <c r="Q21" s="23"/>
    </row>
    <row r="22" spans="1:17">
      <c r="A22" s="23"/>
      <c r="B22" s="53">
        <v>12</v>
      </c>
      <c r="C22" s="58">
        <v>83.33599853515625</v>
      </c>
      <c r="D22" s="59">
        <v>91206792</v>
      </c>
      <c r="E22" s="59">
        <v>0</v>
      </c>
      <c r="F22" s="59">
        <v>-25.552810668945313</v>
      </c>
      <c r="G22" s="42">
        <v>0</v>
      </c>
      <c r="H22" s="23"/>
      <c r="I22" s="23"/>
      <c r="J22" s="99"/>
      <c r="K22" s="99"/>
      <c r="L22" s="99"/>
      <c r="M22" s="99"/>
      <c r="N22" s="43">
        <f t="shared" si="0"/>
        <v>83.33599853515625</v>
      </c>
      <c r="O22" s="43"/>
      <c r="P22" s="23"/>
      <c r="Q22" s="23"/>
    </row>
    <row r="23" spans="1:17">
      <c r="A23" s="23"/>
      <c r="B23" s="53">
        <v>13</v>
      </c>
      <c r="C23" s="58">
        <v>89.086997985839844</v>
      </c>
      <c r="D23" s="59">
        <v>91230032</v>
      </c>
      <c r="E23" s="59">
        <v>0</v>
      </c>
      <c r="F23" s="59">
        <v>-26.671529769897461</v>
      </c>
      <c r="G23" s="42">
        <v>0</v>
      </c>
      <c r="H23" s="23"/>
      <c r="I23" s="23"/>
      <c r="J23" s="99"/>
      <c r="K23" s="99"/>
      <c r="L23" s="99"/>
      <c r="M23" s="99"/>
      <c r="N23" s="43">
        <f t="shared" si="0"/>
        <v>89.086997985839844</v>
      </c>
      <c r="O23" s="43"/>
      <c r="P23" s="23"/>
      <c r="Q23" s="23"/>
    </row>
    <row r="24" spans="1:17">
      <c r="A24" s="23"/>
      <c r="B24" s="53">
        <v>14</v>
      </c>
      <c r="C24" s="58">
        <v>95.234001159667969</v>
      </c>
      <c r="D24" s="59">
        <v>91345408</v>
      </c>
      <c r="E24" s="59">
        <v>0</v>
      </c>
      <c r="F24" s="59">
        <v>-28.805120468139648</v>
      </c>
      <c r="G24" s="42">
        <v>0</v>
      </c>
      <c r="H24" s="23"/>
      <c r="I24" s="23"/>
      <c r="J24" s="99"/>
      <c r="K24" s="99"/>
      <c r="L24" s="99"/>
      <c r="M24" s="99"/>
      <c r="N24" s="43">
        <f t="shared" si="0"/>
        <v>95.234001159667969</v>
      </c>
      <c r="O24" s="43"/>
      <c r="P24" s="23"/>
      <c r="Q24" s="23"/>
    </row>
    <row r="25" spans="1:17">
      <c r="A25" s="23"/>
      <c r="B25" s="53">
        <v>15</v>
      </c>
      <c r="C25" s="58">
        <v>101.80599975585938</v>
      </c>
      <c r="D25" s="59">
        <v>88677232</v>
      </c>
      <c r="E25" s="59">
        <v>0</v>
      </c>
      <c r="F25" s="59">
        <v>-29.737739562988281</v>
      </c>
      <c r="G25" s="42">
        <v>0</v>
      </c>
      <c r="H25" s="23"/>
      <c r="I25" s="23"/>
      <c r="J25" s="99"/>
      <c r="K25" s="99"/>
      <c r="L25" s="99"/>
      <c r="M25" s="99"/>
      <c r="N25" s="43">
        <f t="shared" si="0"/>
        <v>101.80599975585938</v>
      </c>
      <c r="O25" s="43"/>
      <c r="P25" s="23"/>
      <c r="Q25" s="23"/>
    </row>
    <row r="26" spans="1:17">
      <c r="A26" s="23"/>
      <c r="B26" s="53">
        <v>16</v>
      </c>
      <c r="C26" s="58">
        <v>108.83100128173828</v>
      </c>
      <c r="D26" s="59">
        <v>86931616</v>
      </c>
      <c r="E26" s="59">
        <v>0</v>
      </c>
      <c r="F26" s="59">
        <v>-32.753501892089844</v>
      </c>
      <c r="G26" s="42">
        <v>0</v>
      </c>
      <c r="H26" s="23"/>
      <c r="I26" s="23"/>
      <c r="J26" s="99"/>
      <c r="K26" s="99"/>
      <c r="L26" s="99"/>
      <c r="M26" s="99"/>
      <c r="N26" s="43">
        <f t="shared" si="0"/>
        <v>108.83100128173828</v>
      </c>
      <c r="O26" s="43"/>
      <c r="P26" s="23"/>
      <c r="Q26" s="23"/>
    </row>
    <row r="27" spans="1:17">
      <c r="A27" s="23"/>
      <c r="B27" s="53">
        <v>17</v>
      </c>
      <c r="C27" s="58">
        <v>116.33999633789063</v>
      </c>
      <c r="D27" s="59">
        <v>86430144</v>
      </c>
      <c r="E27" s="59">
        <v>0</v>
      </c>
      <c r="F27" s="59">
        <v>-32.861831665039063</v>
      </c>
      <c r="G27" s="42">
        <v>0</v>
      </c>
      <c r="H27" s="23"/>
      <c r="I27" s="23"/>
      <c r="J27" s="99"/>
      <c r="K27" s="99"/>
      <c r="L27" s="99"/>
      <c r="M27" s="99"/>
      <c r="N27" s="43">
        <f t="shared" si="0"/>
        <v>116.33999633789063</v>
      </c>
      <c r="O27" s="43"/>
      <c r="P27" s="23"/>
      <c r="Q27" s="23"/>
    </row>
    <row r="28" spans="1:17">
      <c r="A28" s="23"/>
      <c r="B28" s="53">
        <v>18</v>
      </c>
      <c r="C28" s="58">
        <v>124.36799621582031</v>
      </c>
      <c r="D28" s="59">
        <v>83569824</v>
      </c>
      <c r="E28" s="59">
        <v>0</v>
      </c>
      <c r="F28" s="59">
        <v>-34.7894287109375</v>
      </c>
      <c r="G28" s="42">
        <v>0</v>
      </c>
      <c r="H28" s="23"/>
      <c r="I28" s="23"/>
      <c r="J28" s="99"/>
      <c r="K28" s="99"/>
      <c r="L28" s="99"/>
      <c r="M28" s="99"/>
      <c r="N28" s="43">
        <f t="shared" si="0"/>
        <v>124.36799621582031</v>
      </c>
      <c r="O28" s="43"/>
      <c r="P28" s="23"/>
      <c r="Q28" s="23"/>
    </row>
    <row r="29" spans="1:17">
      <c r="A29" s="23"/>
      <c r="B29" s="53">
        <v>19</v>
      </c>
      <c r="C29" s="58">
        <v>132.94999694824219</v>
      </c>
      <c r="D29" s="59">
        <v>80713056</v>
      </c>
      <c r="E29" s="59">
        <v>0</v>
      </c>
      <c r="F29" s="59">
        <v>-37.323158264160156</v>
      </c>
      <c r="G29" s="42">
        <v>0</v>
      </c>
      <c r="H29" s="23"/>
      <c r="I29" s="23"/>
      <c r="J29" s="99"/>
      <c r="K29" s="99"/>
      <c r="L29" s="99"/>
      <c r="M29" s="99"/>
      <c r="N29" s="43">
        <f t="shared" si="0"/>
        <v>132.94999694824219</v>
      </c>
      <c r="O29" s="43"/>
      <c r="P29" s="23"/>
      <c r="Q29" s="23"/>
    </row>
    <row r="30" spans="1:17">
      <c r="A30" s="23"/>
      <c r="B30" s="53">
        <v>20</v>
      </c>
      <c r="C30" s="58">
        <v>142.12399291992188</v>
      </c>
      <c r="D30" s="59">
        <v>79474248</v>
      </c>
      <c r="E30" s="59">
        <v>0</v>
      </c>
      <c r="F30" s="59">
        <v>-39.054649353027344</v>
      </c>
      <c r="G30" s="42">
        <v>0</v>
      </c>
      <c r="H30" s="23"/>
      <c r="I30" s="23"/>
      <c r="J30" s="99"/>
      <c r="K30" s="99"/>
      <c r="L30" s="99"/>
      <c r="M30" s="99"/>
      <c r="N30" s="43">
        <f t="shared" si="0"/>
        <v>142.12399291992188</v>
      </c>
      <c r="O30" s="43"/>
      <c r="P30" s="23"/>
      <c r="Q30" s="23"/>
    </row>
    <row r="31" spans="1:17">
      <c r="A31" s="23"/>
      <c r="B31" s="53">
        <v>21</v>
      </c>
      <c r="C31" s="58">
        <v>151.9320068359375</v>
      </c>
      <c r="D31" s="59">
        <v>77397456</v>
      </c>
      <c r="E31" s="59">
        <v>0</v>
      </c>
      <c r="F31" s="59">
        <v>-40.325649261474609</v>
      </c>
      <c r="G31" s="42">
        <v>0</v>
      </c>
      <c r="H31" s="23"/>
      <c r="I31" s="23"/>
      <c r="J31" s="99"/>
      <c r="K31" s="99"/>
      <c r="L31" s="99"/>
      <c r="M31" s="99"/>
      <c r="N31" s="43">
        <f t="shared" si="0"/>
        <v>151.9320068359375</v>
      </c>
      <c r="O31" s="43"/>
      <c r="P31" s="23"/>
      <c r="Q31" s="23"/>
    </row>
    <row r="32" spans="1:17">
      <c r="A32" s="23"/>
      <c r="B32" s="53">
        <v>22</v>
      </c>
      <c r="C32" s="58">
        <v>162.41499328613281</v>
      </c>
      <c r="D32" s="59">
        <v>75929672</v>
      </c>
      <c r="E32" s="59">
        <v>0</v>
      </c>
      <c r="F32" s="59">
        <v>-42.268608093261719</v>
      </c>
      <c r="G32" s="42">
        <v>0</v>
      </c>
      <c r="H32" s="23"/>
      <c r="I32" s="23"/>
      <c r="J32" s="99"/>
      <c r="K32" s="99"/>
      <c r="L32" s="99"/>
      <c r="M32" s="99"/>
      <c r="N32" s="43">
        <f t="shared" si="0"/>
        <v>162.41499328613281</v>
      </c>
      <c r="O32" s="43"/>
      <c r="P32" s="23"/>
      <c r="Q32" s="23"/>
    </row>
    <row r="33" spans="1:17">
      <c r="A33" s="23"/>
      <c r="B33" s="53">
        <v>23</v>
      </c>
      <c r="C33" s="58">
        <v>173.62300109863281</v>
      </c>
      <c r="D33" s="59">
        <v>72876648</v>
      </c>
      <c r="E33" s="59">
        <v>0</v>
      </c>
      <c r="F33" s="59">
        <v>-44.227611541748047</v>
      </c>
      <c r="G33" s="42">
        <v>0</v>
      </c>
      <c r="H33" s="23"/>
      <c r="I33" s="23"/>
      <c r="J33" s="99"/>
      <c r="K33" s="99"/>
      <c r="L33" s="99"/>
      <c r="M33" s="99"/>
      <c r="N33" s="43">
        <f t="shared" si="0"/>
        <v>173.62300109863281</v>
      </c>
      <c r="O33" s="43"/>
      <c r="P33" s="23"/>
      <c r="Q33" s="23"/>
    </row>
    <row r="34" spans="1:17">
      <c r="A34" s="23"/>
      <c r="B34" s="53">
        <v>24</v>
      </c>
      <c r="C34" s="58">
        <v>185.60400390625</v>
      </c>
      <c r="D34" s="59">
        <v>69195120</v>
      </c>
      <c r="E34" s="59">
        <v>0</v>
      </c>
      <c r="F34" s="59">
        <v>-45.928340911865234</v>
      </c>
      <c r="G34" s="42">
        <v>0</v>
      </c>
      <c r="H34" s="23"/>
      <c r="I34" s="23"/>
      <c r="J34" s="99"/>
      <c r="K34" s="99"/>
      <c r="L34" s="99"/>
      <c r="M34" s="99"/>
      <c r="N34" s="43">
        <f t="shared" si="0"/>
        <v>185.60400390625</v>
      </c>
      <c r="O34" s="43"/>
      <c r="P34" s="23"/>
      <c r="Q34" s="23"/>
    </row>
    <row r="35" spans="1:17">
      <c r="A35" s="23"/>
      <c r="B35" s="53">
        <v>25</v>
      </c>
      <c r="C35" s="58">
        <v>198.41099548339844</v>
      </c>
      <c r="D35" s="59">
        <v>68415480</v>
      </c>
      <c r="E35" s="59">
        <v>0</v>
      </c>
      <c r="F35" s="59">
        <v>-47.283599853515625</v>
      </c>
      <c r="G35" s="42">
        <v>0</v>
      </c>
      <c r="H35" s="23"/>
      <c r="I35" s="23"/>
      <c r="J35" s="99"/>
      <c r="K35" s="99"/>
      <c r="L35" s="99"/>
      <c r="M35" s="99"/>
      <c r="N35" s="43">
        <f t="shared" si="0"/>
        <v>198.41099548339844</v>
      </c>
      <c r="O35" s="43"/>
      <c r="P35" s="23"/>
      <c r="Q35" s="23"/>
    </row>
    <row r="36" spans="1:17">
      <c r="A36" s="23"/>
      <c r="B36" s="53">
        <v>26</v>
      </c>
      <c r="C36" s="58">
        <v>212.10200500488281</v>
      </c>
      <c r="D36" s="59">
        <v>64794192</v>
      </c>
      <c r="E36" s="59">
        <v>0</v>
      </c>
      <c r="F36" s="59">
        <v>-49.841670989990234</v>
      </c>
      <c r="G36" s="42">
        <v>0</v>
      </c>
      <c r="H36" s="23"/>
      <c r="I36" s="23"/>
      <c r="J36" s="99"/>
      <c r="K36" s="99"/>
      <c r="L36" s="99"/>
      <c r="M36" s="99"/>
      <c r="N36" s="43">
        <f t="shared" si="0"/>
        <v>212.10200500488281</v>
      </c>
      <c r="O36" s="43"/>
      <c r="P36" s="23"/>
      <c r="Q36" s="23"/>
    </row>
    <row r="37" spans="1:17">
      <c r="A37" s="23"/>
      <c r="B37" s="53">
        <v>27</v>
      </c>
      <c r="C37" s="58">
        <v>226.73800659179688</v>
      </c>
      <c r="D37" s="59">
        <v>63492000</v>
      </c>
      <c r="E37" s="59">
        <v>0</v>
      </c>
      <c r="F37" s="59">
        <v>-51.258060455322266</v>
      </c>
      <c r="G37" s="42">
        <v>0</v>
      </c>
      <c r="H37" s="23"/>
      <c r="I37" s="23"/>
      <c r="J37" s="99"/>
      <c r="K37" s="99"/>
      <c r="L37" s="99"/>
      <c r="M37" s="99"/>
      <c r="N37" s="43">
        <f t="shared" si="0"/>
        <v>226.73800659179688</v>
      </c>
      <c r="O37" s="43"/>
      <c r="P37" s="23"/>
      <c r="Q37" s="23"/>
    </row>
    <row r="38" spans="1:17">
      <c r="A38" s="23"/>
      <c r="B38" s="53">
        <v>28</v>
      </c>
      <c r="C38" s="58">
        <v>242.38400268554688</v>
      </c>
      <c r="D38" s="59">
        <v>59475368</v>
      </c>
      <c r="E38" s="59">
        <v>0</v>
      </c>
      <c r="F38" s="59">
        <v>-52.931179046630859</v>
      </c>
      <c r="G38" s="42">
        <v>0</v>
      </c>
      <c r="H38" s="23"/>
      <c r="I38" s="23"/>
      <c r="J38" s="99"/>
      <c r="K38" s="99"/>
      <c r="L38" s="99"/>
      <c r="M38" s="99"/>
      <c r="N38" s="43">
        <f t="shared" si="0"/>
        <v>242.38400268554688</v>
      </c>
      <c r="O38" s="43"/>
      <c r="P38" s="23"/>
      <c r="Q38" s="23"/>
    </row>
    <row r="39" spans="1:17">
      <c r="A39" s="23"/>
      <c r="B39" s="53">
        <v>29</v>
      </c>
      <c r="C39" s="58">
        <v>259.1090087890625</v>
      </c>
      <c r="D39" s="59">
        <v>57414120</v>
      </c>
      <c r="E39" s="59">
        <v>0</v>
      </c>
      <c r="F39" s="59">
        <v>-54.792179107666016</v>
      </c>
      <c r="G39" s="42">
        <v>0</v>
      </c>
      <c r="H39" s="23"/>
      <c r="I39" s="23"/>
      <c r="J39" s="99"/>
      <c r="K39" s="99"/>
      <c r="L39" s="99"/>
      <c r="M39" s="99"/>
      <c r="N39" s="43">
        <f t="shared" si="0"/>
        <v>259.1090087890625</v>
      </c>
      <c r="O39" s="43"/>
      <c r="P39" s="23"/>
      <c r="Q39" s="23"/>
    </row>
    <row r="40" spans="1:17">
      <c r="A40" s="23"/>
      <c r="B40" s="53">
        <v>30</v>
      </c>
      <c r="C40" s="58">
        <v>276.989013671875</v>
      </c>
      <c r="D40" s="59">
        <v>54986780</v>
      </c>
      <c r="E40" s="59">
        <v>0</v>
      </c>
      <c r="F40" s="59">
        <v>-56.71630859375</v>
      </c>
      <c r="G40" s="42">
        <v>0</v>
      </c>
      <c r="H40" s="23"/>
      <c r="I40" s="23"/>
      <c r="J40" s="99"/>
      <c r="K40" s="99"/>
      <c r="L40" s="99"/>
      <c r="M40" s="99"/>
      <c r="N40" s="43">
        <f t="shared" si="0"/>
        <v>276.989013671875</v>
      </c>
      <c r="O40" s="43"/>
      <c r="P40" s="23"/>
      <c r="Q40" s="23"/>
    </row>
    <row r="41" spans="1:17">
      <c r="A41" s="23"/>
      <c r="B41" s="53">
        <v>31</v>
      </c>
      <c r="C41" s="58">
        <v>296.10198974609375</v>
      </c>
      <c r="D41" s="59">
        <v>52382008</v>
      </c>
      <c r="E41" s="59">
        <v>0</v>
      </c>
      <c r="F41" s="59">
        <v>-57.370769500732422</v>
      </c>
      <c r="G41" s="42">
        <v>0</v>
      </c>
      <c r="H41" s="23"/>
      <c r="I41" s="23"/>
      <c r="J41" s="99"/>
      <c r="K41" s="99"/>
      <c r="L41" s="99"/>
      <c r="M41" s="99"/>
      <c r="N41" s="43">
        <f t="shared" si="0"/>
        <v>296.10198974609375</v>
      </c>
      <c r="O41" s="43"/>
      <c r="P41" s="23"/>
      <c r="Q41" s="23"/>
    </row>
    <row r="42" spans="1:17">
      <c r="A42" s="23"/>
      <c r="B42" s="53">
        <v>32</v>
      </c>
      <c r="C42" s="58">
        <v>316.53500366210938</v>
      </c>
      <c r="D42" s="59">
        <v>49683032</v>
      </c>
      <c r="E42" s="59">
        <v>0</v>
      </c>
      <c r="F42" s="59">
        <v>-59.465709686279297</v>
      </c>
      <c r="G42" s="42">
        <v>0</v>
      </c>
      <c r="H42" s="23"/>
      <c r="I42" s="23"/>
      <c r="J42" s="99"/>
      <c r="K42" s="99"/>
      <c r="L42" s="99"/>
      <c r="M42" s="99"/>
      <c r="N42" s="43">
        <f t="shared" si="0"/>
        <v>316.53500366210938</v>
      </c>
      <c r="O42" s="43"/>
      <c r="P42" s="23"/>
      <c r="Q42" s="23"/>
    </row>
    <row r="43" spans="1:17">
      <c r="A43" s="23"/>
      <c r="B43" s="53">
        <v>33</v>
      </c>
      <c r="C43" s="58">
        <v>338.37701416015625</v>
      </c>
      <c r="D43" s="59">
        <v>47252860</v>
      </c>
      <c r="E43" s="59">
        <v>0</v>
      </c>
      <c r="F43" s="59">
        <v>-60.878761291503906</v>
      </c>
      <c r="G43" s="42">
        <v>0</v>
      </c>
      <c r="H43" s="23"/>
      <c r="I43" s="23"/>
      <c r="J43" s="99"/>
      <c r="K43" s="99"/>
      <c r="L43" s="99"/>
      <c r="M43" s="99"/>
      <c r="N43" s="43">
        <f t="shared" si="0"/>
        <v>338.37701416015625</v>
      </c>
      <c r="O43" s="43"/>
      <c r="P43" s="23"/>
      <c r="Q43" s="23"/>
    </row>
    <row r="44" spans="1:17">
      <c r="A44" s="23"/>
      <c r="B44" s="53">
        <v>34</v>
      </c>
      <c r="C44" s="58">
        <v>361.72601318359375</v>
      </c>
      <c r="D44" s="59">
        <v>44986088</v>
      </c>
      <c r="E44" s="59">
        <v>0</v>
      </c>
      <c r="F44" s="59">
        <v>-62.484611511230469</v>
      </c>
      <c r="G44" s="42">
        <v>0</v>
      </c>
      <c r="H44" s="23"/>
      <c r="I44" s="23"/>
      <c r="J44" s="99"/>
      <c r="K44" s="99"/>
      <c r="L44" s="99"/>
      <c r="M44" s="99"/>
      <c r="N44" s="43">
        <f t="shared" si="0"/>
        <v>361.72601318359375</v>
      </c>
      <c r="O44" s="43"/>
      <c r="P44" s="23"/>
      <c r="Q44" s="23"/>
    </row>
    <row r="45" spans="1:17">
      <c r="A45" s="23"/>
      <c r="B45" s="53">
        <v>35</v>
      </c>
      <c r="C45" s="58">
        <v>386.68701171875</v>
      </c>
      <c r="D45" s="59">
        <v>42642260</v>
      </c>
      <c r="E45" s="59">
        <v>0</v>
      </c>
      <c r="F45" s="59">
        <v>-63.567569732666016</v>
      </c>
      <c r="G45" s="42">
        <v>0</v>
      </c>
      <c r="H45" s="23"/>
      <c r="I45" s="23"/>
      <c r="J45" s="99"/>
      <c r="K45" s="99"/>
      <c r="L45" s="99"/>
      <c r="M45" s="99"/>
      <c r="N45" s="43">
        <f t="shared" si="0"/>
        <v>386.68701171875</v>
      </c>
      <c r="O45" s="43"/>
      <c r="P45" s="23"/>
      <c r="Q45" s="23"/>
    </row>
    <row r="46" spans="1:17">
      <c r="A46" s="23"/>
      <c r="B46" s="53">
        <v>36</v>
      </c>
      <c r="C46" s="58">
        <v>413.3699951171875</v>
      </c>
      <c r="D46" s="59">
        <v>40495480</v>
      </c>
      <c r="E46" s="59">
        <v>0</v>
      </c>
      <c r="F46" s="59">
        <v>-64.991203308105469</v>
      </c>
      <c r="G46" s="42">
        <v>0</v>
      </c>
      <c r="H46" s="23"/>
      <c r="I46" s="23"/>
      <c r="J46" s="99"/>
      <c r="K46" s="99"/>
      <c r="L46" s="99"/>
      <c r="M46" s="99"/>
      <c r="N46" s="43">
        <f t="shared" si="0"/>
        <v>413.3699951171875</v>
      </c>
      <c r="O46" s="43"/>
      <c r="P46" s="23"/>
      <c r="Q46" s="23"/>
    </row>
    <row r="47" spans="1:17">
      <c r="A47" s="23"/>
      <c r="B47" s="53">
        <v>37</v>
      </c>
      <c r="C47" s="58">
        <v>441.89401245117188</v>
      </c>
      <c r="D47" s="59">
        <v>38027128</v>
      </c>
      <c r="E47" s="59">
        <v>0</v>
      </c>
      <c r="F47" s="59">
        <v>-65.871063232421875</v>
      </c>
      <c r="G47" s="42">
        <v>0</v>
      </c>
      <c r="H47" s="23"/>
      <c r="I47" s="23"/>
      <c r="J47" s="99"/>
      <c r="K47" s="99"/>
      <c r="L47" s="99"/>
      <c r="M47" s="99"/>
      <c r="N47" s="43">
        <f t="shared" si="0"/>
        <v>441.89401245117188</v>
      </c>
      <c r="O47" s="43"/>
      <c r="P47" s="23"/>
      <c r="Q47" s="23"/>
    </row>
    <row r="48" spans="1:17">
      <c r="A48" s="23"/>
      <c r="B48" s="53">
        <v>38</v>
      </c>
      <c r="C48" s="58">
        <v>472.38699340820313</v>
      </c>
      <c r="D48" s="59">
        <v>36136688</v>
      </c>
      <c r="E48" s="59">
        <v>0</v>
      </c>
      <c r="F48" s="59">
        <v>-67.160026550292969</v>
      </c>
      <c r="G48" s="42">
        <v>0</v>
      </c>
      <c r="H48" s="23"/>
      <c r="I48" s="23"/>
      <c r="J48" s="99"/>
      <c r="K48" s="99"/>
      <c r="L48" s="99"/>
      <c r="M48" s="99"/>
      <c r="N48" s="43">
        <f t="shared" si="0"/>
        <v>472.38699340820313</v>
      </c>
      <c r="O48" s="43"/>
      <c r="P48" s="23"/>
      <c r="Q48" s="23"/>
    </row>
    <row r="49" spans="1:17">
      <c r="A49" s="23"/>
      <c r="B49" s="53">
        <v>39</v>
      </c>
      <c r="C49" s="58">
        <v>504.9840087890625</v>
      </c>
      <c r="D49" s="59">
        <v>33974408</v>
      </c>
      <c r="E49" s="59">
        <v>0</v>
      </c>
      <c r="F49" s="59">
        <v>-68.085372924804688</v>
      </c>
      <c r="G49" s="42">
        <v>0</v>
      </c>
      <c r="H49" s="23"/>
      <c r="I49" s="23"/>
      <c r="J49" s="99"/>
      <c r="K49" s="99"/>
      <c r="L49" s="99"/>
      <c r="M49" s="99"/>
      <c r="N49" s="43">
        <f t="shared" si="0"/>
        <v>504.9840087890625</v>
      </c>
      <c r="O49" s="43"/>
      <c r="P49" s="23"/>
      <c r="Q49" s="23"/>
    </row>
    <row r="50" spans="1:17">
      <c r="A50" s="23"/>
      <c r="B50" s="53">
        <v>40</v>
      </c>
      <c r="C50" s="58">
        <v>539.8289794921875</v>
      </c>
      <c r="D50" s="59">
        <v>32130680</v>
      </c>
      <c r="E50" s="59">
        <v>0</v>
      </c>
      <c r="F50" s="59">
        <v>-69.124610900878906</v>
      </c>
      <c r="G50" s="42">
        <v>0</v>
      </c>
      <c r="H50" s="23"/>
      <c r="I50" s="23"/>
      <c r="J50" s="99"/>
      <c r="K50" s="99"/>
      <c r="L50" s="99"/>
      <c r="M50" s="99"/>
      <c r="N50" s="43">
        <f t="shared" si="0"/>
        <v>539.8289794921875</v>
      </c>
      <c r="O50" s="43"/>
      <c r="P50" s="23"/>
      <c r="Q50" s="23"/>
    </row>
    <row r="51" spans="1:17">
      <c r="A51" s="23"/>
      <c r="B51" s="53">
        <v>41</v>
      </c>
      <c r="C51" s="58">
        <v>577.08001708984375</v>
      </c>
      <c r="D51" s="59">
        <v>30304510</v>
      </c>
      <c r="E51" s="59">
        <v>0</v>
      </c>
      <c r="F51" s="59">
        <v>-70.40911865234375</v>
      </c>
      <c r="G51" s="42">
        <v>0</v>
      </c>
      <c r="H51" s="23"/>
      <c r="I51" s="23"/>
      <c r="J51" s="99"/>
      <c r="K51" s="99"/>
      <c r="L51" s="99"/>
      <c r="M51" s="99"/>
      <c r="N51" s="43">
        <f t="shared" si="0"/>
        <v>577.08001708984375</v>
      </c>
      <c r="O51" s="43"/>
      <c r="P51" s="23"/>
      <c r="Q51" s="23"/>
    </row>
    <row r="52" spans="1:17">
      <c r="A52" s="23"/>
      <c r="B52" s="53">
        <v>42</v>
      </c>
      <c r="C52" s="58">
        <v>616.9010009765625</v>
      </c>
      <c r="D52" s="59">
        <v>28571700</v>
      </c>
      <c r="E52" s="59">
        <v>0</v>
      </c>
      <c r="F52" s="59">
        <v>-71.135581970214844</v>
      </c>
      <c r="G52" s="42">
        <v>0</v>
      </c>
      <c r="H52" s="23"/>
      <c r="I52" s="23"/>
      <c r="J52" s="99"/>
      <c r="K52" s="99"/>
      <c r="L52" s="99"/>
      <c r="M52" s="99"/>
      <c r="N52" s="43">
        <f t="shared" si="0"/>
        <v>616.9010009765625</v>
      </c>
      <c r="O52" s="43"/>
      <c r="P52" s="23"/>
      <c r="Q52" s="23"/>
    </row>
    <row r="53" spans="1:17">
      <c r="A53" s="23"/>
      <c r="B53" s="53">
        <v>43</v>
      </c>
      <c r="C53" s="58">
        <v>659.469970703125</v>
      </c>
      <c r="D53" s="59">
        <v>26955660</v>
      </c>
      <c r="E53" s="59">
        <v>0</v>
      </c>
      <c r="F53" s="59">
        <v>-71.891227722167969</v>
      </c>
      <c r="G53" s="42">
        <v>0</v>
      </c>
      <c r="H53" s="23"/>
      <c r="I53" s="23"/>
      <c r="J53" s="99"/>
      <c r="K53" s="99"/>
      <c r="L53" s="99"/>
      <c r="M53" s="99"/>
      <c r="N53" s="43">
        <f t="shared" si="0"/>
        <v>659.469970703125</v>
      </c>
      <c r="O53" s="43"/>
      <c r="P53" s="23"/>
      <c r="Q53" s="23"/>
    </row>
    <row r="54" spans="1:17">
      <c r="A54" s="23"/>
      <c r="B54" s="53">
        <v>44</v>
      </c>
      <c r="C54" s="58">
        <v>704.97601318359375</v>
      </c>
      <c r="D54" s="59">
        <v>25369290</v>
      </c>
      <c r="E54" s="59">
        <v>0</v>
      </c>
      <c r="F54" s="59">
        <v>-72.757896423339844</v>
      </c>
      <c r="G54" s="42">
        <v>0</v>
      </c>
      <c r="H54" s="23"/>
      <c r="I54" s="23"/>
      <c r="J54" s="99"/>
      <c r="K54" s="99"/>
      <c r="L54" s="99"/>
      <c r="M54" s="99"/>
      <c r="N54" s="43">
        <f t="shared" si="0"/>
        <v>704.97601318359375</v>
      </c>
      <c r="O54" s="43"/>
      <c r="P54" s="23"/>
      <c r="Q54" s="23"/>
    </row>
    <row r="55" spans="1:17">
      <c r="A55" s="23"/>
      <c r="B55" s="53">
        <v>45</v>
      </c>
      <c r="C55" s="58">
        <v>753.62200927734375</v>
      </c>
      <c r="D55" s="59">
        <v>23920550</v>
      </c>
      <c r="E55" s="59">
        <v>0</v>
      </c>
      <c r="F55" s="59">
        <v>-73.355781555175781</v>
      </c>
      <c r="G55" s="42">
        <v>0</v>
      </c>
      <c r="H55" s="23"/>
      <c r="I55" s="23"/>
      <c r="J55" s="99"/>
      <c r="K55" s="99"/>
      <c r="L55" s="99"/>
      <c r="M55" s="99"/>
      <c r="N55" s="43">
        <f t="shared" si="0"/>
        <v>753.62200927734375</v>
      </c>
      <c r="O55" s="43"/>
      <c r="P55" s="23"/>
      <c r="Q55" s="23"/>
    </row>
    <row r="56" spans="1:17">
      <c r="A56" s="23"/>
      <c r="B56" s="53">
        <v>46</v>
      </c>
      <c r="C56" s="58">
        <v>805.625</v>
      </c>
      <c r="D56" s="59">
        <v>22511610</v>
      </c>
      <c r="E56" s="59">
        <v>0</v>
      </c>
      <c r="F56" s="59">
        <v>-74.13421630859375</v>
      </c>
      <c r="G56" s="42">
        <v>0</v>
      </c>
      <c r="H56" s="23"/>
      <c r="I56" s="23"/>
      <c r="J56" s="99"/>
      <c r="K56" s="99"/>
      <c r="L56" s="99"/>
      <c r="M56" s="99"/>
      <c r="N56" s="43">
        <f t="shared" si="0"/>
        <v>805.625</v>
      </c>
      <c r="O56" s="43"/>
      <c r="P56" s="23"/>
      <c r="Q56" s="23"/>
    </row>
    <row r="57" spans="1:17">
      <c r="A57" s="23"/>
      <c r="B57" s="53">
        <v>47</v>
      </c>
      <c r="C57" s="58">
        <v>861.21697998046875</v>
      </c>
      <c r="D57" s="59">
        <v>21195150</v>
      </c>
      <c r="E57" s="59">
        <v>0</v>
      </c>
      <c r="F57" s="59">
        <v>-74.641273498535156</v>
      </c>
      <c r="G57" s="42">
        <v>0</v>
      </c>
      <c r="H57" s="23"/>
      <c r="I57" s="23"/>
      <c r="J57" s="99"/>
      <c r="K57" s="99"/>
      <c r="L57" s="99"/>
      <c r="M57" s="99"/>
      <c r="N57" s="43">
        <f t="shared" si="0"/>
        <v>861.21697998046875</v>
      </c>
      <c r="O57" s="43"/>
      <c r="P57" s="23"/>
      <c r="Q57" s="23"/>
    </row>
    <row r="58" spans="1:17">
      <c r="A58" s="23"/>
      <c r="B58" s="53">
        <v>48</v>
      </c>
      <c r="C58" s="58">
        <v>920.64398193359375</v>
      </c>
      <c r="D58" s="59">
        <v>19941450</v>
      </c>
      <c r="E58" s="59">
        <v>0</v>
      </c>
      <c r="F58" s="59">
        <v>-75.285072326660156</v>
      </c>
      <c r="G58" s="42">
        <v>0</v>
      </c>
      <c r="H58" s="23"/>
      <c r="I58" s="23"/>
      <c r="J58" s="99"/>
      <c r="K58" s="99"/>
      <c r="L58" s="99"/>
      <c r="M58" s="99"/>
      <c r="N58" s="43">
        <f t="shared" si="0"/>
        <v>920.64398193359375</v>
      </c>
      <c r="O58" s="43"/>
      <c r="P58" s="23"/>
      <c r="Q58" s="23"/>
    </row>
    <row r="59" spans="1:17">
      <c r="A59" s="23"/>
      <c r="B59" s="53">
        <v>49</v>
      </c>
      <c r="C59" s="58">
        <v>984.1719970703125</v>
      </c>
      <c r="D59" s="59">
        <v>18744060</v>
      </c>
      <c r="E59" s="59">
        <v>0</v>
      </c>
      <c r="F59" s="59">
        <v>-75.819747924804688</v>
      </c>
      <c r="G59" s="42">
        <v>0</v>
      </c>
      <c r="H59" s="23"/>
      <c r="I59" s="23"/>
      <c r="J59" s="99"/>
      <c r="K59" s="99"/>
      <c r="L59" s="99"/>
      <c r="M59" s="99"/>
      <c r="N59" s="43">
        <f t="shared" si="0"/>
        <v>984.1719970703125</v>
      </c>
      <c r="O59" s="43"/>
      <c r="P59" s="23"/>
      <c r="Q59" s="23"/>
    </row>
    <row r="60" spans="1:17">
      <c r="A60" s="23"/>
      <c r="B60" s="53">
        <v>50</v>
      </c>
      <c r="C60" s="58">
        <v>1052.083984375</v>
      </c>
      <c r="D60" s="59">
        <v>17644830</v>
      </c>
      <c r="E60" s="59">
        <v>0</v>
      </c>
      <c r="F60" s="59">
        <v>-76.371383666992188</v>
      </c>
      <c r="G60" s="42">
        <v>0</v>
      </c>
      <c r="H60" s="23"/>
      <c r="I60" s="23"/>
      <c r="J60" s="99"/>
      <c r="K60" s="99"/>
      <c r="L60" s="99"/>
      <c r="M60" s="99"/>
      <c r="N60" s="43">
        <f t="shared" si="0"/>
        <v>1052.083984375</v>
      </c>
      <c r="O60" s="43"/>
      <c r="P60" s="23"/>
      <c r="Q60" s="23"/>
    </row>
    <row r="61" spans="1:17">
      <c r="A61" s="23"/>
      <c r="B61" s="53">
        <v>51</v>
      </c>
      <c r="C61" s="58">
        <v>1124.6829833984375</v>
      </c>
      <c r="D61" s="59">
        <v>16614440</v>
      </c>
      <c r="E61" s="59">
        <v>0</v>
      </c>
      <c r="F61" s="59">
        <v>-76.908187866210938</v>
      </c>
      <c r="G61" s="42">
        <v>0</v>
      </c>
      <c r="H61" s="23"/>
      <c r="I61" s="23"/>
      <c r="J61" s="99"/>
      <c r="K61" s="99"/>
      <c r="L61" s="99"/>
      <c r="M61" s="99"/>
      <c r="N61" s="43">
        <f t="shared" si="0"/>
        <v>1124.6829833984375</v>
      </c>
      <c r="O61" s="43"/>
      <c r="P61" s="23"/>
      <c r="Q61" s="23"/>
    </row>
    <row r="62" spans="1:17">
      <c r="A62" s="23"/>
      <c r="B62" s="53">
        <v>52</v>
      </c>
      <c r="C62" s="58">
        <v>1202.2900390625</v>
      </c>
      <c r="D62" s="59">
        <v>15627950</v>
      </c>
      <c r="E62" s="59">
        <v>0</v>
      </c>
      <c r="F62" s="59">
        <v>-77.412208557128906</v>
      </c>
      <c r="G62" s="42">
        <v>0</v>
      </c>
      <c r="H62" s="23"/>
      <c r="I62" s="23"/>
      <c r="J62" s="99"/>
      <c r="K62" s="99"/>
      <c r="L62" s="99"/>
      <c r="M62" s="99"/>
      <c r="N62" s="43">
        <f t="shared" si="0"/>
        <v>1202.2900390625</v>
      </c>
      <c r="O62" s="43"/>
      <c r="P62" s="23"/>
      <c r="Q62" s="23"/>
    </row>
    <row r="63" spans="1:17">
      <c r="A63" s="23"/>
      <c r="B63" s="53">
        <v>53</v>
      </c>
      <c r="C63" s="58">
        <v>1285.2540283203125</v>
      </c>
      <c r="D63" s="59">
        <v>14733750</v>
      </c>
      <c r="E63" s="59">
        <v>0</v>
      </c>
      <c r="F63" s="59">
        <v>-77.909660339355469</v>
      </c>
      <c r="G63" s="42">
        <v>0</v>
      </c>
      <c r="H63" s="23"/>
      <c r="I63" s="23"/>
      <c r="J63" s="99"/>
      <c r="K63" s="99"/>
      <c r="L63" s="99"/>
      <c r="M63" s="99"/>
      <c r="N63" s="43">
        <f t="shared" si="0"/>
        <v>1285.2540283203125</v>
      </c>
      <c r="O63" s="43"/>
      <c r="P63" s="23"/>
      <c r="Q63" s="23"/>
    </row>
    <row r="64" spans="1:17">
      <c r="A64" s="23"/>
      <c r="B64" s="53">
        <v>54</v>
      </c>
      <c r="C64" s="58">
        <v>1373.9410400390625</v>
      </c>
      <c r="D64" s="59">
        <v>13842230</v>
      </c>
      <c r="E64" s="59">
        <v>0</v>
      </c>
      <c r="F64" s="59">
        <v>-78.263137817382813</v>
      </c>
      <c r="G64" s="42">
        <v>0</v>
      </c>
      <c r="H64" s="23"/>
      <c r="I64" s="23"/>
      <c r="J64" s="99"/>
      <c r="K64" s="99"/>
      <c r="L64" s="99"/>
      <c r="M64" s="99"/>
      <c r="N64" s="43">
        <f t="shared" si="0"/>
        <v>1373.9410400390625</v>
      </c>
      <c r="O64" s="43"/>
      <c r="P64" s="23"/>
      <c r="Q64" s="23"/>
    </row>
    <row r="65" spans="1:17">
      <c r="A65" s="23"/>
      <c r="B65" s="53">
        <v>55</v>
      </c>
      <c r="C65" s="58">
        <v>1468.7490234375</v>
      </c>
      <c r="D65" s="59">
        <v>13009190</v>
      </c>
      <c r="E65" s="59">
        <v>0</v>
      </c>
      <c r="F65" s="59">
        <v>-78.677436828613281</v>
      </c>
      <c r="G65" s="42">
        <v>0</v>
      </c>
      <c r="H65" s="23"/>
      <c r="I65" s="23"/>
      <c r="J65" s="99"/>
      <c r="K65" s="99"/>
      <c r="L65" s="99"/>
      <c r="M65" s="99"/>
      <c r="N65" s="43">
        <f t="shared" si="0"/>
        <v>1468.7490234375</v>
      </c>
      <c r="O65" s="43"/>
      <c r="P65" s="23"/>
      <c r="Q65" s="23"/>
    </row>
    <row r="66" spans="1:17">
      <c r="A66" s="23"/>
      <c r="B66" s="53">
        <v>56</v>
      </c>
      <c r="C66" s="58">
        <v>1570.0989990234375</v>
      </c>
      <c r="D66" s="59">
        <v>12233040</v>
      </c>
      <c r="E66" s="59">
        <v>0</v>
      </c>
      <c r="F66" s="59">
        <v>-79.055549621582031</v>
      </c>
      <c r="G66" s="42">
        <v>0</v>
      </c>
      <c r="H66" s="23"/>
      <c r="I66" s="23"/>
      <c r="J66" s="99"/>
      <c r="K66" s="99"/>
      <c r="L66" s="99"/>
      <c r="M66" s="99"/>
      <c r="N66" s="43">
        <f t="shared" si="0"/>
        <v>1570.0989990234375</v>
      </c>
      <c r="O66" s="43"/>
      <c r="P66" s="23"/>
      <c r="Q66" s="23"/>
    </row>
    <row r="67" spans="1:17">
      <c r="A67" s="23"/>
      <c r="B67" s="53">
        <v>57</v>
      </c>
      <c r="C67" s="58">
        <v>1678.4420166015625</v>
      </c>
      <c r="D67" s="59">
        <v>11532280</v>
      </c>
      <c r="E67" s="59">
        <v>0</v>
      </c>
      <c r="F67" s="59">
        <v>-79.44732666015625</v>
      </c>
      <c r="G67" s="42">
        <v>0</v>
      </c>
      <c r="H67" s="23"/>
      <c r="I67" s="23"/>
      <c r="J67" s="99"/>
      <c r="K67" s="99"/>
      <c r="L67" s="99"/>
      <c r="M67" s="99"/>
      <c r="N67" s="43">
        <f t="shared" si="0"/>
        <v>1678.4420166015625</v>
      </c>
      <c r="O67" s="43"/>
      <c r="P67" s="23"/>
      <c r="Q67" s="23"/>
    </row>
    <row r="68" spans="1:17">
      <c r="A68" s="23"/>
      <c r="B68" s="53">
        <v>58</v>
      </c>
      <c r="C68" s="58">
        <v>1794.261962890625</v>
      </c>
      <c r="D68" s="59">
        <v>10825620</v>
      </c>
      <c r="E68" s="59">
        <v>0</v>
      </c>
      <c r="F68" s="59">
        <v>-79.861976623535156</v>
      </c>
      <c r="G68" s="42">
        <v>0</v>
      </c>
      <c r="H68" s="23"/>
      <c r="I68" s="23"/>
      <c r="J68" s="99"/>
      <c r="K68" s="99"/>
      <c r="L68" s="99"/>
      <c r="M68" s="99"/>
      <c r="N68" s="43">
        <f t="shared" si="0"/>
        <v>1794.261962890625</v>
      </c>
      <c r="O68" s="43"/>
      <c r="P68" s="23"/>
      <c r="Q68" s="23"/>
    </row>
    <row r="69" spans="1:17">
      <c r="A69" s="23"/>
      <c r="B69" s="53">
        <v>59</v>
      </c>
      <c r="C69" s="58">
        <v>1918.072998046875</v>
      </c>
      <c r="D69" s="59">
        <v>10197370</v>
      </c>
      <c r="E69" s="59">
        <v>0</v>
      </c>
      <c r="F69" s="59">
        <v>-80.239486694335938</v>
      </c>
      <c r="G69" s="42">
        <v>0</v>
      </c>
      <c r="H69" s="23"/>
      <c r="I69" s="23"/>
      <c r="J69" s="99"/>
      <c r="K69" s="99"/>
      <c r="L69" s="99"/>
      <c r="M69" s="99"/>
      <c r="N69" s="43">
        <f t="shared" si="0"/>
        <v>1918.072998046875</v>
      </c>
      <c r="O69" s="43"/>
      <c r="P69" s="23"/>
      <c r="Q69" s="23"/>
    </row>
    <row r="70" spans="1:17">
      <c r="A70" s="23"/>
      <c r="B70" s="53">
        <v>60</v>
      </c>
      <c r="C70" s="58">
        <v>2050.427978515625</v>
      </c>
      <c r="D70" s="59">
        <v>9583721</v>
      </c>
      <c r="E70" s="59">
        <v>0</v>
      </c>
      <c r="F70" s="59">
        <v>-80.601097106933594</v>
      </c>
      <c r="G70" s="42">
        <v>0</v>
      </c>
      <c r="H70" s="23"/>
      <c r="I70" s="23"/>
      <c r="J70" s="99"/>
      <c r="K70" s="99"/>
      <c r="L70" s="99"/>
      <c r="M70" s="99"/>
      <c r="N70" s="43">
        <f t="shared" si="0"/>
        <v>2050.427978515625</v>
      </c>
      <c r="O70" s="43"/>
      <c r="P70" s="23"/>
      <c r="Q70" s="23"/>
    </row>
    <row r="71" spans="1:17">
      <c r="A71" s="23"/>
      <c r="B71" s="53">
        <v>61</v>
      </c>
      <c r="C71" s="58">
        <v>2191.916015625</v>
      </c>
      <c r="D71" s="59">
        <v>9008064</v>
      </c>
      <c r="E71" s="59">
        <v>0</v>
      </c>
      <c r="F71" s="59">
        <v>-80.94036865234375</v>
      </c>
      <c r="G71" s="42">
        <v>0</v>
      </c>
      <c r="H71" s="23"/>
      <c r="I71" s="23"/>
      <c r="J71" s="99"/>
      <c r="K71" s="99"/>
      <c r="L71" s="99"/>
      <c r="M71" s="99"/>
      <c r="N71" s="43">
        <f t="shared" si="0"/>
        <v>2191.916015625</v>
      </c>
      <c r="O71" s="43"/>
      <c r="P71" s="23"/>
      <c r="Q71" s="23"/>
    </row>
    <row r="72" spans="1:17">
      <c r="A72" s="23"/>
      <c r="B72" s="53">
        <v>62</v>
      </c>
      <c r="C72" s="58">
        <v>2343.16796875</v>
      </c>
      <c r="D72" s="59">
        <v>8473338</v>
      </c>
      <c r="E72" s="59">
        <v>0</v>
      </c>
      <c r="F72" s="59">
        <v>-81.256439208984375</v>
      </c>
      <c r="G72" s="42">
        <v>0</v>
      </c>
      <c r="H72" s="23"/>
      <c r="I72" s="23"/>
      <c r="J72" s="99"/>
      <c r="K72" s="99"/>
      <c r="L72" s="99"/>
      <c r="M72" s="99"/>
      <c r="N72" s="43">
        <f t="shared" si="0"/>
        <v>2343.16796875</v>
      </c>
      <c r="O72" s="43"/>
      <c r="P72" s="23"/>
      <c r="Q72" s="23"/>
    </row>
    <row r="73" spans="1:17">
      <c r="A73" s="23"/>
      <c r="B73" s="53">
        <v>63</v>
      </c>
      <c r="C73" s="58">
        <v>2504.85595703125</v>
      </c>
      <c r="D73" s="59">
        <v>7964572</v>
      </c>
      <c r="E73" s="59">
        <v>0</v>
      </c>
      <c r="F73" s="59">
        <v>-81.627876281738281</v>
      </c>
      <c r="G73" s="42">
        <v>0</v>
      </c>
      <c r="H73" s="23"/>
      <c r="I73" s="23"/>
      <c r="J73" s="99"/>
      <c r="K73" s="99"/>
      <c r="L73" s="99"/>
      <c r="M73" s="99"/>
      <c r="N73" s="43">
        <f t="shared" si="0"/>
        <v>2504.85595703125</v>
      </c>
      <c r="O73" s="43"/>
      <c r="P73" s="23"/>
      <c r="Q73" s="23"/>
    </row>
    <row r="74" spans="1:17">
      <c r="A74" s="23"/>
      <c r="B74" s="53">
        <v>64</v>
      </c>
      <c r="C74" s="58">
        <v>2677.701904296875</v>
      </c>
      <c r="D74" s="59">
        <v>7478169</v>
      </c>
      <c r="E74" s="59">
        <v>0</v>
      </c>
      <c r="F74" s="59">
        <v>-81.89544677734375</v>
      </c>
      <c r="G74" s="42">
        <v>0</v>
      </c>
      <c r="H74" s="23"/>
      <c r="I74" s="23"/>
      <c r="J74" s="99"/>
      <c r="K74" s="99"/>
      <c r="L74" s="99"/>
      <c r="M74" s="99"/>
      <c r="N74" s="43">
        <f t="shared" si="0"/>
        <v>2677.701904296875</v>
      </c>
      <c r="O74" s="43"/>
      <c r="P74" s="23"/>
      <c r="Q74" s="23"/>
    </row>
    <row r="75" spans="1:17">
      <c r="A75" s="23"/>
      <c r="B75" s="53">
        <v>65</v>
      </c>
      <c r="C75" s="58">
        <v>2862.47412109375</v>
      </c>
      <c r="D75" s="59">
        <v>7028205</v>
      </c>
      <c r="E75" s="59">
        <v>0</v>
      </c>
      <c r="F75" s="59">
        <v>-82.210273742675781</v>
      </c>
      <c r="G75" s="42">
        <v>0</v>
      </c>
      <c r="H75" s="23"/>
      <c r="I75" s="23"/>
      <c r="J75" s="99"/>
      <c r="K75" s="99"/>
      <c r="L75" s="99"/>
      <c r="M75" s="99"/>
      <c r="N75" s="43">
        <f t="shared" ref="N75:N138" si="1">IF($L$4=$C$10,C75,IF(D75="","",B75))</f>
        <v>2862.47412109375</v>
      </c>
      <c r="O75" s="43"/>
      <c r="P75" s="23"/>
      <c r="Q75" s="23"/>
    </row>
    <row r="76" spans="1:17">
      <c r="A76" s="23"/>
      <c r="B76" s="53">
        <v>66</v>
      </c>
      <c r="C76" s="58">
        <v>3059.9970703125</v>
      </c>
      <c r="D76" s="59">
        <v>6601010</v>
      </c>
      <c r="E76" s="59">
        <v>0</v>
      </c>
      <c r="F76" s="59">
        <v>-82.541831970214844</v>
      </c>
      <c r="G76" s="42">
        <v>0</v>
      </c>
      <c r="H76" s="23"/>
      <c r="I76" s="23"/>
      <c r="J76" s="99"/>
      <c r="K76" s="99"/>
      <c r="L76" s="99"/>
      <c r="M76" s="99"/>
      <c r="N76" s="43">
        <f t="shared" si="1"/>
        <v>3059.9970703125</v>
      </c>
      <c r="O76" s="43"/>
      <c r="P76" s="23"/>
      <c r="Q76" s="23"/>
    </row>
    <row r="77" spans="1:17">
      <c r="A77" s="23"/>
      <c r="B77" s="53">
        <v>67</v>
      </c>
      <c r="C77" s="58">
        <v>3271.14990234375</v>
      </c>
      <c r="D77" s="59">
        <v>6197682</v>
      </c>
      <c r="E77" s="59">
        <v>0</v>
      </c>
      <c r="F77" s="59">
        <v>-82.830337524414063</v>
      </c>
      <c r="G77" s="42">
        <v>0</v>
      </c>
      <c r="H77" s="23"/>
      <c r="I77" s="23"/>
      <c r="J77" s="99"/>
      <c r="K77" s="99"/>
      <c r="L77" s="99"/>
      <c r="M77" s="99"/>
      <c r="N77" s="43">
        <f t="shared" si="1"/>
        <v>3271.14990234375</v>
      </c>
      <c r="O77" s="43"/>
      <c r="P77" s="23"/>
      <c r="Q77" s="23"/>
    </row>
    <row r="78" spans="1:17">
      <c r="A78" s="23"/>
      <c r="B78" s="53">
        <v>68</v>
      </c>
      <c r="C78" s="58">
        <v>3496.8720703125</v>
      </c>
      <c r="D78" s="59">
        <v>5819570</v>
      </c>
      <c r="E78" s="59">
        <v>0</v>
      </c>
      <c r="F78" s="59">
        <v>-83.117721557617188</v>
      </c>
      <c r="G78" s="42">
        <v>0</v>
      </c>
      <c r="H78" s="23"/>
      <c r="I78" s="23"/>
      <c r="J78" s="99"/>
      <c r="K78" s="99"/>
      <c r="L78" s="99"/>
      <c r="M78" s="99"/>
      <c r="N78" s="43">
        <f t="shared" si="1"/>
        <v>3496.8720703125</v>
      </c>
      <c r="O78" s="43"/>
      <c r="P78" s="23"/>
      <c r="Q78" s="23"/>
    </row>
    <row r="79" spans="1:17">
      <c r="A79" s="23"/>
      <c r="B79" s="53">
        <v>69</v>
      </c>
      <c r="C79" s="58">
        <v>3738.1708984375</v>
      </c>
      <c r="D79" s="59">
        <v>5466733</v>
      </c>
      <c r="E79" s="59">
        <v>0</v>
      </c>
      <c r="F79" s="59">
        <v>-83.380729675292969</v>
      </c>
      <c r="G79" s="42">
        <v>0</v>
      </c>
      <c r="H79" s="23"/>
      <c r="I79" s="23"/>
      <c r="J79" s="99"/>
      <c r="K79" s="99"/>
      <c r="L79" s="99"/>
      <c r="M79" s="99"/>
      <c r="N79" s="43">
        <f t="shared" si="1"/>
        <v>3738.1708984375</v>
      </c>
      <c r="O79" s="43"/>
      <c r="P79" s="23"/>
      <c r="Q79" s="23"/>
    </row>
    <row r="80" spans="1:17">
      <c r="A80" s="23"/>
      <c r="B80" s="53">
        <v>70</v>
      </c>
      <c r="C80" s="58">
        <v>3996.12109375</v>
      </c>
      <c r="D80" s="59">
        <v>5129453</v>
      </c>
      <c r="E80" s="59">
        <v>0</v>
      </c>
      <c r="F80" s="59">
        <v>-83.65997314453125</v>
      </c>
      <c r="G80" s="42">
        <v>0</v>
      </c>
      <c r="H80" s="23"/>
      <c r="I80" s="23"/>
      <c r="J80" s="99"/>
      <c r="K80" s="99"/>
      <c r="L80" s="99"/>
      <c r="M80" s="99"/>
      <c r="N80" s="43">
        <f t="shared" si="1"/>
        <v>3996.12109375</v>
      </c>
      <c r="O80" s="43"/>
      <c r="P80" s="23"/>
      <c r="Q80" s="23"/>
    </row>
    <row r="81" spans="1:17">
      <c r="A81" s="23"/>
      <c r="B81" s="53">
        <v>71</v>
      </c>
      <c r="C81" s="58">
        <v>4271.8701171875</v>
      </c>
      <c r="D81" s="59">
        <v>4811534</v>
      </c>
      <c r="E81" s="59">
        <v>0</v>
      </c>
      <c r="F81" s="59">
        <v>-83.90643310546875</v>
      </c>
      <c r="G81" s="42">
        <v>0</v>
      </c>
      <c r="H81" s="23"/>
      <c r="I81" s="23"/>
      <c r="J81" s="99"/>
      <c r="K81" s="99"/>
      <c r="L81" s="99"/>
      <c r="M81" s="99"/>
      <c r="N81" s="43">
        <f t="shared" si="1"/>
        <v>4271.8701171875</v>
      </c>
      <c r="O81" s="43"/>
      <c r="P81" s="23"/>
      <c r="Q81" s="23"/>
    </row>
    <row r="82" spans="1:17">
      <c r="A82" s="23"/>
      <c r="B82" s="53">
        <v>72</v>
      </c>
      <c r="C82" s="58">
        <v>4566.64697265625</v>
      </c>
      <c r="D82" s="59">
        <v>4515349</v>
      </c>
      <c r="E82" s="59">
        <v>0</v>
      </c>
      <c r="F82" s="59">
        <v>-84.167228698730469</v>
      </c>
      <c r="G82" s="42">
        <v>0</v>
      </c>
      <c r="H82" s="23"/>
      <c r="I82" s="23"/>
      <c r="J82" s="99"/>
      <c r="K82" s="99"/>
      <c r="L82" s="99"/>
      <c r="M82" s="99"/>
      <c r="N82" s="43">
        <f t="shared" si="1"/>
        <v>4566.64697265625</v>
      </c>
      <c r="O82" s="43"/>
      <c r="P82" s="23"/>
      <c r="Q82" s="23"/>
    </row>
    <row r="83" spans="1:17">
      <c r="A83" s="23"/>
      <c r="B83" s="53">
        <v>73</v>
      </c>
      <c r="C83" s="58">
        <v>4881.76416015625</v>
      </c>
      <c r="D83" s="59">
        <v>4237392</v>
      </c>
      <c r="E83" s="59">
        <v>0</v>
      </c>
      <c r="F83" s="59">
        <v>-84.425613403320313</v>
      </c>
      <c r="G83" s="42">
        <v>0</v>
      </c>
      <c r="H83" s="23"/>
      <c r="I83" s="23"/>
      <c r="J83" s="99"/>
      <c r="K83" s="99"/>
      <c r="L83" s="99"/>
      <c r="M83" s="99"/>
      <c r="N83" s="43">
        <f t="shared" si="1"/>
        <v>4881.76416015625</v>
      </c>
      <c r="O83" s="43"/>
      <c r="P83" s="23"/>
      <c r="Q83" s="23"/>
    </row>
    <row r="84" spans="1:17">
      <c r="A84" s="23"/>
      <c r="B84" s="53">
        <v>74</v>
      </c>
      <c r="C84" s="58">
        <v>5218.6259765625</v>
      </c>
      <c r="D84" s="59">
        <v>3974064</v>
      </c>
      <c r="E84" s="59">
        <v>0</v>
      </c>
      <c r="F84" s="59">
        <v>-84.648529052734375</v>
      </c>
      <c r="G84" s="42">
        <v>0</v>
      </c>
      <c r="H84" s="23"/>
      <c r="I84" s="23"/>
      <c r="J84" s="99"/>
      <c r="K84" s="99"/>
      <c r="L84" s="99"/>
      <c r="M84" s="99"/>
      <c r="N84" s="43">
        <f t="shared" si="1"/>
        <v>5218.6259765625</v>
      </c>
      <c r="O84" s="43"/>
      <c r="P84" s="23"/>
      <c r="Q84" s="23"/>
    </row>
    <row r="85" spans="1:17">
      <c r="A85" s="23"/>
      <c r="B85" s="53">
        <v>75</v>
      </c>
      <c r="C85" s="58">
        <v>5578.73291015625</v>
      </c>
      <c r="D85" s="59">
        <v>3726995</v>
      </c>
      <c r="E85" s="59">
        <v>0</v>
      </c>
      <c r="F85" s="59">
        <v>-84.894302368164063</v>
      </c>
      <c r="G85" s="42">
        <v>0</v>
      </c>
      <c r="H85" s="23"/>
      <c r="I85" s="23"/>
      <c r="J85" s="99"/>
      <c r="K85" s="99"/>
      <c r="L85" s="99"/>
      <c r="M85" s="99"/>
      <c r="N85" s="43">
        <f t="shared" si="1"/>
        <v>5578.73291015625</v>
      </c>
      <c r="O85" s="43"/>
      <c r="P85" s="23"/>
      <c r="Q85" s="23"/>
    </row>
    <row r="86" spans="1:17">
      <c r="A86" s="23"/>
      <c r="B86" s="53">
        <v>76</v>
      </c>
      <c r="C86" s="58">
        <v>5963.68896484375</v>
      </c>
      <c r="D86" s="59">
        <v>3493399</v>
      </c>
      <c r="E86" s="59">
        <v>0</v>
      </c>
      <c r="F86" s="59">
        <v>-85.091217041015625</v>
      </c>
      <c r="G86" s="42">
        <v>0</v>
      </c>
      <c r="H86" s="23"/>
      <c r="I86" s="23"/>
      <c r="J86" s="99"/>
      <c r="K86" s="99"/>
      <c r="L86" s="99"/>
      <c r="M86" s="99"/>
      <c r="N86" s="43">
        <f t="shared" si="1"/>
        <v>5963.68896484375</v>
      </c>
      <c r="O86" s="43"/>
      <c r="P86" s="23"/>
      <c r="Q86" s="23"/>
    </row>
    <row r="87" spans="1:17">
      <c r="A87" s="23"/>
      <c r="B87" s="53">
        <v>77</v>
      </c>
      <c r="C87" s="58">
        <v>6375.208984375</v>
      </c>
      <c r="D87" s="59">
        <v>3276187</v>
      </c>
      <c r="E87" s="59">
        <v>0</v>
      </c>
      <c r="F87" s="59">
        <v>-85.302482604980469</v>
      </c>
      <c r="G87" s="42">
        <v>0</v>
      </c>
      <c r="H87" s="23"/>
      <c r="I87" s="23"/>
      <c r="J87" s="99"/>
      <c r="K87" s="99"/>
      <c r="L87" s="99"/>
      <c r="M87" s="99"/>
      <c r="N87" s="43">
        <f t="shared" si="1"/>
        <v>6375.208984375</v>
      </c>
      <c r="O87" s="43"/>
      <c r="P87" s="23"/>
      <c r="Q87" s="23"/>
    </row>
    <row r="88" spans="1:17">
      <c r="A88" s="23"/>
      <c r="B88" s="53">
        <v>78</v>
      </c>
      <c r="C88" s="58">
        <v>6815.125</v>
      </c>
      <c r="D88" s="59">
        <v>3069693</v>
      </c>
      <c r="E88" s="59">
        <v>0</v>
      </c>
      <c r="F88" s="59">
        <v>-85.483802795410156</v>
      </c>
      <c r="G88" s="42">
        <v>0</v>
      </c>
      <c r="H88" s="23"/>
      <c r="I88" s="23"/>
      <c r="J88" s="99"/>
      <c r="K88" s="99"/>
      <c r="L88" s="99"/>
      <c r="M88" s="99"/>
      <c r="N88" s="43">
        <f t="shared" si="1"/>
        <v>6815.125</v>
      </c>
      <c r="O88" s="43"/>
      <c r="P88" s="23"/>
      <c r="Q88" s="23"/>
    </row>
    <row r="89" spans="1:17">
      <c r="A89" s="23"/>
      <c r="B89" s="53">
        <v>79</v>
      </c>
      <c r="C89" s="58">
        <v>7285.39697265625</v>
      </c>
      <c r="D89" s="59">
        <v>2877703</v>
      </c>
      <c r="E89" s="59">
        <v>0</v>
      </c>
      <c r="F89" s="59">
        <v>-85.677238464355469</v>
      </c>
      <c r="G89" s="42">
        <v>0</v>
      </c>
      <c r="H89" s="23"/>
      <c r="I89" s="23"/>
      <c r="J89" s="99"/>
      <c r="K89" s="99"/>
      <c r="L89" s="99"/>
      <c r="M89" s="99"/>
      <c r="N89" s="43">
        <f t="shared" si="1"/>
        <v>7285.39697265625</v>
      </c>
      <c r="O89" s="43"/>
      <c r="P89" s="23"/>
      <c r="Q89" s="23"/>
    </row>
    <row r="90" spans="1:17">
      <c r="A90" s="23"/>
      <c r="B90" s="53">
        <v>80</v>
      </c>
      <c r="C90" s="58">
        <v>7788.119140625</v>
      </c>
      <c r="D90" s="59">
        <v>2696349</v>
      </c>
      <c r="E90" s="59">
        <v>0</v>
      </c>
      <c r="F90" s="59">
        <v>-85.849250793457031</v>
      </c>
      <c r="G90" s="42">
        <v>0</v>
      </c>
      <c r="H90" s="23"/>
      <c r="I90" s="23"/>
      <c r="J90" s="99"/>
      <c r="K90" s="99"/>
      <c r="L90" s="99"/>
      <c r="M90" s="99"/>
      <c r="N90" s="43">
        <f t="shared" si="1"/>
        <v>7788.119140625</v>
      </c>
      <c r="O90" s="43"/>
      <c r="P90" s="23"/>
      <c r="Q90" s="23"/>
    </row>
    <row r="91" spans="1:17">
      <c r="A91" s="23"/>
      <c r="B91" s="53">
        <v>81</v>
      </c>
      <c r="C91" s="58">
        <v>8325.5322265625</v>
      </c>
      <c r="D91" s="59">
        <v>2526699</v>
      </c>
      <c r="E91" s="59">
        <v>0</v>
      </c>
      <c r="F91" s="59">
        <v>-86.011802673339844</v>
      </c>
      <c r="G91" s="42">
        <v>0</v>
      </c>
      <c r="H91" s="23"/>
      <c r="I91" s="23"/>
      <c r="J91" s="99"/>
      <c r="K91" s="99"/>
      <c r="L91" s="99"/>
      <c r="M91" s="99"/>
      <c r="N91" s="43">
        <f t="shared" si="1"/>
        <v>8325.5322265625</v>
      </c>
      <c r="O91" s="43"/>
      <c r="P91" s="23"/>
      <c r="Q91" s="23"/>
    </row>
    <row r="92" spans="1:17">
      <c r="A92" s="23"/>
      <c r="B92" s="53">
        <v>82</v>
      </c>
      <c r="C92" s="58">
        <v>8900.029296875</v>
      </c>
      <c r="D92" s="59">
        <v>2367687</v>
      </c>
      <c r="E92" s="59">
        <v>0</v>
      </c>
      <c r="F92" s="59">
        <v>-86.179862976074219</v>
      </c>
      <c r="G92" s="42">
        <v>0</v>
      </c>
      <c r="H92" s="23"/>
      <c r="I92" s="23"/>
      <c r="J92" s="99"/>
      <c r="K92" s="99"/>
      <c r="L92" s="99"/>
      <c r="M92" s="99"/>
      <c r="N92" s="43">
        <f t="shared" si="1"/>
        <v>8900.029296875</v>
      </c>
      <c r="O92" s="43"/>
      <c r="P92" s="23"/>
      <c r="Q92" s="23"/>
    </row>
    <row r="93" spans="1:17">
      <c r="A93" s="23"/>
      <c r="B93" s="53">
        <v>83</v>
      </c>
      <c r="C93" s="58">
        <v>9514.16796875</v>
      </c>
      <c r="D93" s="59">
        <v>2218495</v>
      </c>
      <c r="E93" s="59">
        <v>0</v>
      </c>
      <c r="F93" s="59">
        <v>-86.333457946777344</v>
      </c>
      <c r="G93" s="42">
        <v>0</v>
      </c>
      <c r="H93" s="23"/>
      <c r="I93" s="23"/>
      <c r="J93" s="99"/>
      <c r="K93" s="99"/>
      <c r="L93" s="99"/>
      <c r="M93" s="99"/>
      <c r="N93" s="43">
        <f t="shared" si="1"/>
        <v>9514.16796875</v>
      </c>
      <c r="O93" s="43"/>
      <c r="P93" s="23"/>
      <c r="Q93" s="23"/>
    </row>
    <row r="94" spans="1:17">
      <c r="A94" s="23"/>
      <c r="B94" s="53">
        <v>84</v>
      </c>
      <c r="C94" s="58">
        <v>10170.6845703125</v>
      </c>
      <c r="D94" s="59">
        <v>2077920</v>
      </c>
      <c r="E94" s="59">
        <v>0</v>
      </c>
      <c r="F94" s="59">
        <v>-86.452842712402344</v>
      </c>
      <c r="G94" s="42">
        <v>0</v>
      </c>
      <c r="H94" s="23"/>
      <c r="I94" s="23"/>
      <c r="J94" s="99"/>
      <c r="K94" s="99"/>
      <c r="L94" s="99"/>
      <c r="M94" s="99"/>
      <c r="N94" s="43">
        <f t="shared" si="1"/>
        <v>10170.6845703125</v>
      </c>
      <c r="O94" s="43"/>
      <c r="P94" s="23"/>
      <c r="Q94" s="23"/>
    </row>
    <row r="95" spans="1:17">
      <c r="A95" s="23"/>
      <c r="B95" s="53">
        <v>85</v>
      </c>
      <c r="C95" s="58">
        <v>10872.5048828125</v>
      </c>
      <c r="D95" s="59">
        <v>1945911</v>
      </c>
      <c r="E95" s="59">
        <v>0</v>
      </c>
      <c r="F95" s="59">
        <v>-86.586982727050781</v>
      </c>
      <c r="G95" s="42">
        <v>0</v>
      </c>
      <c r="H95" s="23"/>
      <c r="I95" s="23"/>
      <c r="J95" s="99"/>
      <c r="K95" s="99"/>
      <c r="L95" s="99"/>
      <c r="M95" s="99"/>
      <c r="N95" s="43">
        <f t="shared" si="1"/>
        <v>10872.5048828125</v>
      </c>
      <c r="O95" s="43"/>
      <c r="P95" s="23"/>
      <c r="Q95" s="23"/>
    </row>
    <row r="96" spans="1:17">
      <c r="A96" s="23"/>
      <c r="B96" s="53">
        <v>86</v>
      </c>
      <c r="C96" s="58">
        <v>11622.7529296875</v>
      </c>
      <c r="D96" s="59">
        <v>1822787</v>
      </c>
      <c r="E96" s="59">
        <v>0</v>
      </c>
      <c r="F96" s="59">
        <v>-86.705192565917969</v>
      </c>
      <c r="G96" s="42">
        <v>0</v>
      </c>
      <c r="H96" s="23"/>
      <c r="I96" s="23"/>
      <c r="J96" s="99"/>
      <c r="K96" s="99"/>
      <c r="L96" s="99"/>
      <c r="M96" s="99"/>
      <c r="N96" s="43">
        <f t="shared" si="1"/>
        <v>11622.7529296875</v>
      </c>
      <c r="O96" s="43"/>
      <c r="P96" s="23"/>
      <c r="Q96" s="23"/>
    </row>
    <row r="97" spans="1:17">
      <c r="A97" s="23"/>
      <c r="B97" s="53">
        <v>87</v>
      </c>
      <c r="C97" s="58">
        <v>12424.771484375</v>
      </c>
      <c r="D97" s="59">
        <v>1708725</v>
      </c>
      <c r="E97" s="59">
        <v>0</v>
      </c>
      <c r="F97" s="59">
        <v>-86.807212829589844</v>
      </c>
      <c r="G97" s="42">
        <v>0</v>
      </c>
      <c r="H97" s="23"/>
      <c r="I97" s="23"/>
      <c r="J97" s="99"/>
      <c r="K97" s="99"/>
      <c r="L97" s="99"/>
      <c r="M97" s="99"/>
      <c r="N97" s="43">
        <f t="shared" si="1"/>
        <v>12424.771484375</v>
      </c>
      <c r="O97" s="43"/>
      <c r="P97" s="23"/>
      <c r="Q97" s="23"/>
    </row>
    <row r="98" spans="1:17">
      <c r="A98" s="23"/>
      <c r="B98" s="53">
        <v>88</v>
      </c>
      <c r="C98" s="58">
        <v>13282.1318359375</v>
      </c>
      <c r="D98" s="59">
        <v>1600489</v>
      </c>
      <c r="E98" s="59">
        <v>0</v>
      </c>
      <c r="F98" s="59">
        <v>-86.92138671875</v>
      </c>
      <c r="G98" s="42">
        <v>0</v>
      </c>
      <c r="H98" s="23"/>
      <c r="I98" s="23"/>
      <c r="J98" s="99"/>
      <c r="K98" s="99"/>
      <c r="L98" s="99"/>
      <c r="M98" s="99"/>
      <c r="N98" s="43">
        <f t="shared" si="1"/>
        <v>13282.1318359375</v>
      </c>
      <c r="O98" s="43"/>
      <c r="P98" s="23"/>
      <c r="Q98" s="23"/>
    </row>
    <row r="99" spans="1:17">
      <c r="A99" s="23"/>
      <c r="B99" s="53">
        <v>89</v>
      </c>
      <c r="C99" s="58">
        <v>14198.6552734375</v>
      </c>
      <c r="D99" s="59">
        <v>1498928</v>
      </c>
      <c r="E99" s="59">
        <v>0</v>
      </c>
      <c r="F99" s="59">
        <v>-87.008209228515625</v>
      </c>
      <c r="G99" s="42">
        <v>0</v>
      </c>
      <c r="H99" s="23"/>
      <c r="I99" s="23"/>
      <c r="J99" s="99"/>
      <c r="K99" s="99"/>
      <c r="L99" s="99"/>
      <c r="M99" s="99"/>
      <c r="N99" s="43">
        <f t="shared" si="1"/>
        <v>14198.6552734375</v>
      </c>
      <c r="O99" s="43"/>
      <c r="P99" s="23"/>
      <c r="Q99" s="23"/>
    </row>
    <row r="100" spans="1:17">
      <c r="A100" s="23"/>
      <c r="B100" s="53">
        <v>90</v>
      </c>
      <c r="C100" s="58">
        <v>15178.4208984375</v>
      </c>
      <c r="D100" s="59">
        <v>1403136</v>
      </c>
      <c r="E100" s="59">
        <v>0</v>
      </c>
      <c r="F100" s="59">
        <v>-87.090652465820313</v>
      </c>
      <c r="G100" s="42">
        <v>0</v>
      </c>
      <c r="H100" s="23"/>
      <c r="I100" s="23"/>
      <c r="J100" s="99"/>
      <c r="K100" s="99"/>
      <c r="L100" s="99"/>
      <c r="M100" s="99"/>
      <c r="N100" s="43">
        <f t="shared" si="1"/>
        <v>15178.4208984375</v>
      </c>
      <c r="O100" s="43"/>
      <c r="P100" s="23"/>
      <c r="Q100" s="23"/>
    </row>
    <row r="101" spans="1:17">
      <c r="A101" s="23"/>
      <c r="B101" s="53">
        <v>91</v>
      </c>
      <c r="C101" s="58">
        <v>16225.7958984375</v>
      </c>
      <c r="D101" s="59">
        <v>1313684</v>
      </c>
      <c r="E101" s="59">
        <v>0</v>
      </c>
      <c r="F101" s="59">
        <v>-87.160026550292969</v>
      </c>
      <c r="G101" s="42">
        <v>0</v>
      </c>
      <c r="H101" s="23"/>
      <c r="I101" s="23"/>
      <c r="J101" s="99"/>
      <c r="K101" s="99"/>
      <c r="L101" s="99"/>
      <c r="M101" s="99"/>
      <c r="N101" s="43">
        <f t="shared" si="1"/>
        <v>16225.7958984375</v>
      </c>
      <c r="O101" s="43"/>
      <c r="P101" s="23"/>
      <c r="Q101" s="23"/>
    </row>
    <row r="102" spans="1:17">
      <c r="A102" s="23"/>
      <c r="B102" s="53">
        <v>92</v>
      </c>
      <c r="C102" s="58">
        <v>17345.443359375</v>
      </c>
      <c r="D102" s="59">
        <v>1229742</v>
      </c>
      <c r="E102" s="59">
        <v>0</v>
      </c>
      <c r="F102" s="59">
        <v>-87.226638793945313</v>
      </c>
      <c r="G102" s="42">
        <v>0</v>
      </c>
      <c r="H102" s="23"/>
      <c r="I102" s="23"/>
      <c r="J102" s="99"/>
      <c r="K102" s="99"/>
      <c r="L102" s="99"/>
      <c r="M102" s="99"/>
      <c r="N102" s="43">
        <f t="shared" si="1"/>
        <v>17345.443359375</v>
      </c>
      <c r="O102" s="43"/>
      <c r="P102" s="23"/>
      <c r="Q102" s="23"/>
    </row>
    <row r="103" spans="1:17">
      <c r="A103" s="23"/>
      <c r="B103" s="53">
        <v>93</v>
      </c>
      <c r="C103" s="58">
        <v>18542.3515625</v>
      </c>
      <c r="D103" s="59">
        <v>1151337</v>
      </c>
      <c r="E103" s="59">
        <v>0</v>
      </c>
      <c r="F103" s="59">
        <v>-87.271827697753906</v>
      </c>
      <c r="G103" s="42">
        <v>0</v>
      </c>
      <c r="H103" s="23"/>
      <c r="I103" s="23"/>
      <c r="J103" s="99"/>
      <c r="K103" s="99"/>
      <c r="L103" s="99"/>
      <c r="M103" s="99"/>
      <c r="N103" s="43">
        <f t="shared" si="1"/>
        <v>18542.3515625</v>
      </c>
      <c r="O103" s="43"/>
      <c r="P103" s="23"/>
      <c r="Q103" s="23"/>
    </row>
    <row r="104" spans="1:17">
      <c r="A104" s="23"/>
      <c r="B104" s="53">
        <v>94</v>
      </c>
      <c r="C104" s="58">
        <v>19821.8515625</v>
      </c>
      <c r="D104" s="59">
        <v>1077757</v>
      </c>
      <c r="E104" s="59">
        <v>0</v>
      </c>
      <c r="F104" s="59">
        <v>-87.32598876953125</v>
      </c>
      <c r="G104" s="42">
        <v>0</v>
      </c>
      <c r="H104" s="23"/>
      <c r="I104" s="23"/>
      <c r="J104" s="99"/>
      <c r="K104" s="99"/>
      <c r="L104" s="99"/>
      <c r="M104" s="99"/>
      <c r="N104" s="43">
        <f t="shared" si="1"/>
        <v>19821.8515625</v>
      </c>
      <c r="O104" s="43"/>
      <c r="P104" s="23"/>
      <c r="Q104" s="23"/>
    </row>
    <row r="105" spans="1:17">
      <c r="A105" s="23"/>
      <c r="B105" s="53">
        <v>95</v>
      </c>
      <c r="C105" s="58">
        <v>21189.640625</v>
      </c>
      <c r="D105" s="59">
        <v>1009042</v>
      </c>
      <c r="E105" s="59">
        <v>0</v>
      </c>
      <c r="F105" s="59">
        <v>-87.360542297363281</v>
      </c>
      <c r="G105" s="42">
        <v>0</v>
      </c>
      <c r="H105" s="23"/>
      <c r="I105" s="23"/>
      <c r="J105" s="99"/>
      <c r="K105" s="99"/>
      <c r="L105" s="99"/>
      <c r="M105" s="99"/>
      <c r="N105" s="43">
        <f t="shared" si="1"/>
        <v>21189.640625</v>
      </c>
      <c r="O105" s="43"/>
      <c r="P105" s="23"/>
      <c r="Q105" s="23"/>
    </row>
    <row r="106" spans="1:17">
      <c r="A106" s="23"/>
      <c r="B106" s="53">
        <v>96</v>
      </c>
      <c r="C106" s="58">
        <v>22651.814453125</v>
      </c>
      <c r="D106" s="59">
        <v>944114.625</v>
      </c>
      <c r="E106" s="59">
        <v>0</v>
      </c>
      <c r="F106" s="59">
        <v>-87.386329650878906</v>
      </c>
      <c r="G106" s="42">
        <v>0</v>
      </c>
      <c r="H106" s="23"/>
      <c r="I106" s="23"/>
      <c r="J106" s="99"/>
      <c r="K106" s="99"/>
      <c r="L106" s="99"/>
      <c r="M106" s="99"/>
      <c r="N106" s="43">
        <f t="shared" si="1"/>
        <v>22651.814453125</v>
      </c>
      <c r="O106" s="43"/>
      <c r="P106" s="23"/>
      <c r="Q106" s="23"/>
    </row>
    <row r="107" spans="1:17">
      <c r="A107" s="23"/>
      <c r="B107" s="53">
        <v>97</v>
      </c>
      <c r="C107" s="58">
        <v>24214.884765625</v>
      </c>
      <c r="D107" s="59">
        <v>883662.1875</v>
      </c>
      <c r="E107" s="59">
        <v>0</v>
      </c>
      <c r="F107" s="59">
        <v>-87.399566650390625</v>
      </c>
      <c r="G107" s="42">
        <v>0</v>
      </c>
      <c r="H107" s="23"/>
      <c r="I107" s="23"/>
      <c r="J107" s="99"/>
      <c r="K107" s="99"/>
      <c r="L107" s="99"/>
      <c r="M107" s="99"/>
      <c r="N107" s="43">
        <f t="shared" si="1"/>
        <v>24214.884765625</v>
      </c>
      <c r="O107" s="43"/>
      <c r="P107" s="23"/>
      <c r="Q107" s="23"/>
    </row>
    <row r="108" spans="1:17">
      <c r="A108" s="23"/>
      <c r="B108" s="53">
        <v>98</v>
      </c>
      <c r="C108" s="58">
        <v>25885.8125</v>
      </c>
      <c r="D108" s="59">
        <v>827247.3125</v>
      </c>
      <c r="E108" s="59">
        <v>0</v>
      </c>
      <c r="F108" s="59">
        <v>-87.408416748046875</v>
      </c>
      <c r="G108" s="42">
        <v>0</v>
      </c>
      <c r="H108" s="23"/>
      <c r="I108" s="23"/>
      <c r="J108" s="99"/>
      <c r="K108" s="99"/>
      <c r="L108" s="99"/>
      <c r="M108" s="99"/>
      <c r="N108" s="43">
        <f t="shared" si="1"/>
        <v>25885.8125</v>
      </c>
      <c r="O108" s="43"/>
      <c r="P108" s="23"/>
      <c r="Q108" s="23"/>
    </row>
    <row r="109" spans="1:17">
      <c r="A109" s="23"/>
      <c r="B109" s="53">
        <v>99</v>
      </c>
      <c r="C109" s="58">
        <v>27672.041015625</v>
      </c>
      <c r="D109" s="59">
        <v>774293.8125</v>
      </c>
      <c r="E109" s="59">
        <v>0</v>
      </c>
      <c r="F109" s="59">
        <v>-87.410209655761719</v>
      </c>
      <c r="G109" s="42">
        <v>0</v>
      </c>
      <c r="H109" s="23"/>
      <c r="I109" s="23"/>
      <c r="J109" s="99"/>
      <c r="K109" s="99"/>
      <c r="L109" s="99"/>
      <c r="M109" s="99"/>
      <c r="N109" s="43">
        <f t="shared" si="1"/>
        <v>27672.041015625</v>
      </c>
      <c r="O109" s="43"/>
      <c r="P109" s="23"/>
      <c r="Q109" s="23"/>
    </row>
    <row r="110" spans="1:17">
      <c r="A110" s="23"/>
      <c r="B110" s="53">
        <v>100</v>
      </c>
      <c r="C110" s="58">
        <v>29581.52734375</v>
      </c>
      <c r="D110" s="59">
        <v>724548.125</v>
      </c>
      <c r="E110" s="59">
        <v>0</v>
      </c>
      <c r="F110" s="59">
        <v>-87.4066162109375</v>
      </c>
      <c r="G110" s="42">
        <v>0</v>
      </c>
      <c r="H110" s="23"/>
      <c r="I110" s="23"/>
      <c r="J110" s="99"/>
      <c r="K110" s="99"/>
      <c r="L110" s="99"/>
      <c r="M110" s="99"/>
      <c r="N110" s="43">
        <f t="shared" si="1"/>
        <v>29581.52734375</v>
      </c>
      <c r="O110" s="43"/>
      <c r="P110" s="23"/>
      <c r="Q110" s="23"/>
    </row>
    <row r="111" spans="1:17">
      <c r="A111" s="23"/>
      <c r="B111" s="53">
        <v>101</v>
      </c>
      <c r="C111" s="58">
        <v>31622.77734375</v>
      </c>
      <c r="D111" s="59">
        <v>678078.375</v>
      </c>
      <c r="E111" s="59">
        <v>0</v>
      </c>
      <c r="F111" s="59">
        <v>-87.384857177734375</v>
      </c>
      <c r="G111" s="42">
        <v>0</v>
      </c>
      <c r="H111" s="23"/>
      <c r="I111" s="23"/>
      <c r="J111" s="99"/>
      <c r="K111" s="99"/>
      <c r="L111" s="99"/>
      <c r="M111" s="99"/>
      <c r="N111" s="43">
        <f t="shared" si="1"/>
        <v>31622.77734375</v>
      </c>
      <c r="O111" s="43"/>
      <c r="P111" s="23"/>
      <c r="Q111" s="23"/>
    </row>
    <row r="112" spans="1:17">
      <c r="A112" s="23"/>
      <c r="B112" s="53">
        <v>102</v>
      </c>
      <c r="C112" s="58">
        <v>33804.87890625</v>
      </c>
      <c r="D112" s="59">
        <v>634703.625</v>
      </c>
      <c r="E112" s="59">
        <v>0</v>
      </c>
      <c r="F112" s="59">
        <v>-87.355232238769531</v>
      </c>
      <c r="G112" s="42">
        <v>0</v>
      </c>
      <c r="H112" s="23"/>
      <c r="I112" s="23"/>
      <c r="J112" s="99"/>
      <c r="K112" s="99"/>
      <c r="L112" s="99"/>
      <c r="M112" s="99"/>
      <c r="N112" s="43">
        <f t="shared" si="1"/>
        <v>33804.87890625</v>
      </c>
      <c r="O112" s="43"/>
      <c r="P112" s="23"/>
      <c r="Q112" s="23"/>
    </row>
    <row r="113" spans="1:17">
      <c r="A113" s="23"/>
      <c r="B113" s="53">
        <v>103</v>
      </c>
      <c r="C113" s="58">
        <v>36137.55859375</v>
      </c>
      <c r="D113" s="59">
        <v>593969.6875</v>
      </c>
      <c r="E113" s="59">
        <v>0</v>
      </c>
      <c r="F113" s="59">
        <v>-87.317817687988281</v>
      </c>
      <c r="G113" s="42">
        <v>0</v>
      </c>
      <c r="H113" s="23"/>
      <c r="I113" s="23"/>
      <c r="J113" s="99"/>
      <c r="K113" s="99"/>
      <c r="L113" s="99"/>
      <c r="M113" s="99"/>
      <c r="N113" s="43">
        <f t="shared" si="1"/>
        <v>36137.55859375</v>
      </c>
      <c r="O113" s="43"/>
      <c r="P113" s="23"/>
      <c r="Q113" s="23"/>
    </row>
    <row r="114" spans="1:17">
      <c r="A114" s="23"/>
      <c r="B114" s="53">
        <v>104</v>
      </c>
      <c r="C114" s="58">
        <v>38631.19921875</v>
      </c>
      <c r="D114" s="59">
        <v>555976.5</v>
      </c>
      <c r="E114" s="59">
        <v>0</v>
      </c>
      <c r="F114" s="59">
        <v>-87.26812744140625</v>
      </c>
      <c r="G114" s="42">
        <v>0</v>
      </c>
      <c r="H114" s="23"/>
      <c r="I114" s="23"/>
      <c r="J114" s="99"/>
      <c r="K114" s="99"/>
      <c r="L114" s="99"/>
      <c r="M114" s="99"/>
      <c r="N114" s="43">
        <f t="shared" si="1"/>
        <v>38631.19921875</v>
      </c>
      <c r="O114" s="43"/>
      <c r="P114" s="23"/>
      <c r="Q114" s="23"/>
    </row>
    <row r="115" spans="1:17">
      <c r="A115" s="23"/>
      <c r="B115" s="53">
        <v>105</v>
      </c>
      <c r="C115" s="58">
        <v>41296.9140625</v>
      </c>
      <c r="D115" s="59">
        <v>520434.8125</v>
      </c>
      <c r="E115" s="59">
        <v>0</v>
      </c>
      <c r="F115" s="59">
        <v>-87.208259582519531</v>
      </c>
      <c r="G115" s="42">
        <v>0</v>
      </c>
      <c r="H115" s="23"/>
      <c r="I115" s="23"/>
      <c r="J115" s="99"/>
      <c r="K115" s="99"/>
      <c r="L115" s="99"/>
      <c r="M115" s="99"/>
      <c r="N115" s="43">
        <f t="shared" si="1"/>
        <v>41296.9140625</v>
      </c>
      <c r="O115" s="43"/>
      <c r="P115" s="23"/>
      <c r="Q115" s="23"/>
    </row>
    <row r="116" spans="1:17">
      <c r="A116" s="23"/>
      <c r="B116" s="53">
        <v>106</v>
      </c>
      <c r="C116" s="58">
        <v>44146.57421875</v>
      </c>
      <c r="D116" s="59">
        <v>487081.8125</v>
      </c>
      <c r="E116" s="59">
        <v>0</v>
      </c>
      <c r="F116" s="59">
        <v>-87.139602661132813</v>
      </c>
      <c r="G116" s="42">
        <v>0</v>
      </c>
      <c r="H116" s="23"/>
      <c r="I116" s="23"/>
      <c r="J116" s="99"/>
      <c r="K116" s="99"/>
      <c r="L116" s="99"/>
      <c r="M116" s="99"/>
      <c r="N116" s="43">
        <f t="shared" si="1"/>
        <v>44146.57421875</v>
      </c>
      <c r="O116" s="43"/>
      <c r="P116" s="23"/>
      <c r="Q116" s="23"/>
    </row>
    <row r="117" spans="1:17">
      <c r="A117" s="23"/>
      <c r="B117" s="53">
        <v>107</v>
      </c>
      <c r="C117" s="58">
        <v>47192.87109375</v>
      </c>
      <c r="D117" s="59">
        <v>455853.59375</v>
      </c>
      <c r="E117" s="59">
        <v>0</v>
      </c>
      <c r="F117" s="59">
        <v>-87.065689086914063</v>
      </c>
      <c r="G117" s="42">
        <v>0</v>
      </c>
      <c r="H117" s="23"/>
      <c r="I117" s="23"/>
      <c r="J117" s="99"/>
      <c r="K117" s="99"/>
      <c r="L117" s="99"/>
      <c r="M117" s="99"/>
      <c r="N117" s="43">
        <f t="shared" si="1"/>
        <v>47192.87109375</v>
      </c>
      <c r="O117" s="43"/>
      <c r="P117" s="23"/>
      <c r="Q117" s="23"/>
    </row>
    <row r="118" spans="1:17">
      <c r="A118" s="23"/>
      <c r="B118" s="53">
        <v>108</v>
      </c>
      <c r="C118" s="58">
        <v>50449.375</v>
      </c>
      <c r="D118" s="59">
        <v>426646.1875</v>
      </c>
      <c r="E118" s="59">
        <v>0</v>
      </c>
      <c r="F118" s="59">
        <v>-86.969467163085938</v>
      </c>
      <c r="G118" s="42">
        <v>0</v>
      </c>
      <c r="H118" s="23"/>
      <c r="I118" s="23"/>
      <c r="J118" s="99"/>
      <c r="K118" s="99"/>
      <c r="L118" s="99"/>
      <c r="M118" s="99"/>
      <c r="N118" s="43">
        <f t="shared" si="1"/>
        <v>50449.375</v>
      </c>
      <c r="O118" s="43"/>
      <c r="P118" s="23"/>
      <c r="Q118" s="23"/>
    </row>
    <row r="119" spans="1:17">
      <c r="A119" s="23"/>
      <c r="B119" s="53">
        <v>109</v>
      </c>
      <c r="C119" s="58">
        <v>53930.59375</v>
      </c>
      <c r="D119" s="59">
        <v>399302.8125</v>
      </c>
      <c r="E119" s="59">
        <v>0</v>
      </c>
      <c r="F119" s="59">
        <v>-86.864303588867188</v>
      </c>
      <c r="G119" s="42">
        <v>0</v>
      </c>
      <c r="H119" s="23"/>
      <c r="I119" s="23"/>
      <c r="J119" s="99"/>
      <c r="K119" s="99"/>
      <c r="L119" s="99"/>
      <c r="M119" s="99"/>
      <c r="N119" s="43">
        <f t="shared" si="1"/>
        <v>53930.59375</v>
      </c>
      <c r="O119" s="43"/>
      <c r="P119" s="23"/>
      <c r="Q119" s="23"/>
    </row>
    <row r="120" spans="1:17">
      <c r="A120" s="23"/>
      <c r="B120" s="53">
        <v>110</v>
      </c>
      <c r="C120" s="58">
        <v>57652.03125</v>
      </c>
      <c r="D120" s="59">
        <v>373791.6875</v>
      </c>
      <c r="E120" s="59">
        <v>0</v>
      </c>
      <c r="F120" s="59">
        <v>-86.757102966308594</v>
      </c>
      <c r="G120" s="42">
        <v>0</v>
      </c>
      <c r="H120" s="23"/>
      <c r="I120" s="23"/>
      <c r="J120" s="99"/>
      <c r="K120" s="99"/>
      <c r="L120" s="99"/>
      <c r="M120" s="99"/>
      <c r="N120" s="43">
        <f t="shared" si="1"/>
        <v>57652.03125</v>
      </c>
      <c r="O120" s="43"/>
      <c r="P120" s="23"/>
      <c r="Q120" s="23"/>
    </row>
    <row r="121" spans="1:17">
      <c r="A121" s="23"/>
      <c r="B121" s="53">
        <v>111</v>
      </c>
      <c r="C121" s="58">
        <v>61630.26171875</v>
      </c>
      <c r="D121" s="59">
        <v>350020.3125</v>
      </c>
      <c r="E121" s="59">
        <v>0</v>
      </c>
      <c r="F121" s="59">
        <v>-86.632080078125</v>
      </c>
      <c r="G121" s="42">
        <v>0</v>
      </c>
      <c r="H121" s="23"/>
      <c r="I121" s="23"/>
      <c r="J121" s="99"/>
      <c r="K121" s="99"/>
      <c r="L121" s="99"/>
      <c r="M121" s="99"/>
      <c r="N121" s="43">
        <f t="shared" si="1"/>
        <v>61630.26171875</v>
      </c>
      <c r="O121" s="43"/>
      <c r="P121" s="23"/>
      <c r="Q121" s="23"/>
    </row>
    <row r="122" spans="1:17">
      <c r="A122" s="23"/>
      <c r="B122" s="53">
        <v>112</v>
      </c>
      <c r="C122" s="58">
        <v>65883.0078125</v>
      </c>
      <c r="D122" s="59">
        <v>327757.90625</v>
      </c>
      <c r="E122" s="59">
        <v>0</v>
      </c>
      <c r="F122" s="59">
        <v>-86.487960815429688</v>
      </c>
      <c r="G122" s="42">
        <v>0</v>
      </c>
      <c r="H122" s="23"/>
      <c r="I122" s="23"/>
      <c r="J122" s="99"/>
      <c r="K122" s="99"/>
      <c r="L122" s="99"/>
      <c r="M122" s="99"/>
      <c r="N122" s="43">
        <f t="shared" si="1"/>
        <v>65883.0078125</v>
      </c>
      <c r="O122" s="43"/>
      <c r="P122" s="23"/>
      <c r="Q122" s="23"/>
    </row>
    <row r="123" spans="1:17">
      <c r="A123" s="23"/>
      <c r="B123" s="53">
        <v>113</v>
      </c>
      <c r="C123" s="58">
        <v>70429.203125</v>
      </c>
      <c r="D123" s="59">
        <v>306954.5</v>
      </c>
      <c r="E123" s="59">
        <v>0</v>
      </c>
      <c r="F123" s="59">
        <v>-86.340660095214844</v>
      </c>
      <c r="G123" s="42">
        <v>0</v>
      </c>
      <c r="H123" s="23"/>
      <c r="I123" s="23"/>
      <c r="J123" s="99"/>
      <c r="K123" s="99"/>
      <c r="L123" s="99"/>
      <c r="M123" s="99"/>
      <c r="N123" s="43">
        <f t="shared" si="1"/>
        <v>70429.203125</v>
      </c>
      <c r="O123" s="43"/>
      <c r="P123" s="23"/>
      <c r="Q123" s="23"/>
    </row>
    <row r="124" spans="1:17">
      <c r="A124" s="23"/>
      <c r="B124" s="53">
        <v>114</v>
      </c>
      <c r="C124" s="58">
        <v>75289.1171875</v>
      </c>
      <c r="D124" s="59">
        <v>287506.5</v>
      </c>
      <c r="E124" s="59">
        <v>0</v>
      </c>
      <c r="F124" s="59">
        <v>-86.176246643066406</v>
      </c>
      <c r="G124" s="42">
        <v>0</v>
      </c>
      <c r="H124" s="23"/>
      <c r="I124" s="23"/>
      <c r="J124" s="99"/>
      <c r="K124" s="99"/>
      <c r="L124" s="99"/>
      <c r="M124" s="99"/>
      <c r="N124" s="43">
        <f t="shared" si="1"/>
        <v>75289.1171875</v>
      </c>
      <c r="O124" s="43"/>
      <c r="P124" s="23"/>
      <c r="Q124" s="23"/>
    </row>
    <row r="125" spans="1:17">
      <c r="A125" s="23"/>
      <c r="B125" s="53">
        <v>115</v>
      </c>
      <c r="C125" s="58">
        <v>80484.3828125</v>
      </c>
      <c r="D125" s="59">
        <v>269077.5</v>
      </c>
      <c r="E125" s="59">
        <v>0</v>
      </c>
      <c r="F125" s="59">
        <v>-85.992843627929688</v>
      </c>
      <c r="G125" s="42">
        <v>0</v>
      </c>
      <c r="H125" s="23"/>
      <c r="I125" s="23"/>
      <c r="J125" s="99"/>
      <c r="K125" s="99"/>
      <c r="L125" s="99"/>
      <c r="M125" s="99"/>
      <c r="N125" s="43">
        <f t="shared" si="1"/>
        <v>80484.3828125</v>
      </c>
      <c r="O125" s="43"/>
      <c r="P125" s="23"/>
      <c r="Q125" s="23"/>
    </row>
    <row r="126" spans="1:17">
      <c r="A126" s="23"/>
      <c r="B126" s="53">
        <v>116</v>
      </c>
      <c r="C126" s="58">
        <v>86038.140625</v>
      </c>
      <c r="D126" s="59">
        <v>251914.40625</v>
      </c>
      <c r="E126" s="59">
        <v>0</v>
      </c>
      <c r="F126" s="59">
        <v>-85.786209106445313</v>
      </c>
      <c r="G126" s="42">
        <v>0</v>
      </c>
      <c r="H126" s="23"/>
      <c r="I126" s="23"/>
      <c r="J126" s="99"/>
      <c r="K126" s="99"/>
      <c r="L126" s="99"/>
      <c r="M126" s="99"/>
      <c r="N126" s="43">
        <f t="shared" si="1"/>
        <v>86038.140625</v>
      </c>
      <c r="O126" s="43"/>
      <c r="P126" s="23"/>
      <c r="Q126" s="23"/>
    </row>
    <row r="127" spans="1:17">
      <c r="A127" s="23"/>
      <c r="B127" s="53">
        <v>117</v>
      </c>
      <c r="C127" s="58">
        <v>91975.125</v>
      </c>
      <c r="D127" s="59">
        <v>235862.703125</v>
      </c>
      <c r="E127" s="59">
        <v>0</v>
      </c>
      <c r="F127" s="59">
        <v>-85.579139709472656</v>
      </c>
      <c r="G127" s="42">
        <v>0</v>
      </c>
      <c r="H127" s="23"/>
      <c r="I127" s="23"/>
      <c r="J127" s="99"/>
      <c r="K127" s="99"/>
      <c r="L127" s="99"/>
      <c r="M127" s="99"/>
      <c r="N127" s="43">
        <f t="shared" si="1"/>
        <v>91975.125</v>
      </c>
      <c r="O127" s="43"/>
      <c r="P127" s="23"/>
      <c r="Q127" s="23"/>
    </row>
    <row r="128" spans="1:17">
      <c r="A128" s="23"/>
      <c r="B128" s="53">
        <v>118</v>
      </c>
      <c r="C128" s="58">
        <v>98321.796875</v>
      </c>
      <c r="D128" s="59">
        <v>220876.296875</v>
      </c>
      <c r="E128" s="59">
        <v>0</v>
      </c>
      <c r="F128" s="59">
        <v>-85.3353271484375</v>
      </c>
      <c r="G128" s="42">
        <v>0</v>
      </c>
      <c r="H128" s="23"/>
      <c r="I128" s="23"/>
      <c r="J128" s="99"/>
      <c r="K128" s="99"/>
      <c r="L128" s="99"/>
      <c r="M128" s="99"/>
      <c r="N128" s="43">
        <f t="shared" si="1"/>
        <v>98321.796875</v>
      </c>
      <c r="O128" s="43"/>
      <c r="P128" s="23"/>
      <c r="Q128" s="23"/>
    </row>
    <row r="129" spans="1:17">
      <c r="A129" s="23"/>
      <c r="B129" s="53">
        <v>119</v>
      </c>
      <c r="C129" s="58">
        <v>105106.40625</v>
      </c>
      <c r="D129" s="59">
        <v>206840.5</v>
      </c>
      <c r="E129" s="59">
        <v>0</v>
      </c>
      <c r="F129" s="59">
        <v>-85.089759826660156</v>
      </c>
      <c r="G129" s="42">
        <v>0</v>
      </c>
      <c r="H129" s="23"/>
      <c r="I129" s="23"/>
      <c r="J129" s="99"/>
      <c r="K129" s="99"/>
      <c r="L129" s="99"/>
      <c r="M129" s="99"/>
      <c r="N129" s="43">
        <f t="shared" si="1"/>
        <v>105106.40625</v>
      </c>
      <c r="O129" s="43"/>
      <c r="P129" s="23"/>
      <c r="Q129" s="23"/>
    </row>
    <row r="130" spans="1:17">
      <c r="A130" s="23"/>
      <c r="B130" s="53">
        <v>120</v>
      </c>
      <c r="C130" s="58">
        <v>112359.1875</v>
      </c>
      <c r="D130" s="59">
        <v>193698</v>
      </c>
      <c r="E130" s="59">
        <v>0</v>
      </c>
      <c r="F130" s="59">
        <v>-84.827667236328125</v>
      </c>
      <c r="G130" s="42">
        <v>0</v>
      </c>
      <c r="H130" s="23"/>
      <c r="I130" s="23"/>
      <c r="J130" s="99"/>
      <c r="K130" s="99"/>
      <c r="L130" s="99"/>
      <c r="M130" s="99"/>
      <c r="N130" s="43">
        <f t="shared" si="1"/>
        <v>112359.1875</v>
      </c>
      <c r="O130" s="43"/>
      <c r="P130" s="23"/>
      <c r="Q130" s="23"/>
    </row>
    <row r="131" spans="1:17">
      <c r="A131" s="23"/>
      <c r="B131" s="53">
        <v>121</v>
      </c>
      <c r="C131" s="58">
        <v>120112.4453125</v>
      </c>
      <c r="D131" s="59">
        <v>181428.59375</v>
      </c>
      <c r="E131" s="59">
        <v>0</v>
      </c>
      <c r="F131" s="59">
        <v>-84.538909912109375</v>
      </c>
      <c r="G131" s="42">
        <v>0</v>
      </c>
      <c r="H131" s="23"/>
      <c r="I131" s="23"/>
      <c r="J131" s="99"/>
      <c r="K131" s="99"/>
      <c r="L131" s="99"/>
      <c r="M131" s="99"/>
      <c r="N131" s="43">
        <f t="shared" si="1"/>
        <v>120112.4453125</v>
      </c>
      <c r="O131" s="43"/>
      <c r="P131" s="23"/>
      <c r="Q131" s="23"/>
    </row>
    <row r="132" spans="1:17">
      <c r="A132" s="23"/>
      <c r="B132" s="53">
        <v>122</v>
      </c>
      <c r="C132" s="58">
        <v>128400.703125</v>
      </c>
      <c r="D132" s="59">
        <v>169954.90625</v>
      </c>
      <c r="E132" s="59">
        <v>0</v>
      </c>
      <c r="F132" s="59">
        <v>-84.245231628417969</v>
      </c>
      <c r="G132" s="42">
        <v>0</v>
      </c>
      <c r="H132" s="23"/>
      <c r="I132" s="23"/>
      <c r="J132" s="99"/>
      <c r="K132" s="99"/>
      <c r="L132" s="99"/>
      <c r="M132" s="99"/>
      <c r="N132" s="43">
        <f t="shared" si="1"/>
        <v>128400.703125</v>
      </c>
      <c r="O132" s="43"/>
      <c r="P132" s="23"/>
      <c r="Q132" s="23"/>
    </row>
    <row r="133" spans="1:17">
      <c r="A133" s="23"/>
      <c r="B133" s="53">
        <v>123</v>
      </c>
      <c r="C133" s="58">
        <v>137260.890625</v>
      </c>
      <c r="D133" s="59">
        <v>159249.296875</v>
      </c>
      <c r="E133" s="59">
        <v>0</v>
      </c>
      <c r="F133" s="59">
        <v>-83.920677185058594</v>
      </c>
      <c r="G133" s="42">
        <v>0</v>
      </c>
      <c r="H133" s="23"/>
      <c r="I133" s="23"/>
      <c r="J133" s="99"/>
      <c r="K133" s="99"/>
      <c r="L133" s="99"/>
      <c r="M133" s="99"/>
      <c r="N133" s="43">
        <f t="shared" si="1"/>
        <v>137260.890625</v>
      </c>
      <c r="O133" s="43"/>
      <c r="P133" s="23"/>
      <c r="Q133" s="23"/>
    </row>
    <row r="134" spans="1:17">
      <c r="A134" s="23"/>
      <c r="B134" s="53">
        <v>124</v>
      </c>
      <c r="C134" s="58">
        <v>146732.46875</v>
      </c>
      <c r="D134" s="59">
        <v>149113.59375</v>
      </c>
      <c r="E134" s="59">
        <v>0</v>
      </c>
      <c r="F134" s="59">
        <v>-83.565727233886719</v>
      </c>
      <c r="G134" s="42">
        <v>0</v>
      </c>
      <c r="H134" s="23"/>
      <c r="I134" s="23"/>
      <c r="J134" s="99"/>
      <c r="K134" s="99"/>
      <c r="L134" s="99"/>
      <c r="M134" s="99"/>
      <c r="N134" s="43">
        <f t="shared" si="1"/>
        <v>146732.46875</v>
      </c>
      <c r="O134" s="43"/>
      <c r="P134" s="23"/>
      <c r="Q134" s="23"/>
    </row>
    <row r="135" spans="1:17">
      <c r="A135" s="23"/>
      <c r="B135" s="53">
        <v>125</v>
      </c>
      <c r="C135" s="58">
        <v>156857.609375</v>
      </c>
      <c r="D135" s="59">
        <v>139772.796875</v>
      </c>
      <c r="E135" s="59">
        <v>0</v>
      </c>
      <c r="F135" s="59">
        <v>-83.195121765136719</v>
      </c>
      <c r="G135" s="42">
        <v>0</v>
      </c>
      <c r="H135" s="23"/>
      <c r="I135" s="23"/>
      <c r="J135" s="99"/>
      <c r="K135" s="99"/>
      <c r="L135" s="99"/>
      <c r="M135" s="99"/>
      <c r="N135" s="43">
        <f t="shared" si="1"/>
        <v>156857.609375</v>
      </c>
      <c r="O135" s="43"/>
      <c r="P135" s="23"/>
      <c r="Q135" s="23"/>
    </row>
    <row r="136" spans="1:17">
      <c r="A136" s="23"/>
      <c r="B136" s="53">
        <v>126</v>
      </c>
      <c r="C136" s="58">
        <v>167681.4375</v>
      </c>
      <c r="D136" s="59">
        <v>131465.296875</v>
      </c>
      <c r="E136" s="59">
        <v>0</v>
      </c>
      <c r="F136" s="59">
        <v>-82.784942626953125</v>
      </c>
      <c r="G136" s="42">
        <v>0</v>
      </c>
      <c r="H136" s="23"/>
      <c r="I136" s="23"/>
      <c r="J136" s="99"/>
      <c r="K136" s="99"/>
      <c r="L136" s="99"/>
      <c r="M136" s="99"/>
      <c r="N136" s="43">
        <f t="shared" si="1"/>
        <v>167681.4375</v>
      </c>
      <c r="O136" s="43"/>
      <c r="P136" s="23"/>
      <c r="Q136" s="23"/>
    </row>
    <row r="137" spans="1:17">
      <c r="A137" s="23"/>
      <c r="B137" s="53">
        <v>127</v>
      </c>
      <c r="C137" s="58">
        <v>179252.15625</v>
      </c>
      <c r="D137" s="59">
        <v>123379.5</v>
      </c>
      <c r="E137" s="59">
        <v>0</v>
      </c>
      <c r="F137" s="59">
        <v>-82.355087280273438</v>
      </c>
      <c r="G137" s="42">
        <v>0</v>
      </c>
      <c r="H137" s="23"/>
      <c r="I137" s="23"/>
      <c r="J137" s="99"/>
      <c r="K137" s="99"/>
      <c r="L137" s="99"/>
      <c r="M137" s="99"/>
      <c r="N137" s="43">
        <f t="shared" si="1"/>
        <v>179252.15625</v>
      </c>
      <c r="O137" s="43"/>
      <c r="P137" s="23"/>
      <c r="Q137" s="23"/>
    </row>
    <row r="138" spans="1:17">
      <c r="A138" s="23"/>
      <c r="B138" s="53">
        <v>128</v>
      </c>
      <c r="C138" s="58">
        <v>191621.3125</v>
      </c>
      <c r="D138" s="59">
        <v>115630.3984375</v>
      </c>
      <c r="E138" s="59">
        <v>0</v>
      </c>
      <c r="F138" s="59">
        <v>-81.905937194824219</v>
      </c>
      <c r="G138" s="42">
        <v>0</v>
      </c>
      <c r="H138" s="23"/>
      <c r="I138" s="23"/>
      <c r="J138" s="99"/>
      <c r="K138" s="99"/>
      <c r="L138" s="99"/>
      <c r="M138" s="99"/>
      <c r="N138" s="43">
        <f t="shared" si="1"/>
        <v>191621.3125</v>
      </c>
      <c r="O138" s="43"/>
      <c r="P138" s="23"/>
      <c r="Q138" s="23"/>
    </row>
    <row r="139" spans="1:17">
      <c r="A139" s="23"/>
      <c r="B139" s="53">
        <v>129</v>
      </c>
      <c r="C139" s="58">
        <v>204843.984375</v>
      </c>
      <c r="D139" s="59">
        <v>108675.296875</v>
      </c>
      <c r="E139" s="59">
        <v>0</v>
      </c>
      <c r="F139" s="59">
        <v>-81.409927368164063</v>
      </c>
      <c r="G139" s="42">
        <v>0</v>
      </c>
      <c r="H139" s="23"/>
      <c r="I139" s="23"/>
      <c r="J139" s="99"/>
      <c r="K139" s="99"/>
      <c r="L139" s="99"/>
      <c r="M139" s="99"/>
      <c r="N139" s="43">
        <f t="shared" ref="N139:N202" si="2">IF($L$4=$C$10,C139,IF(D139="","",B139))</f>
        <v>204843.984375</v>
      </c>
      <c r="O139" s="43"/>
      <c r="P139" s="23"/>
      <c r="Q139" s="23"/>
    </row>
    <row r="140" spans="1:17">
      <c r="A140" s="23"/>
      <c r="B140" s="53">
        <v>130</v>
      </c>
      <c r="C140" s="58">
        <v>218979.0625</v>
      </c>
      <c r="D140" s="59">
        <v>101721.8984375</v>
      </c>
      <c r="E140" s="59">
        <v>0</v>
      </c>
      <c r="F140" s="59">
        <v>-80.915771484375</v>
      </c>
      <c r="G140" s="42">
        <v>0</v>
      </c>
      <c r="H140" s="23"/>
      <c r="I140" s="23"/>
      <c r="J140" s="99"/>
      <c r="K140" s="99"/>
      <c r="L140" s="99"/>
      <c r="M140" s="99"/>
      <c r="N140" s="43">
        <f t="shared" si="2"/>
        <v>218979.0625</v>
      </c>
      <c r="O140" s="43"/>
      <c r="P140" s="23"/>
      <c r="Q140" s="23"/>
    </row>
    <row r="141" spans="1:17">
      <c r="A141" s="23"/>
      <c r="B141" s="53">
        <v>131</v>
      </c>
      <c r="C141" s="58">
        <v>234089.53125</v>
      </c>
      <c r="D141" s="59">
        <v>95424.8515625</v>
      </c>
      <c r="E141" s="59">
        <v>0</v>
      </c>
      <c r="F141" s="59">
        <v>-80.382720947265625</v>
      </c>
      <c r="G141" s="42">
        <v>0</v>
      </c>
      <c r="H141" s="23"/>
      <c r="I141" s="23"/>
      <c r="J141" s="99"/>
      <c r="K141" s="99"/>
      <c r="L141" s="99"/>
      <c r="M141" s="99"/>
      <c r="N141" s="43">
        <f t="shared" si="2"/>
        <v>234089.53125</v>
      </c>
      <c r="O141" s="43"/>
      <c r="P141" s="23"/>
      <c r="Q141" s="23"/>
    </row>
    <row r="142" spans="1:17">
      <c r="A142" s="23"/>
      <c r="B142" s="53">
        <v>132</v>
      </c>
      <c r="C142" s="58">
        <v>250242.6875</v>
      </c>
      <c r="D142" s="59">
        <v>89550.6328125</v>
      </c>
      <c r="E142" s="59">
        <v>0</v>
      </c>
      <c r="F142" s="59">
        <v>-79.818122863769531</v>
      </c>
      <c r="G142" s="42">
        <v>0</v>
      </c>
      <c r="H142" s="23"/>
      <c r="I142" s="23"/>
      <c r="J142" s="99"/>
      <c r="K142" s="99"/>
      <c r="L142" s="99"/>
      <c r="M142" s="99"/>
      <c r="N142" s="43">
        <f t="shared" si="2"/>
        <v>250242.6875</v>
      </c>
      <c r="O142" s="43"/>
      <c r="P142" s="23"/>
      <c r="Q142" s="23"/>
    </row>
    <row r="143" spans="1:17">
      <c r="A143" s="23"/>
      <c r="B143" s="53">
        <v>133</v>
      </c>
      <c r="C143" s="58">
        <v>267510.46875</v>
      </c>
      <c r="D143" s="59">
        <v>84079.3984375</v>
      </c>
      <c r="E143" s="59">
        <v>0</v>
      </c>
      <c r="F143" s="59">
        <v>-79.223731994628906</v>
      </c>
      <c r="G143" s="42">
        <v>0</v>
      </c>
      <c r="H143" s="23"/>
      <c r="I143" s="23"/>
      <c r="J143" s="99"/>
      <c r="K143" s="99"/>
      <c r="L143" s="99"/>
      <c r="M143" s="99"/>
      <c r="N143" s="43">
        <f t="shared" si="2"/>
        <v>267510.46875</v>
      </c>
      <c r="O143" s="43"/>
      <c r="P143" s="23"/>
      <c r="Q143" s="23"/>
    </row>
    <row r="144" spans="1:17">
      <c r="A144" s="23"/>
      <c r="B144" s="53">
        <v>134</v>
      </c>
      <c r="C144" s="58">
        <v>285969.8125</v>
      </c>
      <c r="D144" s="59">
        <v>79043.25</v>
      </c>
      <c r="E144" s="59">
        <v>0</v>
      </c>
      <c r="F144" s="59">
        <v>-78.580810546875</v>
      </c>
      <c r="G144" s="42">
        <v>0</v>
      </c>
      <c r="H144" s="23"/>
      <c r="I144" s="23"/>
      <c r="J144" s="99"/>
      <c r="K144" s="99"/>
      <c r="L144" s="99"/>
      <c r="M144" s="99"/>
      <c r="N144" s="43">
        <f t="shared" si="2"/>
        <v>285969.8125</v>
      </c>
      <c r="O144" s="43"/>
      <c r="P144" s="23"/>
      <c r="Q144" s="23"/>
    </row>
    <row r="145" spans="1:17">
      <c r="A145" s="23"/>
      <c r="B145" s="53">
        <v>135</v>
      </c>
      <c r="C145" s="58">
        <v>305702.9375</v>
      </c>
      <c r="D145" s="59">
        <v>74460.171875</v>
      </c>
      <c r="E145" s="59">
        <v>0</v>
      </c>
      <c r="F145" s="59">
        <v>-77.913017272949219</v>
      </c>
      <c r="G145" s="42">
        <v>0</v>
      </c>
      <c r="H145" s="23"/>
      <c r="I145" s="23"/>
      <c r="J145" s="99"/>
      <c r="K145" s="99"/>
      <c r="L145" s="99"/>
      <c r="M145" s="99"/>
      <c r="N145" s="43">
        <f t="shared" si="2"/>
        <v>305702.9375</v>
      </c>
      <c r="O145" s="43"/>
      <c r="P145" s="23"/>
      <c r="Q145" s="23"/>
    </row>
    <row r="146" spans="1:17">
      <c r="A146" s="23"/>
      <c r="B146" s="53">
        <v>136</v>
      </c>
      <c r="C146" s="58">
        <v>326797.71875</v>
      </c>
      <c r="D146" s="59">
        <v>70055.078125</v>
      </c>
      <c r="E146" s="59">
        <v>0</v>
      </c>
      <c r="F146" s="59">
        <v>-77.216827392578125</v>
      </c>
      <c r="G146" s="42">
        <v>0</v>
      </c>
      <c r="H146" s="23"/>
      <c r="I146" s="23"/>
      <c r="J146" s="99"/>
      <c r="K146" s="99"/>
      <c r="L146" s="99"/>
      <c r="M146" s="99"/>
      <c r="N146" s="43">
        <f t="shared" si="2"/>
        <v>326797.71875</v>
      </c>
      <c r="O146" s="43"/>
      <c r="P146" s="23"/>
      <c r="Q146" s="23"/>
    </row>
    <row r="147" spans="1:17">
      <c r="A147" s="23"/>
      <c r="B147" s="53">
        <v>137</v>
      </c>
      <c r="C147" s="58">
        <v>349348.125</v>
      </c>
      <c r="D147" s="59">
        <v>65980.46875</v>
      </c>
      <c r="E147" s="59">
        <v>0</v>
      </c>
      <c r="F147" s="59">
        <v>-76.489669799804688</v>
      </c>
      <c r="G147" s="42">
        <v>0</v>
      </c>
      <c r="H147" s="23"/>
      <c r="I147" s="23"/>
      <c r="J147" s="99"/>
      <c r="K147" s="99"/>
      <c r="L147" s="99"/>
      <c r="M147" s="99"/>
      <c r="N147" s="43">
        <f t="shared" si="2"/>
        <v>349348.125</v>
      </c>
      <c r="O147" s="43"/>
      <c r="P147" s="23"/>
      <c r="Q147" s="23"/>
    </row>
    <row r="148" spans="1:17">
      <c r="A148" s="23"/>
      <c r="B148" s="53">
        <v>138</v>
      </c>
      <c r="C148" s="58">
        <v>373454.59375</v>
      </c>
      <c r="D148" s="59">
        <v>62187.5390625</v>
      </c>
      <c r="E148" s="59">
        <v>0</v>
      </c>
      <c r="F148" s="59">
        <v>-75.733230590820313</v>
      </c>
      <c r="G148" s="42">
        <v>0</v>
      </c>
      <c r="H148" s="23"/>
      <c r="I148" s="23"/>
      <c r="J148" s="99"/>
      <c r="K148" s="99"/>
      <c r="L148" s="99"/>
      <c r="M148" s="99"/>
      <c r="N148" s="43">
        <f t="shared" si="2"/>
        <v>373454.59375</v>
      </c>
      <c r="O148" s="43"/>
      <c r="P148" s="23"/>
      <c r="Q148" s="23"/>
    </row>
    <row r="149" spans="1:17">
      <c r="A149" s="23"/>
      <c r="B149" s="53">
        <v>139</v>
      </c>
      <c r="C149" s="58">
        <v>399224.53125</v>
      </c>
      <c r="D149" s="59">
        <v>58687.1015625</v>
      </c>
      <c r="E149" s="59">
        <v>0</v>
      </c>
      <c r="F149" s="59">
        <v>-74.943489074707031</v>
      </c>
      <c r="G149" s="42">
        <v>0</v>
      </c>
      <c r="H149" s="23"/>
      <c r="I149" s="23"/>
      <c r="J149" s="99"/>
      <c r="K149" s="99"/>
      <c r="L149" s="99"/>
      <c r="M149" s="99"/>
      <c r="N149" s="43">
        <f t="shared" si="2"/>
        <v>399224.53125</v>
      </c>
      <c r="O149" s="43"/>
      <c r="P149" s="23"/>
      <c r="Q149" s="23"/>
    </row>
    <row r="150" spans="1:17">
      <c r="A150" s="23"/>
      <c r="B150" s="53">
        <v>140</v>
      </c>
      <c r="C150" s="58">
        <v>426772.6875</v>
      </c>
      <c r="D150" s="59">
        <v>55453.2109375</v>
      </c>
      <c r="E150" s="59">
        <v>0</v>
      </c>
      <c r="F150" s="59">
        <v>-74.124008178710938</v>
      </c>
      <c r="G150" s="42">
        <v>0</v>
      </c>
      <c r="H150" s="23"/>
      <c r="I150" s="23"/>
      <c r="J150" s="99"/>
      <c r="K150" s="99"/>
      <c r="L150" s="99"/>
      <c r="M150" s="99"/>
      <c r="N150" s="43">
        <f t="shared" si="2"/>
        <v>426772.6875</v>
      </c>
      <c r="O150" s="43"/>
      <c r="P150" s="23"/>
      <c r="Q150" s="23"/>
    </row>
    <row r="151" spans="1:17">
      <c r="A151" s="23"/>
      <c r="B151" s="53">
        <v>141</v>
      </c>
      <c r="C151" s="58">
        <v>456221.78125</v>
      </c>
      <c r="D151" s="59">
        <v>52423.80078125</v>
      </c>
      <c r="E151" s="59">
        <v>0</v>
      </c>
      <c r="F151" s="59">
        <v>-73.285316467285156</v>
      </c>
      <c r="G151" s="42">
        <v>0</v>
      </c>
      <c r="H151" s="23"/>
      <c r="I151" s="23"/>
      <c r="J151" s="99"/>
      <c r="K151" s="99"/>
      <c r="L151" s="99"/>
      <c r="M151" s="99"/>
      <c r="N151" s="43">
        <f t="shared" si="2"/>
        <v>456221.78125</v>
      </c>
      <c r="O151" s="43"/>
      <c r="P151" s="23"/>
      <c r="Q151" s="23"/>
    </row>
    <row r="152" spans="1:17">
      <c r="A152" s="23"/>
      <c r="B152" s="53">
        <v>142</v>
      </c>
      <c r="C152" s="58">
        <v>487702.96875</v>
      </c>
      <c r="D152" s="59">
        <v>49651.1015625</v>
      </c>
      <c r="E152" s="59">
        <v>0</v>
      </c>
      <c r="F152" s="59">
        <v>-72.425559997558594</v>
      </c>
      <c r="G152" s="42">
        <v>0</v>
      </c>
      <c r="H152" s="23"/>
      <c r="I152" s="23"/>
      <c r="J152" s="99"/>
      <c r="K152" s="99"/>
      <c r="L152" s="99"/>
      <c r="M152" s="99"/>
      <c r="N152" s="43">
        <f t="shared" si="2"/>
        <v>487702.96875</v>
      </c>
      <c r="O152" s="43"/>
      <c r="P152" s="23"/>
      <c r="Q152" s="23"/>
    </row>
    <row r="153" spans="1:17">
      <c r="A153" s="23"/>
      <c r="B153" s="53">
        <v>143</v>
      </c>
      <c r="C153" s="58">
        <v>521356.5</v>
      </c>
      <c r="D153" s="59">
        <v>47070.640625</v>
      </c>
      <c r="E153" s="59">
        <v>0</v>
      </c>
      <c r="F153" s="59">
        <v>-71.547737121582031</v>
      </c>
      <c r="G153" s="42">
        <v>0</v>
      </c>
      <c r="H153" s="23"/>
      <c r="I153" s="23"/>
      <c r="J153" s="99"/>
      <c r="K153" s="99"/>
      <c r="L153" s="99"/>
      <c r="M153" s="99"/>
      <c r="N153" s="43">
        <f t="shared" si="2"/>
        <v>521356.5</v>
      </c>
      <c r="O153" s="43"/>
      <c r="P153" s="23"/>
      <c r="Q153" s="23"/>
    </row>
    <row r="154" spans="1:17">
      <c r="A154" s="23"/>
      <c r="B154" s="53">
        <v>144</v>
      </c>
      <c r="C154" s="58">
        <v>557332.3125</v>
      </c>
      <c r="D154" s="59">
        <v>44683.2890625</v>
      </c>
      <c r="E154" s="59">
        <v>0</v>
      </c>
      <c r="F154" s="59">
        <v>-70.65875244140625</v>
      </c>
      <c r="G154" s="42">
        <v>0</v>
      </c>
      <c r="H154" s="23"/>
      <c r="I154" s="23"/>
      <c r="J154" s="99"/>
      <c r="K154" s="99"/>
      <c r="L154" s="99"/>
      <c r="M154" s="99"/>
      <c r="N154" s="43">
        <f t="shared" si="2"/>
        <v>557332.3125</v>
      </c>
      <c r="O154" s="43"/>
      <c r="P154" s="23"/>
      <c r="Q154" s="23"/>
    </row>
    <row r="155" spans="1:17">
      <c r="A155" s="23"/>
      <c r="B155" s="53">
        <v>145</v>
      </c>
      <c r="C155" s="58">
        <v>595790.5625</v>
      </c>
      <c r="D155" s="59">
        <v>42462.87890625</v>
      </c>
      <c r="E155" s="59">
        <v>0</v>
      </c>
      <c r="F155" s="59">
        <v>-69.769523620605469</v>
      </c>
      <c r="G155" s="42">
        <v>0</v>
      </c>
      <c r="H155" s="23"/>
      <c r="I155" s="23"/>
      <c r="J155" s="99"/>
      <c r="K155" s="99"/>
      <c r="L155" s="99"/>
      <c r="M155" s="99"/>
      <c r="N155" s="43">
        <f t="shared" si="2"/>
        <v>595790.5625</v>
      </c>
      <c r="O155" s="43"/>
      <c r="P155" s="23"/>
      <c r="Q155" s="23"/>
    </row>
    <row r="156" spans="1:17">
      <c r="A156" s="23"/>
      <c r="B156" s="53">
        <v>146</v>
      </c>
      <c r="C156" s="58">
        <v>636902.5625</v>
      </c>
      <c r="D156" s="59">
        <v>40421.6796875</v>
      </c>
      <c r="E156" s="59">
        <v>0</v>
      </c>
      <c r="F156" s="59">
        <v>-68.881576538085938</v>
      </c>
      <c r="G156" s="42">
        <v>0</v>
      </c>
      <c r="H156" s="23"/>
      <c r="I156" s="23"/>
      <c r="J156" s="99"/>
      <c r="K156" s="99"/>
      <c r="L156" s="99"/>
      <c r="M156" s="99"/>
      <c r="N156" s="43">
        <f t="shared" si="2"/>
        <v>636902.5625</v>
      </c>
      <c r="O156" s="43"/>
      <c r="P156" s="23"/>
      <c r="Q156" s="23"/>
    </row>
    <row r="157" spans="1:17">
      <c r="A157" s="23"/>
      <c r="B157" s="53">
        <v>147</v>
      </c>
      <c r="C157" s="58">
        <v>680851.5</v>
      </c>
      <c r="D157" s="59">
        <v>38527.890625</v>
      </c>
      <c r="E157" s="59">
        <v>0</v>
      </c>
      <c r="F157" s="59">
        <v>-68.005859375</v>
      </c>
      <c r="G157" s="42">
        <v>0</v>
      </c>
      <c r="H157" s="23"/>
      <c r="I157" s="23"/>
      <c r="J157" s="99"/>
      <c r="K157" s="99"/>
      <c r="L157" s="99"/>
      <c r="M157" s="99"/>
      <c r="N157" s="43">
        <f t="shared" si="2"/>
        <v>680851.5</v>
      </c>
      <c r="O157" s="43"/>
      <c r="P157" s="23"/>
      <c r="Q157" s="23"/>
    </row>
    <row r="158" spans="1:17">
      <c r="A158" s="23"/>
      <c r="B158" s="53">
        <v>148</v>
      </c>
      <c r="C158" s="58">
        <v>727833.125</v>
      </c>
      <c r="D158" s="59">
        <v>36775.26953125</v>
      </c>
      <c r="E158" s="59">
        <v>0</v>
      </c>
      <c r="F158" s="59">
        <v>-67.155296325683594</v>
      </c>
      <c r="G158" s="42">
        <v>0</v>
      </c>
      <c r="H158" s="23"/>
      <c r="I158" s="23"/>
      <c r="J158" s="99"/>
      <c r="K158" s="99"/>
      <c r="L158" s="99"/>
      <c r="M158" s="99"/>
      <c r="N158" s="43">
        <f t="shared" si="2"/>
        <v>727833.125</v>
      </c>
      <c r="O158" s="43"/>
      <c r="P158" s="23"/>
      <c r="Q158" s="23"/>
    </row>
    <row r="159" spans="1:17">
      <c r="A159" s="23"/>
      <c r="B159" s="53">
        <v>149</v>
      </c>
      <c r="C159" s="58">
        <v>778056.625</v>
      </c>
      <c r="D159" s="59">
        <v>35173.640625</v>
      </c>
      <c r="E159" s="59">
        <v>0</v>
      </c>
      <c r="F159" s="59">
        <v>-66.324043273925781</v>
      </c>
      <c r="G159" s="42">
        <v>0</v>
      </c>
      <c r="H159" s="23"/>
      <c r="I159" s="23"/>
      <c r="J159" s="99"/>
      <c r="K159" s="99"/>
      <c r="L159" s="99"/>
      <c r="M159" s="99"/>
      <c r="N159" s="43">
        <f t="shared" si="2"/>
        <v>778056.625</v>
      </c>
      <c r="O159" s="43"/>
      <c r="P159" s="23"/>
      <c r="Q159" s="23"/>
    </row>
    <row r="160" spans="1:17">
      <c r="A160" s="23"/>
      <c r="B160" s="53">
        <v>150</v>
      </c>
      <c r="C160" s="58">
        <v>831745.75</v>
      </c>
      <c r="D160" s="59">
        <v>33691.7109375</v>
      </c>
      <c r="E160" s="59">
        <v>0</v>
      </c>
      <c r="F160" s="59">
        <v>-65.532752990722656</v>
      </c>
      <c r="G160" s="42">
        <v>0</v>
      </c>
      <c r="H160" s="23"/>
      <c r="I160" s="23"/>
      <c r="J160" s="99"/>
      <c r="K160" s="99"/>
      <c r="L160" s="99"/>
      <c r="M160" s="99"/>
      <c r="N160" s="43">
        <f t="shared" si="2"/>
        <v>831745.75</v>
      </c>
      <c r="O160" s="43"/>
      <c r="P160" s="23"/>
      <c r="Q160" s="23"/>
    </row>
    <row r="161" spans="1:17">
      <c r="A161" s="23"/>
      <c r="B161" s="53">
        <v>151</v>
      </c>
      <c r="C161" s="58">
        <v>889139.6875</v>
      </c>
      <c r="D161" s="59">
        <v>32323.01953125</v>
      </c>
      <c r="E161" s="59">
        <v>0</v>
      </c>
      <c r="F161" s="59">
        <v>-64.794021606445313</v>
      </c>
      <c r="G161" s="42">
        <v>0</v>
      </c>
      <c r="H161" s="23"/>
      <c r="I161" s="23"/>
      <c r="J161" s="99"/>
      <c r="K161" s="99"/>
      <c r="L161" s="99"/>
      <c r="M161" s="99"/>
      <c r="N161" s="43">
        <f t="shared" si="2"/>
        <v>889139.6875</v>
      </c>
      <c r="O161" s="43"/>
      <c r="P161" s="23"/>
      <c r="Q161" s="23"/>
    </row>
    <row r="162" spans="1:17">
      <c r="A162" s="23"/>
      <c r="B162" s="53">
        <v>152</v>
      </c>
      <c r="C162" s="58">
        <v>950494.0625</v>
      </c>
      <c r="D162" s="59">
        <v>31042.119140625</v>
      </c>
      <c r="E162" s="59">
        <v>0</v>
      </c>
      <c r="F162" s="59">
        <v>-64.109107971191406</v>
      </c>
      <c r="G162" s="42">
        <v>0</v>
      </c>
      <c r="H162" s="23"/>
      <c r="I162" s="23"/>
      <c r="J162" s="99"/>
      <c r="K162" s="99"/>
      <c r="L162" s="99"/>
      <c r="M162" s="99"/>
      <c r="N162" s="43">
        <f t="shared" si="2"/>
        <v>950494.0625</v>
      </c>
      <c r="O162" s="43"/>
      <c r="P162" s="23"/>
      <c r="Q162" s="23"/>
    </row>
    <row r="163" spans="1:17">
      <c r="A163" s="23"/>
      <c r="B163" s="53">
        <v>153</v>
      </c>
      <c r="C163" s="58">
        <v>1016082.125</v>
      </c>
      <c r="D163" s="59">
        <v>29867.2890625</v>
      </c>
      <c r="E163" s="59">
        <v>0</v>
      </c>
      <c r="F163" s="59">
        <v>-63.498661041259766</v>
      </c>
      <c r="G163" s="42">
        <v>0</v>
      </c>
      <c r="H163" s="23"/>
      <c r="I163" s="23"/>
      <c r="J163" s="99"/>
      <c r="K163" s="99"/>
      <c r="L163" s="99"/>
      <c r="M163" s="99"/>
      <c r="N163" s="43">
        <f t="shared" si="2"/>
        <v>1016082.125</v>
      </c>
      <c r="O163" s="43"/>
      <c r="P163" s="23"/>
      <c r="Q163" s="23"/>
    </row>
    <row r="164" spans="1:17">
      <c r="A164" s="23"/>
      <c r="B164" s="53">
        <v>154</v>
      </c>
      <c r="C164" s="58">
        <v>1086196</v>
      </c>
      <c r="D164" s="59">
        <v>28768.44921875</v>
      </c>
      <c r="E164" s="59">
        <v>0</v>
      </c>
      <c r="F164" s="59">
        <v>-62.973789215087891</v>
      </c>
      <c r="G164" s="42">
        <v>0</v>
      </c>
      <c r="H164" s="23"/>
      <c r="I164" s="23"/>
      <c r="J164" s="99"/>
      <c r="K164" s="99"/>
      <c r="L164" s="99"/>
      <c r="M164" s="99"/>
      <c r="N164" s="43">
        <f t="shared" si="2"/>
        <v>1086196</v>
      </c>
      <c r="O164" s="43"/>
      <c r="P164" s="23"/>
      <c r="Q164" s="23"/>
    </row>
    <row r="165" spans="1:17">
      <c r="A165" s="23"/>
      <c r="B165" s="53">
        <v>155</v>
      </c>
      <c r="C165" s="58">
        <v>1161148.125</v>
      </c>
      <c r="D165" s="59">
        <v>27740.25</v>
      </c>
      <c r="E165" s="59">
        <v>0</v>
      </c>
      <c r="F165" s="59">
        <v>-62.520648956298828</v>
      </c>
      <c r="G165" s="42">
        <v>0</v>
      </c>
      <c r="H165" s="23"/>
      <c r="I165" s="23"/>
      <c r="J165" s="99"/>
      <c r="K165" s="99"/>
      <c r="L165" s="99"/>
      <c r="M165" s="99"/>
      <c r="N165" s="43">
        <f t="shared" si="2"/>
        <v>1161148.125</v>
      </c>
      <c r="O165" s="43"/>
      <c r="P165" s="23"/>
      <c r="Q165" s="23"/>
    </row>
    <row r="166" spans="1:17">
      <c r="A166" s="23"/>
      <c r="B166" s="53">
        <v>156</v>
      </c>
      <c r="C166" s="58">
        <v>1241272.125</v>
      </c>
      <c r="D166" s="59">
        <v>26773.330078125</v>
      </c>
      <c r="E166" s="59">
        <v>0</v>
      </c>
      <c r="F166" s="59">
        <v>-62.176651000976563</v>
      </c>
      <c r="G166" s="42">
        <v>0</v>
      </c>
      <c r="H166" s="23"/>
      <c r="I166" s="23"/>
      <c r="J166" s="99"/>
      <c r="K166" s="99"/>
      <c r="L166" s="99"/>
      <c r="M166" s="99"/>
      <c r="N166" s="43">
        <f t="shared" si="2"/>
        <v>1241272.125</v>
      </c>
      <c r="O166" s="43"/>
      <c r="P166" s="23"/>
      <c r="Q166" s="23"/>
    </row>
    <row r="167" spans="1:17">
      <c r="A167" s="23"/>
      <c r="B167" s="53">
        <v>157</v>
      </c>
      <c r="C167" s="58">
        <v>1326925.125</v>
      </c>
      <c r="D167" s="59">
        <v>25858.8203125</v>
      </c>
      <c r="E167" s="59">
        <v>0</v>
      </c>
      <c r="F167" s="59">
        <v>-61.940971374511719</v>
      </c>
      <c r="G167" s="42">
        <v>0</v>
      </c>
      <c r="H167" s="23"/>
      <c r="I167" s="23"/>
      <c r="J167" s="99"/>
      <c r="K167" s="99"/>
      <c r="L167" s="99"/>
      <c r="M167" s="99"/>
      <c r="N167" s="43">
        <f t="shared" si="2"/>
        <v>1326925.125</v>
      </c>
      <c r="O167" s="43"/>
      <c r="P167" s="23"/>
      <c r="Q167" s="23"/>
    </row>
    <row r="168" spans="1:17">
      <c r="A168" s="23"/>
      <c r="B168" s="53">
        <v>158</v>
      </c>
      <c r="C168" s="58">
        <v>1418488.5</v>
      </c>
      <c r="D168" s="59">
        <v>24990.58984375</v>
      </c>
      <c r="E168" s="59">
        <v>0</v>
      </c>
      <c r="F168" s="59">
        <v>-61.805000305175781</v>
      </c>
      <c r="G168" s="42">
        <v>0</v>
      </c>
      <c r="H168" s="23"/>
      <c r="I168" s="23"/>
      <c r="J168" s="99"/>
      <c r="K168" s="99"/>
      <c r="L168" s="99"/>
      <c r="M168" s="99"/>
      <c r="N168" s="43">
        <f t="shared" si="2"/>
        <v>1418488.5</v>
      </c>
      <c r="O168" s="43"/>
      <c r="P168" s="23"/>
      <c r="Q168" s="23"/>
    </row>
    <row r="169" spans="1:17">
      <c r="A169" s="23"/>
      <c r="B169" s="53">
        <v>159</v>
      </c>
      <c r="C169" s="58">
        <v>1516370.125</v>
      </c>
      <c r="D169" s="59">
        <v>24163.439453125</v>
      </c>
      <c r="E169" s="59">
        <v>0</v>
      </c>
      <c r="F169" s="59">
        <v>-61.789039611816406</v>
      </c>
      <c r="G169" s="42">
        <v>0</v>
      </c>
      <c r="H169" s="23"/>
      <c r="I169" s="23"/>
      <c r="J169" s="99"/>
      <c r="K169" s="99"/>
      <c r="L169" s="99"/>
      <c r="M169" s="99"/>
      <c r="N169" s="43">
        <f t="shared" si="2"/>
        <v>1516370.125</v>
      </c>
      <c r="O169" s="43"/>
      <c r="P169" s="23"/>
      <c r="Q169" s="23"/>
    </row>
    <row r="170" spans="1:17">
      <c r="A170" s="23"/>
      <c r="B170" s="53">
        <v>160</v>
      </c>
      <c r="C170" s="58">
        <v>1621005.875</v>
      </c>
      <c r="D170" s="59">
        <v>23361.560546875</v>
      </c>
      <c r="E170" s="59">
        <v>0</v>
      </c>
      <c r="F170" s="59">
        <v>-61.875839233398438</v>
      </c>
      <c r="G170" s="42">
        <v>0</v>
      </c>
      <c r="H170" s="23"/>
      <c r="I170" s="23"/>
      <c r="J170" s="99"/>
      <c r="K170" s="99"/>
      <c r="L170" s="99"/>
      <c r="M170" s="99"/>
      <c r="N170" s="43">
        <f t="shared" si="2"/>
        <v>1621005.875</v>
      </c>
      <c r="O170" s="43"/>
      <c r="P170" s="23"/>
      <c r="Q170" s="23"/>
    </row>
    <row r="171" spans="1:17">
      <c r="A171" s="23"/>
      <c r="B171" s="53">
        <v>161</v>
      </c>
      <c r="C171" s="58">
        <v>1732862.125</v>
      </c>
      <c r="D171" s="59">
        <v>22586.0703125</v>
      </c>
      <c r="E171" s="59">
        <v>0</v>
      </c>
      <c r="F171" s="59">
        <v>-62.071929931640625</v>
      </c>
      <c r="G171" s="42">
        <v>0</v>
      </c>
      <c r="H171" s="23"/>
      <c r="I171" s="23"/>
      <c r="J171" s="99"/>
      <c r="K171" s="99"/>
      <c r="L171" s="99"/>
      <c r="M171" s="99"/>
      <c r="N171" s="43">
        <f t="shared" si="2"/>
        <v>1732862.125</v>
      </c>
      <c r="O171" s="43"/>
      <c r="P171" s="23"/>
      <c r="Q171" s="23"/>
    </row>
    <row r="172" spans="1:17">
      <c r="A172" s="23"/>
      <c r="B172" s="53">
        <v>162</v>
      </c>
      <c r="C172" s="58">
        <v>1852436.875</v>
      </c>
      <c r="D172" s="59">
        <v>21830.80078125</v>
      </c>
      <c r="E172" s="59">
        <v>0</v>
      </c>
      <c r="F172" s="59">
        <v>-62.379039764404297</v>
      </c>
      <c r="G172" s="42">
        <v>0</v>
      </c>
      <c r="H172" s="23"/>
      <c r="I172" s="23"/>
      <c r="J172" s="99"/>
      <c r="K172" s="99"/>
      <c r="L172" s="99"/>
      <c r="M172" s="99"/>
      <c r="N172" s="43">
        <f t="shared" si="2"/>
        <v>1852436.875</v>
      </c>
      <c r="O172" s="43"/>
      <c r="P172" s="23"/>
      <c r="Q172" s="23"/>
    </row>
    <row r="173" spans="1:17">
      <c r="A173" s="23"/>
      <c r="B173" s="53">
        <v>163</v>
      </c>
      <c r="C173" s="58">
        <v>1980262.75</v>
      </c>
      <c r="D173" s="59">
        <v>21089.66015625</v>
      </c>
      <c r="E173" s="59">
        <v>0</v>
      </c>
      <c r="F173" s="59">
        <v>-62.785209655761719</v>
      </c>
      <c r="G173" s="42">
        <v>0</v>
      </c>
      <c r="H173" s="23"/>
      <c r="I173" s="23"/>
      <c r="J173" s="99"/>
      <c r="K173" s="99"/>
      <c r="L173" s="99"/>
      <c r="M173" s="99"/>
      <c r="N173" s="43">
        <f t="shared" si="2"/>
        <v>1980262.75</v>
      </c>
      <c r="O173" s="43"/>
      <c r="P173" s="23"/>
      <c r="Q173" s="23"/>
    </row>
    <row r="174" spans="1:17">
      <c r="A174" s="23"/>
      <c r="B174" s="53">
        <v>164</v>
      </c>
      <c r="C174" s="58">
        <v>2116909</v>
      </c>
      <c r="D174" s="59">
        <v>20359.6796875</v>
      </c>
      <c r="E174" s="59">
        <v>0</v>
      </c>
      <c r="F174" s="59">
        <v>-63.288928985595703</v>
      </c>
      <c r="G174" s="42">
        <v>0</v>
      </c>
      <c r="H174" s="23"/>
      <c r="I174" s="23"/>
      <c r="J174" s="99"/>
      <c r="K174" s="99"/>
      <c r="L174" s="99"/>
      <c r="M174" s="99"/>
      <c r="N174" s="43">
        <f t="shared" si="2"/>
        <v>2116909</v>
      </c>
      <c r="O174" s="43"/>
      <c r="P174" s="23"/>
      <c r="Q174" s="23"/>
    </row>
    <row r="175" spans="1:17">
      <c r="A175" s="23"/>
      <c r="B175" s="53">
        <v>165</v>
      </c>
      <c r="C175" s="58">
        <v>2262984.75</v>
      </c>
      <c r="D175" s="59">
        <v>19641</v>
      </c>
      <c r="E175" s="59">
        <v>0</v>
      </c>
      <c r="F175" s="59">
        <v>-63.874259948730469</v>
      </c>
      <c r="G175" s="42">
        <v>0</v>
      </c>
      <c r="H175" s="23"/>
      <c r="I175" s="23"/>
      <c r="J175" s="99"/>
      <c r="K175" s="99"/>
      <c r="L175" s="99"/>
      <c r="M175" s="99"/>
      <c r="N175" s="43">
        <f t="shared" si="2"/>
        <v>2262984.75</v>
      </c>
      <c r="O175" s="43"/>
      <c r="P175" s="23"/>
      <c r="Q175" s="23"/>
    </row>
    <row r="176" spans="1:17">
      <c r="A176" s="23"/>
      <c r="B176" s="53">
        <v>166</v>
      </c>
      <c r="C176" s="58">
        <v>2419140</v>
      </c>
      <c r="D176" s="59">
        <v>18932.109375</v>
      </c>
      <c r="E176" s="59">
        <v>0</v>
      </c>
      <c r="F176" s="59">
        <v>-64.539299011230469</v>
      </c>
      <c r="G176" s="42">
        <v>0</v>
      </c>
      <c r="H176" s="23"/>
      <c r="I176" s="23"/>
      <c r="J176" s="99"/>
      <c r="K176" s="99"/>
      <c r="L176" s="99"/>
      <c r="M176" s="99"/>
      <c r="N176" s="43">
        <f t="shared" si="2"/>
        <v>2419140</v>
      </c>
      <c r="O176" s="43"/>
      <c r="P176" s="23"/>
      <c r="Q176" s="23"/>
    </row>
    <row r="177" spans="1:17">
      <c r="A177" s="23"/>
      <c r="B177" s="53">
        <v>167</v>
      </c>
      <c r="C177" s="58">
        <v>2586070.75</v>
      </c>
      <c r="D177" s="59">
        <v>18231.51953125</v>
      </c>
      <c r="E177" s="59">
        <v>0</v>
      </c>
      <c r="F177" s="59">
        <v>-65.271270751953125</v>
      </c>
      <c r="G177" s="42">
        <v>0</v>
      </c>
      <c r="H177" s="23"/>
      <c r="I177" s="23"/>
      <c r="J177" s="99"/>
      <c r="K177" s="99"/>
      <c r="L177" s="99"/>
      <c r="M177" s="99"/>
      <c r="N177" s="43">
        <f t="shared" si="2"/>
        <v>2586070.75</v>
      </c>
      <c r="O177" s="43"/>
      <c r="P177" s="23"/>
      <c r="Q177" s="23"/>
    </row>
    <row r="178" spans="1:17">
      <c r="A178" s="23"/>
      <c r="B178" s="53">
        <v>168</v>
      </c>
      <c r="C178" s="58">
        <v>2764520.5</v>
      </c>
      <c r="D178" s="59">
        <v>17540.640625</v>
      </c>
      <c r="E178" s="59">
        <v>0</v>
      </c>
      <c r="F178" s="59">
        <v>-66.060173034667969</v>
      </c>
      <c r="G178" s="42">
        <v>0</v>
      </c>
      <c r="H178" s="23"/>
      <c r="I178" s="23"/>
      <c r="J178" s="99"/>
      <c r="K178" s="99"/>
      <c r="L178" s="99"/>
      <c r="M178" s="99"/>
      <c r="N178" s="43">
        <f t="shared" si="2"/>
        <v>2764520.5</v>
      </c>
      <c r="O178" s="43"/>
      <c r="P178" s="23"/>
      <c r="Q178" s="23"/>
    </row>
    <row r="179" spans="1:17">
      <c r="A179" s="23"/>
      <c r="B179" s="53">
        <v>169</v>
      </c>
      <c r="C179" s="58">
        <v>2955284</v>
      </c>
      <c r="D179" s="59">
        <v>16860.720703125</v>
      </c>
      <c r="E179" s="59">
        <v>0</v>
      </c>
      <c r="F179" s="59">
        <v>-66.900703430175781</v>
      </c>
      <c r="G179" s="42">
        <v>0</v>
      </c>
      <c r="H179" s="23"/>
      <c r="I179" s="23"/>
      <c r="J179" s="99"/>
      <c r="K179" s="99"/>
      <c r="L179" s="99"/>
      <c r="M179" s="99"/>
      <c r="N179" s="43">
        <f t="shared" si="2"/>
        <v>2955284</v>
      </c>
      <c r="O179" s="43"/>
      <c r="P179" s="23"/>
      <c r="Q179" s="23"/>
    </row>
    <row r="180" spans="1:17">
      <c r="A180" s="23"/>
      <c r="B180" s="53">
        <v>170</v>
      </c>
      <c r="C180" s="58">
        <v>3159210.75</v>
      </c>
      <c r="D180" s="59">
        <v>16192.08984375</v>
      </c>
      <c r="E180" s="59">
        <v>0</v>
      </c>
      <c r="F180" s="59">
        <v>-67.78692626953125</v>
      </c>
      <c r="G180" s="42">
        <v>0</v>
      </c>
      <c r="H180" s="23"/>
      <c r="I180" s="23"/>
      <c r="J180" s="99"/>
      <c r="K180" s="99"/>
      <c r="L180" s="99"/>
      <c r="M180" s="99"/>
      <c r="N180" s="43">
        <f t="shared" si="2"/>
        <v>3159210.75</v>
      </c>
      <c r="O180" s="43"/>
      <c r="P180" s="23"/>
      <c r="Q180" s="23"/>
    </row>
    <row r="181" spans="1:17">
      <c r="A181" s="23"/>
      <c r="B181" s="53">
        <v>171</v>
      </c>
      <c r="C181" s="58">
        <v>3377209.5</v>
      </c>
      <c r="D181" s="59">
        <v>15540.8603515625</v>
      </c>
      <c r="E181" s="59">
        <v>0</v>
      </c>
      <c r="F181" s="59">
        <v>-68.699783325195313</v>
      </c>
      <c r="G181" s="42">
        <v>0</v>
      </c>
      <c r="H181" s="23"/>
      <c r="I181" s="23"/>
      <c r="J181" s="99"/>
      <c r="K181" s="99"/>
      <c r="L181" s="99"/>
      <c r="M181" s="99"/>
      <c r="N181" s="43">
        <f t="shared" si="2"/>
        <v>3377209.5</v>
      </c>
      <c r="O181" s="43"/>
      <c r="P181" s="23"/>
      <c r="Q181" s="23"/>
    </row>
    <row r="182" spans="1:17">
      <c r="A182" s="23"/>
      <c r="B182" s="53">
        <v>172</v>
      </c>
      <c r="C182" s="58">
        <v>3610251</v>
      </c>
      <c r="D182" s="59">
        <v>14907.2197265625</v>
      </c>
      <c r="E182" s="59">
        <v>0</v>
      </c>
      <c r="F182" s="59">
        <v>-69.633392333984375</v>
      </c>
      <c r="G182" s="42">
        <v>0</v>
      </c>
      <c r="H182" s="23"/>
      <c r="I182" s="23"/>
      <c r="J182" s="99"/>
      <c r="K182" s="99"/>
      <c r="L182" s="99"/>
      <c r="M182" s="99"/>
      <c r="N182" s="43">
        <f t="shared" si="2"/>
        <v>3610251</v>
      </c>
      <c r="O182" s="43"/>
      <c r="P182" s="23"/>
      <c r="Q182" s="23"/>
    </row>
    <row r="183" spans="1:17">
      <c r="A183" s="23"/>
      <c r="B183" s="53">
        <v>173</v>
      </c>
      <c r="C183" s="58">
        <v>3859373.5</v>
      </c>
      <c r="D183" s="59">
        <v>14293.1201171875</v>
      </c>
      <c r="E183" s="59">
        <v>0</v>
      </c>
      <c r="F183" s="59">
        <v>-70.588508605957031</v>
      </c>
      <c r="G183" s="42">
        <v>0</v>
      </c>
      <c r="H183" s="23"/>
      <c r="I183" s="23"/>
      <c r="J183" s="99"/>
      <c r="K183" s="99"/>
      <c r="L183" s="99"/>
      <c r="M183" s="99"/>
      <c r="N183" s="43">
        <f t="shared" si="2"/>
        <v>3859373.5</v>
      </c>
      <c r="O183" s="43"/>
      <c r="P183" s="23"/>
      <c r="Q183" s="23"/>
    </row>
    <row r="184" spans="1:17">
      <c r="A184" s="23"/>
      <c r="B184" s="53">
        <v>174</v>
      </c>
      <c r="C184" s="58">
        <v>4125686.25</v>
      </c>
      <c r="D184" s="59">
        <v>13700.7998046875</v>
      </c>
      <c r="E184" s="59">
        <v>0</v>
      </c>
      <c r="F184" s="59">
        <v>-71.550582885742188</v>
      </c>
      <c r="G184" s="42">
        <v>0</v>
      </c>
      <c r="H184" s="23"/>
      <c r="I184" s="23"/>
      <c r="J184" s="99"/>
      <c r="K184" s="99"/>
      <c r="L184" s="99"/>
      <c r="M184" s="99"/>
      <c r="N184" s="43">
        <f t="shared" si="2"/>
        <v>4125686.25</v>
      </c>
      <c r="O184" s="43"/>
      <c r="P184" s="23"/>
      <c r="Q184" s="23"/>
    </row>
    <row r="185" spans="1:17">
      <c r="A185" s="23"/>
      <c r="B185" s="53">
        <v>175</v>
      </c>
      <c r="C185" s="58">
        <v>4410376</v>
      </c>
      <c r="D185" s="59">
        <v>13136.4296875</v>
      </c>
      <c r="E185" s="59">
        <v>0</v>
      </c>
      <c r="F185" s="59">
        <v>-72.523368835449219</v>
      </c>
      <c r="G185" s="42">
        <v>0</v>
      </c>
      <c r="H185" s="23"/>
      <c r="I185" s="23"/>
      <c r="J185" s="99"/>
      <c r="K185" s="99"/>
      <c r="L185" s="99"/>
      <c r="M185" s="99"/>
      <c r="N185" s="43">
        <f t="shared" si="2"/>
        <v>4410376</v>
      </c>
      <c r="O185" s="43"/>
      <c r="P185" s="23"/>
      <c r="Q185" s="23"/>
    </row>
    <row r="186" spans="1:17">
      <c r="A186" s="23"/>
      <c r="B186" s="53">
        <v>176</v>
      </c>
      <c r="C186" s="58">
        <v>4714710</v>
      </c>
      <c r="D186" s="59">
        <v>12600.7099609375</v>
      </c>
      <c r="E186" s="59">
        <v>0</v>
      </c>
      <c r="F186" s="59">
        <v>-73.506072998046875</v>
      </c>
      <c r="G186" s="42">
        <v>0</v>
      </c>
      <c r="H186" s="23"/>
      <c r="I186" s="23"/>
      <c r="J186" s="99"/>
      <c r="K186" s="99"/>
      <c r="L186" s="99"/>
      <c r="M186" s="99"/>
      <c r="N186" s="43">
        <f t="shared" si="2"/>
        <v>4714710</v>
      </c>
      <c r="O186" s="43"/>
      <c r="P186" s="23"/>
      <c r="Q186" s="23"/>
    </row>
    <row r="187" spans="1:17">
      <c r="A187" s="23"/>
      <c r="B187" s="53">
        <v>177</v>
      </c>
      <c r="C187" s="58">
        <v>5040045</v>
      </c>
      <c r="D187" s="59">
        <v>12096.6904296875</v>
      </c>
      <c r="E187" s="59">
        <v>0</v>
      </c>
      <c r="F187" s="59">
        <v>-74.505126953125</v>
      </c>
      <c r="G187" s="42">
        <v>0</v>
      </c>
      <c r="H187" s="23"/>
      <c r="I187" s="23"/>
      <c r="J187" s="99"/>
      <c r="K187" s="99"/>
      <c r="L187" s="99"/>
      <c r="M187" s="99"/>
      <c r="N187" s="43">
        <f t="shared" si="2"/>
        <v>5040045</v>
      </c>
      <c r="O187" s="43"/>
      <c r="P187" s="23"/>
      <c r="Q187" s="23"/>
    </row>
    <row r="188" spans="1:17">
      <c r="A188" s="23"/>
      <c r="B188" s="53">
        <v>178</v>
      </c>
      <c r="C188" s="58">
        <v>5387829</v>
      </c>
      <c r="D188" s="59">
        <v>11628.1396484375</v>
      </c>
      <c r="E188" s="59">
        <v>0</v>
      </c>
      <c r="F188" s="59">
        <v>-75.523811340332031</v>
      </c>
      <c r="G188" s="42">
        <v>0</v>
      </c>
      <c r="H188" s="23"/>
      <c r="I188" s="23"/>
      <c r="J188" s="99"/>
      <c r="K188" s="99"/>
      <c r="L188" s="99"/>
      <c r="M188" s="99"/>
      <c r="N188" s="43">
        <f t="shared" si="2"/>
        <v>5387829</v>
      </c>
      <c r="O188" s="43"/>
      <c r="P188" s="23"/>
      <c r="Q188" s="23"/>
    </row>
    <row r="189" spans="1:17">
      <c r="A189" s="23"/>
      <c r="B189" s="53">
        <v>179</v>
      </c>
      <c r="C189" s="58">
        <v>5759611.5</v>
      </c>
      <c r="D189" s="59">
        <v>11197.1298828125</v>
      </c>
      <c r="E189" s="59">
        <v>0</v>
      </c>
      <c r="F189" s="59">
        <v>-76.564750671386719</v>
      </c>
      <c r="G189" s="42">
        <v>0</v>
      </c>
      <c r="H189" s="23"/>
      <c r="I189" s="23"/>
      <c r="J189" s="99"/>
      <c r="K189" s="99"/>
      <c r="L189" s="99"/>
      <c r="M189" s="99"/>
      <c r="N189" s="43">
        <f t="shared" si="2"/>
        <v>5759611.5</v>
      </c>
      <c r="O189" s="43"/>
      <c r="P189" s="23"/>
      <c r="Q189" s="23"/>
    </row>
    <row r="190" spans="1:17">
      <c r="A190" s="23"/>
      <c r="B190" s="53">
        <v>180</v>
      </c>
      <c r="C190" s="58">
        <v>6157049</v>
      </c>
      <c r="D190" s="59">
        <v>10807.7197265625</v>
      </c>
      <c r="E190" s="59">
        <v>0</v>
      </c>
      <c r="F190" s="59">
        <v>-77.657867431640625</v>
      </c>
      <c r="G190" s="42">
        <v>0</v>
      </c>
      <c r="H190" s="23"/>
      <c r="I190" s="23"/>
      <c r="J190" s="99"/>
      <c r="K190" s="99"/>
      <c r="L190" s="99"/>
      <c r="M190" s="99"/>
      <c r="N190" s="43">
        <f t="shared" si="2"/>
        <v>6157049</v>
      </c>
      <c r="O190" s="43"/>
      <c r="P190" s="23"/>
      <c r="Q190" s="23"/>
    </row>
    <row r="191" spans="1:17">
      <c r="A191" s="23"/>
      <c r="B191" s="53">
        <v>181</v>
      </c>
      <c r="C191" s="58">
        <v>6581911</v>
      </c>
      <c r="D191" s="59">
        <v>10462.919921875</v>
      </c>
      <c r="E191" s="59">
        <v>0</v>
      </c>
      <c r="F191" s="59">
        <v>-78.82720947265625</v>
      </c>
      <c r="G191" s="42">
        <v>0</v>
      </c>
      <c r="H191" s="23"/>
      <c r="I191" s="23"/>
      <c r="J191" s="99"/>
      <c r="K191" s="99"/>
      <c r="L191" s="99"/>
      <c r="M191" s="99"/>
      <c r="N191" s="43">
        <f t="shared" si="2"/>
        <v>6581911</v>
      </c>
      <c r="O191" s="43"/>
      <c r="P191" s="23"/>
      <c r="Q191" s="23"/>
    </row>
    <row r="192" spans="1:17">
      <c r="A192" s="23"/>
      <c r="B192" s="53">
        <v>182</v>
      </c>
      <c r="C192" s="58">
        <v>7036090.5</v>
      </c>
      <c r="D192" s="59">
        <v>10164.509765625</v>
      </c>
      <c r="E192" s="59">
        <v>0</v>
      </c>
      <c r="F192" s="59">
        <v>-80.105003356933594</v>
      </c>
      <c r="G192" s="42">
        <v>0</v>
      </c>
      <c r="H192" s="23"/>
      <c r="I192" s="23"/>
      <c r="J192" s="99"/>
      <c r="K192" s="99"/>
      <c r="L192" s="99"/>
      <c r="M192" s="99"/>
      <c r="N192" s="43">
        <f t="shared" si="2"/>
        <v>7036090.5</v>
      </c>
      <c r="O192" s="43"/>
      <c r="P192" s="23"/>
      <c r="Q192" s="23"/>
    </row>
    <row r="193" spans="1:17">
      <c r="A193" s="23"/>
      <c r="B193" s="53">
        <v>183</v>
      </c>
      <c r="C193" s="58">
        <v>7521610</v>
      </c>
      <c r="D193" s="59">
        <v>9912.4150390625</v>
      </c>
      <c r="E193" s="59">
        <v>0</v>
      </c>
      <c r="F193" s="59">
        <v>-81.546302795410156</v>
      </c>
      <c r="G193" s="42">
        <v>0</v>
      </c>
      <c r="H193" s="23"/>
      <c r="I193" s="23"/>
      <c r="J193" s="99"/>
      <c r="K193" s="99"/>
      <c r="L193" s="99"/>
      <c r="M193" s="99"/>
      <c r="N193" s="43">
        <f t="shared" si="2"/>
        <v>7521610</v>
      </c>
      <c r="O193" s="43"/>
      <c r="P193" s="23"/>
      <c r="Q193" s="23"/>
    </row>
    <row r="194" spans="1:17">
      <c r="A194" s="23"/>
      <c r="B194" s="53">
        <v>184</v>
      </c>
      <c r="C194" s="58">
        <v>8040632.5</v>
      </c>
      <c r="D194" s="59">
        <v>9709.7041015625</v>
      </c>
      <c r="E194" s="59">
        <v>0</v>
      </c>
      <c r="F194" s="59">
        <v>-83.178886413574219</v>
      </c>
      <c r="G194" s="42">
        <v>0</v>
      </c>
      <c r="H194" s="23"/>
      <c r="I194" s="23"/>
      <c r="J194" s="99"/>
      <c r="K194" s="99"/>
      <c r="L194" s="99"/>
      <c r="M194" s="99"/>
      <c r="N194" s="43">
        <f t="shared" si="2"/>
        <v>8040632.5</v>
      </c>
      <c r="O194" s="43"/>
      <c r="P194" s="23"/>
      <c r="Q194" s="23"/>
    </row>
    <row r="195" spans="1:17">
      <c r="A195" s="23"/>
      <c r="B195" s="53">
        <v>185</v>
      </c>
      <c r="C195" s="58">
        <v>8595470</v>
      </c>
      <c r="D195" s="59">
        <v>9555.0869140625</v>
      </c>
      <c r="E195" s="59">
        <v>0</v>
      </c>
      <c r="F195" s="59">
        <v>-85.036262512207031</v>
      </c>
      <c r="G195" s="42">
        <v>0</v>
      </c>
      <c r="H195" s="23"/>
      <c r="I195" s="23"/>
      <c r="J195" s="99"/>
      <c r="K195" s="99"/>
      <c r="L195" s="99"/>
      <c r="M195" s="99"/>
      <c r="N195" s="43">
        <f t="shared" si="2"/>
        <v>8595470</v>
      </c>
      <c r="O195" s="43"/>
      <c r="P195" s="23"/>
      <c r="Q195" s="23"/>
    </row>
    <row r="196" spans="1:17">
      <c r="A196" s="23"/>
      <c r="B196" s="53">
        <v>186</v>
      </c>
      <c r="C196" s="58">
        <v>9188593</v>
      </c>
      <c r="D196" s="59">
        <v>9456.75390625</v>
      </c>
      <c r="E196" s="59">
        <v>0</v>
      </c>
      <c r="F196" s="59">
        <v>-87.109947204589844</v>
      </c>
      <c r="G196" s="42">
        <v>0</v>
      </c>
      <c r="H196" s="23"/>
      <c r="I196" s="23"/>
      <c r="J196" s="99"/>
      <c r="K196" s="99"/>
      <c r="L196" s="99"/>
      <c r="M196" s="99"/>
      <c r="N196" s="43">
        <f t="shared" si="2"/>
        <v>9188593</v>
      </c>
      <c r="O196" s="43"/>
      <c r="P196" s="23"/>
      <c r="Q196" s="23"/>
    </row>
    <row r="197" spans="1:17">
      <c r="A197" s="23"/>
      <c r="B197" s="53">
        <v>187</v>
      </c>
      <c r="C197" s="58">
        <v>9822644</v>
      </c>
      <c r="D197" s="59">
        <v>9433.9052734375</v>
      </c>
      <c r="E197" s="59">
        <v>0</v>
      </c>
      <c r="F197" s="59">
        <v>-89.380416870117188</v>
      </c>
      <c r="G197" s="42">
        <v>0</v>
      </c>
      <c r="H197" s="23"/>
      <c r="I197" s="23"/>
      <c r="J197" s="99"/>
      <c r="K197" s="99"/>
      <c r="L197" s="99"/>
      <c r="M197" s="99"/>
      <c r="N197" s="43">
        <f t="shared" si="2"/>
        <v>9822644</v>
      </c>
      <c r="O197" s="43"/>
      <c r="P197" s="23"/>
      <c r="Q197" s="23"/>
    </row>
    <row r="198" spans="1:17">
      <c r="A198" s="23"/>
      <c r="B198" s="53">
        <v>188</v>
      </c>
      <c r="C198" s="58">
        <v>10500447</v>
      </c>
      <c r="D198" s="59">
        <v>9538.46484375</v>
      </c>
      <c r="E198" s="59">
        <v>0</v>
      </c>
      <c r="F198" s="59">
        <v>-91.838951110839844</v>
      </c>
      <c r="G198" s="42">
        <v>0</v>
      </c>
      <c r="H198" s="23"/>
      <c r="I198" s="23"/>
      <c r="J198" s="99"/>
      <c r="K198" s="99"/>
      <c r="L198" s="99"/>
      <c r="M198" s="99"/>
      <c r="N198" s="43">
        <f t="shared" si="2"/>
        <v>10500447</v>
      </c>
      <c r="O198" s="43"/>
      <c r="P198" s="23"/>
      <c r="Q198" s="23"/>
    </row>
    <row r="199" spans="1:17">
      <c r="A199" s="23"/>
      <c r="B199" s="53">
        <v>189</v>
      </c>
      <c r="C199" s="58">
        <v>11225022</v>
      </c>
      <c r="D199" s="59">
        <v>9863.1826171875</v>
      </c>
      <c r="E199" s="59">
        <v>0</v>
      </c>
      <c r="F199" s="59">
        <v>-94.836532592773438</v>
      </c>
      <c r="G199" s="42">
        <v>0</v>
      </c>
      <c r="H199" s="23"/>
      <c r="I199" s="23"/>
      <c r="J199" s="99"/>
      <c r="K199" s="99"/>
      <c r="L199" s="99"/>
      <c r="M199" s="99"/>
      <c r="N199" s="43">
        <f t="shared" si="2"/>
        <v>11225022</v>
      </c>
      <c r="O199" s="43"/>
      <c r="P199" s="23"/>
      <c r="Q199" s="23"/>
    </row>
    <row r="200" spans="1:17">
      <c r="A200" s="23"/>
      <c r="B200" s="53">
        <v>190</v>
      </c>
      <c r="C200" s="58">
        <v>11999596</v>
      </c>
      <c r="D200" s="59">
        <v>10512.0302734375</v>
      </c>
      <c r="E200" s="59">
        <v>0</v>
      </c>
      <c r="F200" s="59">
        <v>-98.917236328125</v>
      </c>
      <c r="G200" s="42">
        <v>0</v>
      </c>
      <c r="H200" s="23"/>
      <c r="I200" s="23"/>
      <c r="J200" s="99"/>
      <c r="K200" s="99"/>
      <c r="L200" s="99"/>
      <c r="M200" s="99"/>
      <c r="N200" s="43">
        <f t="shared" si="2"/>
        <v>11999596</v>
      </c>
      <c r="O200" s="43"/>
      <c r="P200" s="23"/>
      <c r="Q200" s="23"/>
    </row>
    <row r="201" spans="1:17">
      <c r="A201" s="23"/>
      <c r="B201" s="53">
        <v>191</v>
      </c>
      <c r="C201" s="58">
        <v>12827618</v>
      </c>
      <c r="D201" s="59">
        <v>11701.419921875</v>
      </c>
      <c r="E201" s="59">
        <v>0</v>
      </c>
      <c r="F201" s="59">
        <v>-105.1239013671875</v>
      </c>
      <c r="G201" s="42">
        <v>0</v>
      </c>
      <c r="H201" s="23"/>
      <c r="I201" s="23"/>
      <c r="J201" s="99"/>
      <c r="K201" s="99"/>
      <c r="L201" s="99"/>
      <c r="M201" s="99"/>
      <c r="N201" s="43">
        <f t="shared" si="2"/>
        <v>12827618</v>
      </c>
      <c r="O201" s="43"/>
      <c r="P201" s="23"/>
      <c r="Q201" s="23"/>
    </row>
    <row r="202" spans="1:17">
      <c r="A202" s="23"/>
      <c r="B202" s="53">
        <v>192</v>
      </c>
      <c r="C202" s="58">
        <v>13712777</v>
      </c>
      <c r="D202" s="59">
        <v>13749.7900390625</v>
      </c>
      <c r="E202" s="59">
        <v>0</v>
      </c>
      <c r="F202" s="59">
        <v>-116.05169677734375</v>
      </c>
      <c r="G202" s="42">
        <v>0</v>
      </c>
      <c r="H202" s="23"/>
      <c r="I202" s="23"/>
      <c r="J202" s="99"/>
      <c r="K202" s="99"/>
      <c r="L202" s="99"/>
      <c r="M202" s="99"/>
      <c r="N202" s="43">
        <f t="shared" si="2"/>
        <v>13712777</v>
      </c>
      <c r="O202" s="43"/>
      <c r="P202" s="23"/>
      <c r="Q202" s="23"/>
    </row>
    <row r="203" spans="1:17">
      <c r="A203" s="23"/>
      <c r="B203" s="53">
        <v>193</v>
      </c>
      <c r="C203" s="58">
        <v>14659016</v>
      </c>
      <c r="D203" s="59">
        <v>16848.75</v>
      </c>
      <c r="E203" s="59">
        <v>0</v>
      </c>
      <c r="F203" s="59">
        <v>-137.01860046386719</v>
      </c>
      <c r="G203" s="42">
        <v>0</v>
      </c>
      <c r="H203" s="23"/>
      <c r="I203" s="23"/>
      <c r="J203" s="99"/>
      <c r="K203" s="99"/>
      <c r="L203" s="99"/>
      <c r="M203" s="99"/>
      <c r="N203" s="43">
        <f t="shared" ref="N203:N266" si="3">IF($L$4=$C$10,C203,IF(D203="","",B203))</f>
        <v>14659016</v>
      </c>
      <c r="O203" s="43"/>
      <c r="P203" s="23"/>
      <c r="Q203" s="23"/>
    </row>
    <row r="204" spans="1:17">
      <c r="A204" s="23"/>
      <c r="B204" s="53">
        <v>194</v>
      </c>
      <c r="C204" s="58">
        <v>15670549</v>
      </c>
      <c r="D204" s="59">
        <v>2508.72412109375</v>
      </c>
      <c r="E204" s="59">
        <v>0</v>
      </c>
      <c r="F204" s="59">
        <v>-136.69200134277344</v>
      </c>
      <c r="G204" s="42">
        <v>0</v>
      </c>
      <c r="H204" s="23"/>
      <c r="I204" s="23"/>
      <c r="J204" s="99"/>
      <c r="K204" s="99"/>
      <c r="L204" s="99"/>
      <c r="M204" s="99"/>
      <c r="N204" s="43">
        <f t="shared" si="3"/>
        <v>15670549</v>
      </c>
      <c r="O204" s="43"/>
      <c r="P204" s="23"/>
      <c r="Q204" s="23"/>
    </row>
    <row r="205" spans="1:17">
      <c r="A205" s="23"/>
      <c r="B205" s="53">
        <v>195</v>
      </c>
      <c r="C205" s="58">
        <v>16751882</v>
      </c>
      <c r="D205" s="59">
        <v>2249.327880859375</v>
      </c>
      <c r="E205" s="59">
        <v>0</v>
      </c>
      <c r="F205" s="59">
        <v>-140.25419616699219</v>
      </c>
      <c r="G205" s="42">
        <v>0</v>
      </c>
      <c r="H205" s="23"/>
      <c r="I205" s="23"/>
      <c r="J205" s="99"/>
      <c r="K205" s="99"/>
      <c r="L205" s="99"/>
      <c r="M205" s="99"/>
      <c r="N205" s="43">
        <f t="shared" si="3"/>
        <v>16751882</v>
      </c>
      <c r="O205" s="43"/>
      <c r="P205" s="23"/>
      <c r="Q205" s="23"/>
    </row>
    <row r="206" spans="1:17">
      <c r="A206" s="23"/>
      <c r="B206" s="53">
        <v>196</v>
      </c>
      <c r="C206" s="58">
        <v>17907832</v>
      </c>
      <c r="D206" s="59">
        <v>2007.0350341796875</v>
      </c>
      <c r="E206" s="59">
        <v>0</v>
      </c>
      <c r="F206" s="59">
        <v>-144.08970642089844</v>
      </c>
      <c r="G206" s="42">
        <v>0</v>
      </c>
      <c r="H206" s="23"/>
      <c r="I206" s="23"/>
      <c r="J206" s="99"/>
      <c r="K206" s="99"/>
      <c r="L206" s="99"/>
      <c r="M206" s="99"/>
      <c r="N206" s="43">
        <f t="shared" si="3"/>
        <v>17907832</v>
      </c>
      <c r="O206" s="43"/>
      <c r="P206" s="23"/>
      <c r="Q206" s="23"/>
    </row>
    <row r="207" spans="1:17">
      <c r="A207" s="23"/>
      <c r="B207" s="53">
        <v>197</v>
      </c>
      <c r="C207" s="58">
        <v>19143546</v>
      </c>
      <c r="D207" s="59">
        <v>1773.23095703125</v>
      </c>
      <c r="E207" s="59">
        <v>0</v>
      </c>
      <c r="F207" s="59">
        <v>-148.15849304199219</v>
      </c>
      <c r="G207" s="42">
        <v>0</v>
      </c>
      <c r="H207" s="23"/>
      <c r="I207" s="23"/>
      <c r="J207" s="99"/>
      <c r="K207" s="99"/>
      <c r="L207" s="99"/>
      <c r="M207" s="99"/>
      <c r="N207" s="43">
        <f t="shared" si="3"/>
        <v>19143546</v>
      </c>
      <c r="O207" s="43"/>
      <c r="P207" s="23"/>
      <c r="Q207" s="23"/>
    </row>
    <row r="208" spans="1:17">
      <c r="A208" s="23"/>
      <c r="B208" s="53">
        <v>198</v>
      </c>
      <c r="C208" s="58">
        <v>20464532</v>
      </c>
      <c r="D208" s="59">
        <v>1549.012939453125</v>
      </c>
      <c r="E208" s="59">
        <v>0</v>
      </c>
      <c r="F208" s="59">
        <v>-152.45899963378906</v>
      </c>
      <c r="G208" s="42">
        <v>0</v>
      </c>
      <c r="H208" s="23"/>
      <c r="I208" s="23"/>
      <c r="J208" s="99"/>
      <c r="K208" s="99"/>
      <c r="L208" s="99"/>
      <c r="M208" s="99"/>
      <c r="N208" s="43">
        <f t="shared" si="3"/>
        <v>20464532</v>
      </c>
      <c r="O208" s="43"/>
      <c r="P208" s="23"/>
      <c r="Q208" s="23"/>
    </row>
    <row r="209" spans="1:17">
      <c r="A209" s="23"/>
      <c r="B209" s="53">
        <v>199</v>
      </c>
      <c r="C209" s="58">
        <v>21876670</v>
      </c>
      <c r="D209" s="59">
        <v>1335.60302734375</v>
      </c>
      <c r="E209" s="59">
        <v>0</v>
      </c>
      <c r="F209" s="59">
        <v>-156.78129577636719</v>
      </c>
      <c r="G209" s="42">
        <v>0</v>
      </c>
      <c r="H209" s="23"/>
      <c r="I209" s="23"/>
      <c r="J209" s="99"/>
      <c r="K209" s="99"/>
      <c r="L209" s="99"/>
      <c r="M209" s="99"/>
      <c r="N209" s="43">
        <f t="shared" si="3"/>
        <v>21876670</v>
      </c>
      <c r="O209" s="43"/>
      <c r="P209" s="23"/>
      <c r="Q209" s="23"/>
    </row>
    <row r="210" spans="1:17">
      <c r="A210" s="23"/>
      <c r="B210" s="54">
        <v>200</v>
      </c>
      <c r="C210" s="58">
        <v>23386252</v>
      </c>
      <c r="D210" s="60">
        <v>1140.5159912109375</v>
      </c>
      <c r="E210" s="59">
        <v>0</v>
      </c>
      <c r="F210" s="59">
        <v>-161.23129272460938</v>
      </c>
      <c r="G210" s="42">
        <v>0</v>
      </c>
      <c r="H210" s="23"/>
      <c r="I210" s="23"/>
      <c r="J210" s="99"/>
      <c r="K210" s="99"/>
      <c r="L210" s="99"/>
      <c r="M210" s="99"/>
      <c r="N210" s="43">
        <f t="shared" si="3"/>
        <v>23386252</v>
      </c>
      <c r="O210" s="43"/>
      <c r="P210" s="23"/>
      <c r="Q210" s="23"/>
    </row>
    <row r="211" spans="1:17">
      <c r="A211" s="23"/>
      <c r="B211" s="55">
        <v>201</v>
      </c>
      <c r="C211" s="61">
        <v>25000000</v>
      </c>
      <c r="D211" s="61">
        <v>956.73577880859375</v>
      </c>
      <c r="E211" s="61">
        <v>0</v>
      </c>
      <c r="F211" s="61">
        <v>-165.86430358886719</v>
      </c>
      <c r="G211" s="62">
        <v>0</v>
      </c>
      <c r="H211" s="23"/>
      <c r="I211" s="23"/>
      <c r="J211" s="99"/>
      <c r="K211" s="99"/>
      <c r="L211" s="99"/>
      <c r="M211" s="99"/>
      <c r="N211" s="43">
        <f t="shared" si="3"/>
        <v>25000000</v>
      </c>
      <c r="O211" s="43"/>
      <c r="P211" s="23"/>
      <c r="Q211" s="23"/>
    </row>
    <row r="212" spans="1:17">
      <c r="A212" s="23"/>
      <c r="B212" s="56"/>
      <c r="C212" s="63"/>
      <c r="D212" s="63"/>
      <c r="E212" s="63"/>
      <c r="F212" s="64"/>
      <c r="G212" s="64"/>
      <c r="H212" s="23"/>
      <c r="I212" s="23"/>
      <c r="J212" s="99"/>
      <c r="K212" s="99"/>
      <c r="L212" s="99"/>
      <c r="M212" s="99"/>
      <c r="N212" s="43">
        <f t="shared" si="3"/>
        <v>0</v>
      </c>
      <c r="O212" s="43"/>
      <c r="P212" s="23"/>
      <c r="Q212" s="23"/>
    </row>
    <row r="213" spans="1:17">
      <c r="A213" s="23"/>
      <c r="B213" s="56"/>
      <c r="C213" s="63"/>
      <c r="D213" s="63"/>
      <c r="E213" s="63"/>
      <c r="F213" s="63"/>
      <c r="G213" s="63"/>
      <c r="H213" s="23"/>
      <c r="I213" s="23"/>
      <c r="J213" s="99"/>
      <c r="K213" s="99"/>
      <c r="L213" s="99"/>
      <c r="M213" s="99"/>
      <c r="N213" s="43">
        <f t="shared" si="3"/>
        <v>0</v>
      </c>
      <c r="O213" s="48"/>
      <c r="P213" s="23"/>
      <c r="Q213" s="23"/>
    </row>
    <row r="214" spans="1:17">
      <c r="A214" s="23"/>
      <c r="B214" s="56"/>
      <c r="C214" s="63"/>
      <c r="D214" s="63"/>
      <c r="E214" s="63"/>
      <c r="F214" s="63"/>
      <c r="G214" s="63"/>
      <c r="H214" s="23"/>
      <c r="I214" s="23"/>
      <c r="J214" s="99"/>
      <c r="K214" s="99"/>
      <c r="L214" s="99"/>
      <c r="M214" s="99"/>
      <c r="N214" s="43">
        <f t="shared" si="3"/>
        <v>0</v>
      </c>
      <c r="O214" s="48"/>
      <c r="P214" s="23"/>
      <c r="Q214" s="23"/>
    </row>
    <row r="215" spans="1:17">
      <c r="A215" s="23"/>
      <c r="B215" s="56"/>
      <c r="C215" s="63"/>
      <c r="D215" s="63"/>
      <c r="E215" s="63"/>
      <c r="F215" s="63"/>
      <c r="G215" s="63"/>
      <c r="H215" s="23"/>
      <c r="I215" s="23"/>
      <c r="J215" s="99"/>
      <c r="K215" s="99"/>
      <c r="L215" s="99"/>
      <c r="M215" s="99"/>
      <c r="N215" s="43">
        <f t="shared" si="3"/>
        <v>0</v>
      </c>
      <c r="O215" s="48"/>
      <c r="P215" s="23"/>
      <c r="Q215" s="23"/>
    </row>
    <row r="216" spans="1:17">
      <c r="A216" s="23"/>
      <c r="B216" s="56"/>
      <c r="C216" s="63"/>
      <c r="D216" s="63"/>
      <c r="E216" s="63"/>
      <c r="F216" s="63"/>
      <c r="G216" s="63"/>
      <c r="H216" s="23"/>
      <c r="I216" s="23"/>
      <c r="J216" s="99"/>
      <c r="K216" s="99"/>
      <c r="L216" s="99"/>
      <c r="M216" s="99"/>
      <c r="N216" s="43">
        <f t="shared" si="3"/>
        <v>0</v>
      </c>
      <c r="O216" s="48"/>
      <c r="P216" s="23"/>
      <c r="Q216" s="23"/>
    </row>
    <row r="217" spans="1:17">
      <c r="A217" s="23"/>
      <c r="B217" s="56"/>
      <c r="C217" s="63"/>
      <c r="D217" s="63"/>
      <c r="E217" s="63"/>
      <c r="F217" s="63"/>
      <c r="G217" s="63"/>
      <c r="H217" s="23"/>
      <c r="I217" s="23"/>
      <c r="J217" s="99"/>
      <c r="K217" s="99"/>
      <c r="L217" s="99"/>
      <c r="M217" s="99"/>
      <c r="N217" s="43">
        <f t="shared" si="3"/>
        <v>0</v>
      </c>
      <c r="O217" s="48"/>
      <c r="P217" s="23"/>
      <c r="Q217" s="23"/>
    </row>
    <row r="218" spans="1:17">
      <c r="A218" s="23"/>
      <c r="B218" s="56"/>
      <c r="C218" s="63"/>
      <c r="D218" s="63"/>
      <c r="E218" s="63"/>
      <c r="F218" s="63"/>
      <c r="G218" s="63"/>
      <c r="H218" s="23"/>
      <c r="I218" s="23"/>
      <c r="J218" s="99"/>
      <c r="K218" s="99"/>
      <c r="L218" s="99"/>
      <c r="M218" s="99"/>
      <c r="N218" s="43">
        <f t="shared" si="3"/>
        <v>0</v>
      </c>
      <c r="O218" s="48"/>
      <c r="P218" s="23"/>
      <c r="Q218" s="23"/>
    </row>
    <row r="219" spans="1:17">
      <c r="A219" s="23"/>
      <c r="B219" s="56"/>
      <c r="C219" s="63"/>
      <c r="D219" s="63"/>
      <c r="E219" s="63"/>
      <c r="F219" s="63"/>
      <c r="G219" s="63"/>
      <c r="H219" s="23"/>
      <c r="I219" s="23"/>
      <c r="J219" s="99"/>
      <c r="K219" s="99"/>
      <c r="L219" s="99"/>
      <c r="M219" s="99"/>
      <c r="N219" s="43">
        <f t="shared" si="3"/>
        <v>0</v>
      </c>
      <c r="O219" s="48"/>
      <c r="P219" s="23"/>
      <c r="Q219" s="23"/>
    </row>
    <row r="220" spans="1:17">
      <c r="A220" s="23"/>
      <c r="B220" s="56"/>
      <c r="C220" s="63"/>
      <c r="D220" s="63"/>
      <c r="E220" s="63"/>
      <c r="F220" s="63"/>
      <c r="G220" s="63"/>
      <c r="H220" s="23"/>
      <c r="I220" s="23"/>
      <c r="J220" s="99"/>
      <c r="K220" s="99"/>
      <c r="L220" s="99"/>
      <c r="M220" s="99"/>
      <c r="N220" s="43">
        <f t="shared" si="3"/>
        <v>0</v>
      </c>
      <c r="O220" s="48"/>
      <c r="P220" s="23"/>
      <c r="Q220" s="23"/>
    </row>
    <row r="221" spans="1:17">
      <c r="A221" s="23"/>
      <c r="B221" s="56"/>
      <c r="C221" s="63"/>
      <c r="D221" s="63"/>
      <c r="E221" s="63"/>
      <c r="F221" s="63"/>
      <c r="G221" s="63"/>
      <c r="H221" s="23"/>
      <c r="I221" s="23"/>
      <c r="J221" s="99"/>
      <c r="K221" s="99"/>
      <c r="L221" s="99"/>
      <c r="M221" s="99"/>
      <c r="N221" s="43">
        <f t="shared" si="3"/>
        <v>0</v>
      </c>
      <c r="O221" s="48"/>
      <c r="P221" s="23"/>
      <c r="Q221" s="23"/>
    </row>
    <row r="222" spans="1:17">
      <c r="A222" s="23"/>
      <c r="B222" s="56"/>
      <c r="C222" s="63"/>
      <c r="D222" s="63"/>
      <c r="E222" s="63"/>
      <c r="F222" s="63"/>
      <c r="G222" s="63"/>
      <c r="H222" s="23"/>
      <c r="I222" s="23"/>
      <c r="J222" s="99"/>
      <c r="K222" s="99"/>
      <c r="L222" s="99"/>
      <c r="M222" s="99"/>
      <c r="N222" s="43">
        <f t="shared" si="3"/>
        <v>0</v>
      </c>
      <c r="O222" s="48"/>
      <c r="P222" s="23"/>
      <c r="Q222" s="23"/>
    </row>
    <row r="223" spans="1:17">
      <c r="A223" s="23"/>
      <c r="B223" s="56"/>
      <c r="C223" s="63"/>
      <c r="D223" s="63"/>
      <c r="E223" s="63"/>
      <c r="F223" s="63"/>
      <c r="G223" s="63"/>
      <c r="H223" s="23"/>
      <c r="I223" s="23"/>
      <c r="J223" s="99"/>
      <c r="K223" s="99"/>
      <c r="L223" s="99"/>
      <c r="M223" s="99"/>
      <c r="N223" s="43">
        <f t="shared" si="3"/>
        <v>0</v>
      </c>
      <c r="O223" s="48"/>
      <c r="P223" s="23"/>
      <c r="Q223" s="23"/>
    </row>
    <row r="224" spans="1:17">
      <c r="A224" s="23"/>
      <c r="B224" s="56"/>
      <c r="C224" s="63"/>
      <c r="D224" s="63"/>
      <c r="E224" s="63"/>
      <c r="F224" s="63"/>
      <c r="G224" s="63"/>
      <c r="H224" s="23"/>
      <c r="I224" s="23"/>
      <c r="J224" s="99"/>
      <c r="K224" s="99"/>
      <c r="L224" s="99"/>
      <c r="M224" s="99"/>
      <c r="N224" s="43">
        <f t="shared" si="3"/>
        <v>0</v>
      </c>
      <c r="O224" s="48"/>
      <c r="P224" s="23"/>
      <c r="Q224" s="23"/>
    </row>
    <row r="225" spans="1:17">
      <c r="A225" s="23"/>
      <c r="B225" s="56"/>
      <c r="C225" s="63"/>
      <c r="D225" s="63"/>
      <c r="E225" s="63"/>
      <c r="F225" s="63"/>
      <c r="G225" s="63"/>
      <c r="H225" s="23"/>
      <c r="I225" s="23"/>
      <c r="J225" s="99"/>
      <c r="K225" s="99"/>
      <c r="L225" s="99"/>
      <c r="M225" s="99"/>
      <c r="N225" s="43">
        <f t="shared" si="3"/>
        <v>0</v>
      </c>
      <c r="O225" s="48"/>
      <c r="P225" s="23"/>
      <c r="Q225" s="23"/>
    </row>
    <row r="226" spans="1:17">
      <c r="A226" s="23"/>
      <c r="B226" s="56"/>
      <c r="C226" s="63"/>
      <c r="D226" s="63"/>
      <c r="E226" s="63"/>
      <c r="F226" s="63"/>
      <c r="G226" s="63"/>
      <c r="H226" s="23"/>
      <c r="I226" s="23"/>
      <c r="J226" s="99"/>
      <c r="K226" s="99"/>
      <c r="L226" s="99"/>
      <c r="M226" s="99"/>
      <c r="N226" s="43">
        <f t="shared" si="3"/>
        <v>0</v>
      </c>
      <c r="O226" s="48"/>
      <c r="P226" s="23"/>
      <c r="Q226" s="23"/>
    </row>
    <row r="227" spans="1:17">
      <c r="B227" s="57"/>
      <c r="C227" s="60"/>
      <c r="D227" s="60"/>
      <c r="E227" s="60"/>
      <c r="F227" s="60"/>
      <c r="G227" s="60"/>
      <c r="J227" s="99"/>
      <c r="K227" s="99"/>
      <c r="L227" s="99"/>
      <c r="M227" s="99"/>
      <c r="N227" s="43">
        <f t="shared" si="3"/>
        <v>0</v>
      </c>
    </row>
    <row r="228" spans="1:17">
      <c r="B228" s="57"/>
      <c r="C228" s="60"/>
      <c r="D228" s="60"/>
      <c r="E228" s="60"/>
      <c r="F228" s="60"/>
      <c r="G228" s="60"/>
      <c r="J228" s="99"/>
      <c r="K228" s="99"/>
      <c r="L228" s="99"/>
      <c r="M228" s="99"/>
      <c r="N228" s="43">
        <f t="shared" si="3"/>
        <v>0</v>
      </c>
    </row>
    <row r="229" spans="1:17">
      <c r="B229" s="57"/>
      <c r="C229" s="60"/>
      <c r="D229" s="60"/>
      <c r="E229" s="60"/>
      <c r="F229" s="60"/>
      <c r="G229" s="60"/>
      <c r="J229" s="99"/>
      <c r="K229" s="99"/>
      <c r="L229" s="99"/>
      <c r="M229" s="99"/>
      <c r="N229" s="43">
        <f t="shared" si="3"/>
        <v>0</v>
      </c>
    </row>
    <row r="230" spans="1:17">
      <c r="B230" s="57"/>
      <c r="C230" s="60"/>
      <c r="D230" s="60"/>
      <c r="E230" s="60"/>
      <c r="F230" s="60"/>
      <c r="G230" s="60"/>
      <c r="J230" s="99"/>
      <c r="K230" s="99"/>
      <c r="L230" s="99"/>
      <c r="M230" s="99"/>
      <c r="N230" s="43">
        <f t="shared" si="3"/>
        <v>0</v>
      </c>
    </row>
    <row r="231" spans="1:17">
      <c r="B231" s="57"/>
      <c r="C231" s="60"/>
      <c r="D231" s="60"/>
      <c r="E231" s="60"/>
      <c r="F231" s="60"/>
      <c r="G231" s="60"/>
      <c r="J231" s="99"/>
      <c r="K231" s="99"/>
      <c r="L231" s="99"/>
      <c r="M231" s="99"/>
      <c r="N231" s="43">
        <f t="shared" si="3"/>
        <v>0</v>
      </c>
    </row>
    <row r="232" spans="1:17">
      <c r="B232" s="57"/>
      <c r="C232" s="60"/>
      <c r="D232" s="60"/>
      <c r="E232" s="60"/>
      <c r="F232" s="60"/>
      <c r="G232" s="60"/>
      <c r="J232" s="99"/>
      <c r="K232" s="99"/>
      <c r="L232" s="99"/>
      <c r="M232" s="99"/>
      <c r="N232" s="43">
        <f t="shared" si="3"/>
        <v>0</v>
      </c>
    </row>
    <row r="233" spans="1:17">
      <c r="B233" s="57"/>
      <c r="C233" s="60"/>
      <c r="D233" s="60"/>
      <c r="E233" s="60"/>
      <c r="F233" s="60"/>
      <c r="G233" s="60"/>
      <c r="J233" s="99"/>
      <c r="K233" s="99"/>
      <c r="L233" s="99"/>
      <c r="M233" s="99"/>
      <c r="N233" s="43">
        <f t="shared" si="3"/>
        <v>0</v>
      </c>
    </row>
    <row r="234" spans="1:17">
      <c r="B234" s="57"/>
      <c r="C234" s="60"/>
      <c r="D234" s="60"/>
      <c r="E234" s="60"/>
      <c r="F234" s="60"/>
      <c r="G234" s="60"/>
      <c r="J234" s="99"/>
      <c r="K234" s="99"/>
      <c r="L234" s="99"/>
      <c r="M234" s="99"/>
      <c r="N234" s="43">
        <f t="shared" si="3"/>
        <v>0</v>
      </c>
    </row>
    <row r="235" spans="1:17">
      <c r="B235" s="57"/>
      <c r="C235" s="60"/>
      <c r="D235" s="60"/>
      <c r="E235" s="60"/>
      <c r="F235" s="60"/>
      <c r="G235" s="60"/>
      <c r="J235" s="99"/>
      <c r="K235" s="99"/>
      <c r="L235" s="99"/>
      <c r="M235" s="99"/>
      <c r="N235" s="43">
        <f t="shared" si="3"/>
        <v>0</v>
      </c>
    </row>
    <row r="236" spans="1:17">
      <c r="B236" s="57"/>
      <c r="C236" s="60"/>
      <c r="D236" s="60"/>
      <c r="E236" s="60"/>
      <c r="F236" s="60"/>
      <c r="G236" s="60"/>
      <c r="J236" s="99"/>
      <c r="K236" s="99"/>
      <c r="L236" s="99"/>
      <c r="M236" s="99"/>
      <c r="N236" s="43">
        <f t="shared" si="3"/>
        <v>0</v>
      </c>
    </row>
    <row r="237" spans="1:17">
      <c r="B237" s="57"/>
      <c r="C237" s="60"/>
      <c r="D237" s="60"/>
      <c r="E237" s="60"/>
      <c r="F237" s="60"/>
      <c r="G237" s="60"/>
      <c r="J237" s="99"/>
      <c r="K237" s="99"/>
      <c r="L237" s="99"/>
      <c r="M237" s="99"/>
      <c r="N237" s="43">
        <f t="shared" si="3"/>
        <v>0</v>
      </c>
    </row>
    <row r="238" spans="1:17">
      <c r="B238" s="57"/>
      <c r="C238" s="60"/>
      <c r="D238" s="60"/>
      <c r="E238" s="60"/>
      <c r="F238" s="60"/>
      <c r="G238" s="60"/>
      <c r="J238" s="99"/>
      <c r="K238" s="99"/>
      <c r="L238" s="99"/>
      <c r="M238" s="99"/>
      <c r="N238" s="43">
        <f t="shared" si="3"/>
        <v>0</v>
      </c>
    </row>
    <row r="239" spans="1:17">
      <c r="B239" s="57"/>
      <c r="C239" s="60"/>
      <c r="D239" s="60"/>
      <c r="E239" s="60"/>
      <c r="F239" s="60"/>
      <c r="G239" s="60"/>
      <c r="J239" s="99"/>
      <c r="K239" s="99"/>
      <c r="L239" s="99"/>
      <c r="M239" s="99"/>
      <c r="N239" s="43">
        <f t="shared" si="3"/>
        <v>0</v>
      </c>
    </row>
    <row r="240" spans="1:17">
      <c r="B240" s="57"/>
      <c r="C240" s="60"/>
      <c r="D240" s="60"/>
      <c r="E240" s="60"/>
      <c r="F240" s="60"/>
      <c r="G240" s="60"/>
      <c r="J240" s="99"/>
      <c r="K240" s="99"/>
      <c r="L240" s="99"/>
      <c r="M240" s="99"/>
      <c r="N240" s="43">
        <f t="shared" si="3"/>
        <v>0</v>
      </c>
    </row>
    <row r="241" spans="2:14">
      <c r="B241" s="57"/>
      <c r="C241" s="60"/>
      <c r="D241" s="60"/>
      <c r="E241" s="60"/>
      <c r="F241" s="60"/>
      <c r="G241" s="60"/>
      <c r="J241" s="99"/>
      <c r="K241" s="99"/>
      <c r="L241" s="99"/>
      <c r="M241" s="99"/>
      <c r="N241" s="43">
        <f t="shared" si="3"/>
        <v>0</v>
      </c>
    </row>
    <row r="242" spans="2:14">
      <c r="B242" s="57"/>
      <c r="C242" s="60"/>
      <c r="D242" s="60"/>
      <c r="E242" s="60"/>
      <c r="F242" s="60"/>
      <c r="G242" s="60"/>
      <c r="J242" s="99"/>
      <c r="K242" s="99"/>
      <c r="L242" s="99"/>
      <c r="M242" s="99"/>
      <c r="N242" s="43">
        <f t="shared" si="3"/>
        <v>0</v>
      </c>
    </row>
    <row r="243" spans="2:14">
      <c r="B243" s="57"/>
      <c r="C243" s="60"/>
      <c r="D243" s="60"/>
      <c r="E243" s="60"/>
      <c r="F243" s="60"/>
      <c r="G243" s="60"/>
      <c r="J243" s="99"/>
      <c r="K243" s="99"/>
      <c r="L243" s="99"/>
      <c r="M243" s="99"/>
      <c r="N243" s="43">
        <f t="shared" si="3"/>
        <v>0</v>
      </c>
    </row>
    <row r="244" spans="2:14">
      <c r="B244" s="57"/>
      <c r="C244" s="60"/>
      <c r="D244" s="60"/>
      <c r="E244" s="60"/>
      <c r="F244" s="60"/>
      <c r="G244" s="60"/>
      <c r="J244" s="99"/>
      <c r="K244" s="99"/>
      <c r="L244" s="99"/>
      <c r="M244" s="99"/>
      <c r="N244" s="43">
        <f t="shared" si="3"/>
        <v>0</v>
      </c>
    </row>
    <row r="245" spans="2:14">
      <c r="B245" s="57"/>
      <c r="C245" s="60"/>
      <c r="D245" s="60"/>
      <c r="E245" s="60"/>
      <c r="F245" s="60"/>
      <c r="G245" s="60"/>
      <c r="J245" s="99"/>
      <c r="K245" s="99"/>
      <c r="L245" s="99"/>
      <c r="M245" s="99"/>
      <c r="N245" s="43">
        <f t="shared" si="3"/>
        <v>0</v>
      </c>
    </row>
    <row r="246" spans="2:14">
      <c r="B246" s="57"/>
      <c r="C246" s="60"/>
      <c r="D246" s="60"/>
      <c r="E246" s="60"/>
      <c r="F246" s="60"/>
      <c r="G246" s="60"/>
      <c r="J246" s="99"/>
      <c r="K246" s="99"/>
      <c r="L246" s="99"/>
      <c r="M246" s="99"/>
      <c r="N246" s="43">
        <f t="shared" si="3"/>
        <v>0</v>
      </c>
    </row>
    <row r="247" spans="2:14">
      <c r="B247" s="57"/>
      <c r="C247" s="60"/>
      <c r="D247" s="60"/>
      <c r="E247" s="60"/>
      <c r="F247" s="60"/>
      <c r="G247" s="60"/>
      <c r="J247" s="99"/>
      <c r="K247" s="99"/>
      <c r="L247" s="99"/>
      <c r="M247" s="99"/>
      <c r="N247" s="43">
        <f t="shared" si="3"/>
        <v>0</v>
      </c>
    </row>
    <row r="248" spans="2:14">
      <c r="B248" s="57"/>
      <c r="C248" s="60"/>
      <c r="D248" s="60"/>
      <c r="E248" s="60"/>
      <c r="F248" s="60"/>
      <c r="G248" s="60"/>
      <c r="J248" s="99"/>
      <c r="K248" s="99"/>
      <c r="L248" s="99"/>
      <c r="M248" s="99"/>
      <c r="N248" s="43">
        <f t="shared" si="3"/>
        <v>0</v>
      </c>
    </row>
    <row r="249" spans="2:14">
      <c r="B249" s="57"/>
      <c r="C249" s="60"/>
      <c r="D249" s="60"/>
      <c r="E249" s="60"/>
      <c r="F249" s="60"/>
      <c r="G249" s="60"/>
      <c r="J249" s="99"/>
      <c r="K249" s="99"/>
      <c r="L249" s="99"/>
      <c r="M249" s="99"/>
      <c r="N249" s="43">
        <f t="shared" si="3"/>
        <v>0</v>
      </c>
    </row>
    <row r="250" spans="2:14">
      <c r="B250" s="57"/>
      <c r="C250" s="60"/>
      <c r="D250" s="60"/>
      <c r="E250" s="60"/>
      <c r="F250" s="60"/>
      <c r="G250" s="60"/>
      <c r="J250" s="99"/>
      <c r="K250" s="99"/>
      <c r="L250" s="99"/>
      <c r="M250" s="99"/>
      <c r="N250" s="43">
        <f t="shared" si="3"/>
        <v>0</v>
      </c>
    </row>
    <row r="251" spans="2:14">
      <c r="B251" s="57"/>
      <c r="C251" s="60"/>
      <c r="D251" s="60"/>
      <c r="E251" s="60"/>
      <c r="F251" s="60"/>
      <c r="G251" s="60"/>
      <c r="J251" s="99"/>
      <c r="K251" s="99"/>
      <c r="L251" s="99"/>
      <c r="M251" s="99"/>
      <c r="N251" s="43">
        <f t="shared" si="3"/>
        <v>0</v>
      </c>
    </row>
    <row r="252" spans="2:14">
      <c r="B252" s="57"/>
      <c r="C252" s="60"/>
      <c r="D252" s="60"/>
      <c r="E252" s="60"/>
      <c r="F252" s="60"/>
      <c r="G252" s="60"/>
      <c r="J252" s="99"/>
      <c r="K252" s="99"/>
      <c r="L252" s="99"/>
      <c r="M252" s="99"/>
      <c r="N252" s="43">
        <f t="shared" si="3"/>
        <v>0</v>
      </c>
    </row>
    <row r="253" spans="2:14">
      <c r="B253" s="57"/>
      <c r="C253" s="60"/>
      <c r="D253" s="60"/>
      <c r="E253" s="60"/>
      <c r="F253" s="60"/>
      <c r="G253" s="60"/>
      <c r="J253" s="99"/>
      <c r="K253" s="99"/>
      <c r="L253" s="99"/>
      <c r="M253" s="99"/>
      <c r="N253" s="43">
        <f t="shared" si="3"/>
        <v>0</v>
      </c>
    </row>
    <row r="254" spans="2:14">
      <c r="B254" s="57"/>
      <c r="C254" s="60"/>
      <c r="D254" s="60"/>
      <c r="E254" s="60"/>
      <c r="F254" s="60"/>
      <c r="G254" s="60"/>
      <c r="J254" s="99"/>
      <c r="K254" s="99"/>
      <c r="L254" s="99"/>
      <c r="M254" s="99"/>
      <c r="N254" s="43">
        <f t="shared" si="3"/>
        <v>0</v>
      </c>
    </row>
    <row r="255" spans="2:14">
      <c r="B255" s="57"/>
      <c r="C255" s="60"/>
      <c r="D255" s="60"/>
      <c r="E255" s="60"/>
      <c r="F255" s="60"/>
      <c r="G255" s="60"/>
      <c r="J255" s="99"/>
      <c r="K255" s="99"/>
      <c r="L255" s="99"/>
      <c r="M255" s="99"/>
      <c r="N255" s="43">
        <f t="shared" si="3"/>
        <v>0</v>
      </c>
    </row>
    <row r="256" spans="2:14">
      <c r="B256" s="57"/>
      <c r="C256" s="60"/>
      <c r="D256" s="60"/>
      <c r="E256" s="60"/>
      <c r="F256" s="60"/>
      <c r="G256" s="60"/>
      <c r="J256" s="99"/>
      <c r="K256" s="99"/>
      <c r="L256" s="99"/>
      <c r="M256" s="99"/>
      <c r="N256" s="43">
        <f t="shared" si="3"/>
        <v>0</v>
      </c>
    </row>
    <row r="257" spans="2:14">
      <c r="B257" s="57"/>
      <c r="C257" s="60"/>
      <c r="D257" s="60"/>
      <c r="E257" s="60"/>
      <c r="F257" s="60"/>
      <c r="G257" s="60"/>
      <c r="J257" s="99"/>
      <c r="K257" s="99"/>
      <c r="L257" s="99"/>
      <c r="M257" s="99"/>
      <c r="N257" s="43">
        <f t="shared" si="3"/>
        <v>0</v>
      </c>
    </row>
    <row r="258" spans="2:14">
      <c r="B258" s="57"/>
      <c r="C258" s="60"/>
      <c r="D258" s="60"/>
      <c r="E258" s="60"/>
      <c r="F258" s="60"/>
      <c r="G258" s="60"/>
      <c r="J258" s="99"/>
      <c r="K258" s="99"/>
      <c r="L258" s="99"/>
      <c r="M258" s="99"/>
      <c r="N258" s="43">
        <f t="shared" si="3"/>
        <v>0</v>
      </c>
    </row>
    <row r="259" spans="2:14">
      <c r="B259" s="57"/>
      <c r="C259" s="60"/>
      <c r="D259" s="60"/>
      <c r="E259" s="60"/>
      <c r="F259" s="60"/>
      <c r="G259" s="60"/>
      <c r="J259" s="99"/>
      <c r="K259" s="99"/>
      <c r="L259" s="99"/>
      <c r="M259" s="99"/>
      <c r="N259" s="43">
        <f t="shared" si="3"/>
        <v>0</v>
      </c>
    </row>
    <row r="260" spans="2:14">
      <c r="B260" s="57"/>
      <c r="C260" s="60"/>
      <c r="D260" s="60"/>
      <c r="E260" s="60"/>
      <c r="F260" s="60"/>
      <c r="G260" s="60"/>
      <c r="J260" s="99"/>
      <c r="K260" s="99"/>
      <c r="L260" s="99"/>
      <c r="M260" s="99"/>
      <c r="N260" s="43">
        <f t="shared" si="3"/>
        <v>0</v>
      </c>
    </row>
    <row r="261" spans="2:14">
      <c r="B261" s="57"/>
      <c r="C261" s="60"/>
      <c r="D261" s="60"/>
      <c r="E261" s="60"/>
      <c r="F261" s="60"/>
      <c r="G261" s="60"/>
      <c r="J261" s="99"/>
      <c r="K261" s="99"/>
      <c r="L261" s="99"/>
      <c r="M261" s="99"/>
      <c r="N261" s="43">
        <f t="shared" si="3"/>
        <v>0</v>
      </c>
    </row>
    <row r="262" spans="2:14">
      <c r="B262" s="57"/>
      <c r="C262" s="60"/>
      <c r="D262" s="60"/>
      <c r="E262" s="60"/>
      <c r="F262" s="60"/>
      <c r="G262" s="60"/>
      <c r="J262" s="99"/>
      <c r="K262" s="99"/>
      <c r="L262" s="99"/>
      <c r="M262" s="99"/>
      <c r="N262" s="43">
        <f t="shared" si="3"/>
        <v>0</v>
      </c>
    </row>
    <row r="263" spans="2:14">
      <c r="B263" s="57"/>
      <c r="C263" s="60"/>
      <c r="D263" s="60"/>
      <c r="E263" s="60"/>
      <c r="F263" s="60"/>
      <c r="G263" s="60"/>
      <c r="J263" s="99"/>
      <c r="K263" s="99"/>
      <c r="L263" s="99"/>
      <c r="M263" s="99"/>
      <c r="N263" s="43">
        <f t="shared" si="3"/>
        <v>0</v>
      </c>
    </row>
    <row r="264" spans="2:14">
      <c r="B264" s="57"/>
      <c r="C264" s="60"/>
      <c r="D264" s="60"/>
      <c r="E264" s="60"/>
      <c r="F264" s="60"/>
      <c r="G264" s="60"/>
      <c r="J264" s="99"/>
      <c r="K264" s="99"/>
      <c r="L264" s="99"/>
      <c r="M264" s="99"/>
      <c r="N264" s="43">
        <f t="shared" si="3"/>
        <v>0</v>
      </c>
    </row>
    <row r="265" spans="2:14">
      <c r="B265" s="57"/>
      <c r="C265" s="60"/>
      <c r="D265" s="60"/>
      <c r="E265" s="60"/>
      <c r="F265" s="60"/>
      <c r="G265" s="60"/>
      <c r="J265" s="99"/>
      <c r="K265" s="99"/>
      <c r="L265" s="99"/>
      <c r="M265" s="99"/>
      <c r="N265" s="43">
        <f t="shared" si="3"/>
        <v>0</v>
      </c>
    </row>
    <row r="266" spans="2:14">
      <c r="B266" s="57"/>
      <c r="C266" s="60"/>
      <c r="D266" s="60"/>
      <c r="E266" s="60"/>
      <c r="F266" s="60"/>
      <c r="G266" s="60"/>
      <c r="J266" s="99"/>
      <c r="K266" s="99"/>
      <c r="L266" s="99"/>
      <c r="M266" s="99"/>
      <c r="N266" s="43">
        <f t="shared" si="3"/>
        <v>0</v>
      </c>
    </row>
    <row r="267" spans="2:14">
      <c r="B267" s="57"/>
      <c r="C267" s="60"/>
      <c r="D267" s="60"/>
      <c r="E267" s="60"/>
      <c r="F267" s="60"/>
      <c r="G267" s="60"/>
      <c r="J267" s="99"/>
      <c r="K267" s="99"/>
      <c r="L267" s="99"/>
      <c r="M267" s="99"/>
      <c r="N267" s="43">
        <f t="shared" ref="N267:N330" si="4">IF($L$4=$C$10,C267,IF(D267="","",B267))</f>
        <v>0</v>
      </c>
    </row>
    <row r="268" spans="2:14">
      <c r="B268" s="57"/>
      <c r="C268" s="60"/>
      <c r="D268" s="60"/>
      <c r="E268" s="60"/>
      <c r="F268" s="60"/>
      <c r="G268" s="60"/>
      <c r="J268" s="99"/>
      <c r="K268" s="99"/>
      <c r="L268" s="99"/>
      <c r="M268" s="99"/>
      <c r="N268" s="43">
        <f t="shared" si="4"/>
        <v>0</v>
      </c>
    </row>
    <row r="269" spans="2:14">
      <c r="B269" s="57"/>
      <c r="C269" s="60"/>
      <c r="D269" s="60"/>
      <c r="E269" s="60"/>
      <c r="F269" s="60"/>
      <c r="G269" s="60"/>
      <c r="J269" s="99"/>
      <c r="K269" s="99"/>
      <c r="L269" s="99"/>
      <c r="M269" s="99"/>
      <c r="N269" s="43">
        <f t="shared" si="4"/>
        <v>0</v>
      </c>
    </row>
    <row r="270" spans="2:14">
      <c r="B270" s="57"/>
      <c r="C270" s="60"/>
      <c r="D270" s="60"/>
      <c r="E270" s="60"/>
      <c r="F270" s="60"/>
      <c r="G270" s="60"/>
      <c r="J270" s="99"/>
      <c r="K270" s="99"/>
      <c r="L270" s="99"/>
      <c r="M270" s="99"/>
      <c r="N270" s="43">
        <f t="shared" si="4"/>
        <v>0</v>
      </c>
    </row>
    <row r="271" spans="2:14">
      <c r="B271" s="57"/>
      <c r="C271" s="60"/>
      <c r="D271" s="60"/>
      <c r="E271" s="60"/>
      <c r="F271" s="60"/>
      <c r="G271" s="60"/>
      <c r="J271" s="99"/>
      <c r="K271" s="99"/>
      <c r="L271" s="99"/>
      <c r="M271" s="99"/>
      <c r="N271" s="43">
        <f t="shared" si="4"/>
        <v>0</v>
      </c>
    </row>
    <row r="272" spans="2:14">
      <c r="B272" s="57"/>
      <c r="C272" s="60"/>
      <c r="D272" s="60"/>
      <c r="E272" s="60"/>
      <c r="F272" s="60"/>
      <c r="G272" s="60"/>
      <c r="J272" s="99"/>
      <c r="K272" s="99"/>
      <c r="L272" s="99"/>
      <c r="M272" s="99"/>
      <c r="N272" s="43">
        <f t="shared" si="4"/>
        <v>0</v>
      </c>
    </row>
    <row r="273" spans="2:14">
      <c r="B273" s="57"/>
      <c r="C273" s="60"/>
      <c r="D273" s="60"/>
      <c r="E273" s="60"/>
      <c r="F273" s="60"/>
      <c r="G273" s="60"/>
      <c r="J273" s="99"/>
      <c r="K273" s="99"/>
      <c r="L273" s="99"/>
      <c r="M273" s="99"/>
      <c r="N273" s="43">
        <f t="shared" si="4"/>
        <v>0</v>
      </c>
    </row>
    <row r="274" spans="2:14">
      <c r="B274" s="57"/>
      <c r="C274" s="60"/>
      <c r="D274" s="60"/>
      <c r="E274" s="60"/>
      <c r="F274" s="60"/>
      <c r="G274" s="60"/>
      <c r="J274" s="99"/>
      <c r="K274" s="99"/>
      <c r="L274" s="99"/>
      <c r="M274" s="99"/>
      <c r="N274" s="43">
        <f t="shared" si="4"/>
        <v>0</v>
      </c>
    </row>
    <row r="275" spans="2:14">
      <c r="B275" s="57"/>
      <c r="C275" s="60"/>
      <c r="D275" s="60"/>
      <c r="E275" s="60"/>
      <c r="F275" s="60"/>
      <c r="G275" s="60"/>
      <c r="J275" s="99"/>
      <c r="K275" s="99"/>
      <c r="L275" s="99"/>
      <c r="M275" s="99"/>
      <c r="N275" s="43">
        <f t="shared" si="4"/>
        <v>0</v>
      </c>
    </row>
    <row r="276" spans="2:14">
      <c r="B276" s="57"/>
      <c r="C276" s="60"/>
      <c r="D276" s="60"/>
      <c r="E276" s="60"/>
      <c r="F276" s="60"/>
      <c r="G276" s="60"/>
      <c r="J276" s="99"/>
      <c r="K276" s="99"/>
      <c r="L276" s="99"/>
      <c r="M276" s="99"/>
      <c r="N276" s="43">
        <f t="shared" si="4"/>
        <v>0</v>
      </c>
    </row>
    <row r="277" spans="2:14">
      <c r="B277" s="57"/>
      <c r="C277" s="60"/>
      <c r="D277" s="60"/>
      <c r="E277" s="60"/>
      <c r="F277" s="60"/>
      <c r="G277" s="60"/>
      <c r="J277" s="99"/>
      <c r="K277" s="99"/>
      <c r="L277" s="99"/>
      <c r="M277" s="99"/>
      <c r="N277" s="43">
        <f t="shared" si="4"/>
        <v>0</v>
      </c>
    </row>
    <row r="278" spans="2:14">
      <c r="B278" s="57"/>
      <c r="C278" s="60"/>
      <c r="D278" s="60"/>
      <c r="E278" s="60"/>
      <c r="F278" s="60"/>
      <c r="G278" s="60"/>
      <c r="J278" s="99"/>
      <c r="K278" s="99"/>
      <c r="L278" s="99"/>
      <c r="M278" s="99"/>
      <c r="N278" s="43">
        <f t="shared" si="4"/>
        <v>0</v>
      </c>
    </row>
    <row r="279" spans="2:14">
      <c r="B279" s="57"/>
      <c r="C279" s="60"/>
      <c r="D279" s="60"/>
      <c r="E279" s="60"/>
      <c r="F279" s="60"/>
      <c r="G279" s="60"/>
      <c r="J279" s="99"/>
      <c r="K279" s="99"/>
      <c r="L279" s="99"/>
      <c r="M279" s="99"/>
      <c r="N279" s="43">
        <f t="shared" si="4"/>
        <v>0</v>
      </c>
    </row>
    <row r="280" spans="2:14">
      <c r="B280" s="57"/>
      <c r="C280" s="60"/>
      <c r="D280" s="60"/>
      <c r="E280" s="60"/>
      <c r="F280" s="60"/>
      <c r="G280" s="60"/>
      <c r="J280" s="99"/>
      <c r="K280" s="99"/>
      <c r="L280" s="99"/>
      <c r="M280" s="99"/>
      <c r="N280" s="43">
        <f t="shared" si="4"/>
        <v>0</v>
      </c>
    </row>
    <row r="281" spans="2:14">
      <c r="B281" s="57"/>
      <c r="C281" s="60"/>
      <c r="D281" s="60"/>
      <c r="E281" s="60"/>
      <c r="F281" s="60"/>
      <c r="G281" s="60"/>
      <c r="J281" s="99"/>
      <c r="K281" s="99"/>
      <c r="L281" s="99"/>
      <c r="M281" s="99"/>
      <c r="N281" s="43">
        <f t="shared" si="4"/>
        <v>0</v>
      </c>
    </row>
    <row r="282" spans="2:14">
      <c r="B282" s="57"/>
      <c r="C282" s="60"/>
      <c r="D282" s="60"/>
      <c r="E282" s="60"/>
      <c r="F282" s="60"/>
      <c r="G282" s="60"/>
      <c r="J282" s="99"/>
      <c r="K282" s="99"/>
      <c r="L282" s="99"/>
      <c r="M282" s="99"/>
      <c r="N282" s="43">
        <f t="shared" si="4"/>
        <v>0</v>
      </c>
    </row>
    <row r="283" spans="2:14">
      <c r="B283" s="57"/>
      <c r="C283" s="60"/>
      <c r="D283" s="60"/>
      <c r="E283" s="60"/>
      <c r="F283" s="60"/>
      <c r="G283" s="60"/>
      <c r="J283" s="99"/>
      <c r="K283" s="99"/>
      <c r="L283" s="99"/>
      <c r="M283" s="99"/>
      <c r="N283" s="43">
        <f t="shared" si="4"/>
        <v>0</v>
      </c>
    </row>
    <row r="284" spans="2:14">
      <c r="B284" s="57"/>
      <c r="C284" s="60"/>
      <c r="D284" s="60"/>
      <c r="E284" s="60"/>
      <c r="F284" s="60"/>
      <c r="G284" s="60"/>
      <c r="J284" s="99"/>
      <c r="K284" s="99"/>
      <c r="L284" s="99"/>
      <c r="M284" s="99"/>
      <c r="N284" s="43">
        <f t="shared" si="4"/>
        <v>0</v>
      </c>
    </row>
    <row r="285" spans="2:14">
      <c r="B285" s="57"/>
      <c r="C285" s="60"/>
      <c r="D285" s="60"/>
      <c r="E285" s="60"/>
      <c r="F285" s="60"/>
      <c r="G285" s="60"/>
      <c r="J285" s="99"/>
      <c r="K285" s="99"/>
      <c r="L285" s="99"/>
      <c r="M285" s="99"/>
      <c r="N285" s="43">
        <f t="shared" si="4"/>
        <v>0</v>
      </c>
    </row>
    <row r="286" spans="2:14">
      <c r="B286" s="57"/>
      <c r="C286" s="60"/>
      <c r="D286" s="60"/>
      <c r="E286" s="60"/>
      <c r="F286" s="60"/>
      <c r="G286" s="60"/>
      <c r="J286" s="99"/>
      <c r="K286" s="99"/>
      <c r="L286" s="99"/>
      <c r="M286" s="99"/>
      <c r="N286" s="43">
        <f t="shared" si="4"/>
        <v>0</v>
      </c>
    </row>
    <row r="287" spans="2:14">
      <c r="B287" s="57"/>
      <c r="C287" s="60"/>
      <c r="D287" s="60"/>
      <c r="E287" s="60"/>
      <c r="F287" s="60"/>
      <c r="G287" s="60"/>
      <c r="J287" s="99"/>
      <c r="K287" s="99"/>
      <c r="L287" s="99"/>
      <c r="M287" s="99"/>
      <c r="N287" s="43">
        <f t="shared" si="4"/>
        <v>0</v>
      </c>
    </row>
    <row r="288" spans="2:14">
      <c r="B288" s="57"/>
      <c r="C288" s="60"/>
      <c r="D288" s="60"/>
      <c r="E288" s="60"/>
      <c r="F288" s="60"/>
      <c r="G288" s="60"/>
      <c r="J288" s="99"/>
      <c r="K288" s="99"/>
      <c r="L288" s="99"/>
      <c r="M288" s="99"/>
      <c r="N288" s="43">
        <f t="shared" si="4"/>
        <v>0</v>
      </c>
    </row>
    <row r="289" spans="2:14">
      <c r="B289" s="57"/>
      <c r="C289" s="60"/>
      <c r="D289" s="60"/>
      <c r="E289" s="60"/>
      <c r="F289" s="60"/>
      <c r="G289" s="60"/>
      <c r="J289" s="99"/>
      <c r="K289" s="99"/>
      <c r="L289" s="99"/>
      <c r="M289" s="99"/>
      <c r="N289" s="43">
        <f t="shared" si="4"/>
        <v>0</v>
      </c>
    </row>
    <row r="290" spans="2:14">
      <c r="B290" s="57"/>
      <c r="C290" s="60"/>
      <c r="D290" s="60"/>
      <c r="E290" s="60"/>
      <c r="F290" s="60"/>
      <c r="G290" s="60"/>
      <c r="J290" s="99"/>
      <c r="K290" s="99"/>
      <c r="L290" s="99"/>
      <c r="M290" s="99"/>
      <c r="N290" s="43">
        <f t="shared" si="4"/>
        <v>0</v>
      </c>
    </row>
    <row r="291" spans="2:14">
      <c r="B291" s="57"/>
      <c r="C291" s="60"/>
      <c r="D291" s="60"/>
      <c r="E291" s="60"/>
      <c r="F291" s="60"/>
      <c r="G291" s="60"/>
      <c r="J291" s="99"/>
      <c r="K291" s="99"/>
      <c r="L291" s="99"/>
      <c r="M291" s="99"/>
      <c r="N291" s="43">
        <f t="shared" si="4"/>
        <v>0</v>
      </c>
    </row>
    <row r="292" spans="2:14">
      <c r="B292" s="57"/>
      <c r="C292" s="60"/>
      <c r="D292" s="60"/>
      <c r="E292" s="60"/>
      <c r="F292" s="60"/>
      <c r="G292" s="60"/>
      <c r="J292" s="99"/>
      <c r="K292" s="99"/>
      <c r="L292" s="99"/>
      <c r="M292" s="99"/>
      <c r="N292" s="43">
        <f t="shared" si="4"/>
        <v>0</v>
      </c>
    </row>
    <row r="293" spans="2:14">
      <c r="B293" s="57"/>
      <c r="C293" s="60"/>
      <c r="D293" s="60"/>
      <c r="E293" s="60"/>
      <c r="F293" s="60"/>
      <c r="G293" s="60"/>
      <c r="J293" s="99"/>
      <c r="K293" s="99"/>
      <c r="L293" s="99"/>
      <c r="M293" s="99"/>
      <c r="N293" s="43">
        <f t="shared" si="4"/>
        <v>0</v>
      </c>
    </row>
    <row r="294" spans="2:14">
      <c r="B294" s="57"/>
      <c r="C294" s="60"/>
      <c r="D294" s="60"/>
      <c r="E294" s="60"/>
      <c r="F294" s="60"/>
      <c r="G294" s="60"/>
      <c r="J294" s="99"/>
      <c r="K294" s="99"/>
      <c r="L294" s="99"/>
      <c r="M294" s="99"/>
      <c r="N294" s="43">
        <f t="shared" si="4"/>
        <v>0</v>
      </c>
    </row>
    <row r="295" spans="2:14">
      <c r="B295" s="57"/>
      <c r="C295" s="60"/>
      <c r="D295" s="60"/>
      <c r="E295" s="60"/>
      <c r="F295" s="60"/>
      <c r="G295" s="60"/>
      <c r="J295" s="99"/>
      <c r="K295" s="99"/>
      <c r="L295" s="99"/>
      <c r="M295" s="99"/>
      <c r="N295" s="43">
        <f t="shared" si="4"/>
        <v>0</v>
      </c>
    </row>
    <row r="296" spans="2:14">
      <c r="B296" s="57"/>
      <c r="C296" s="60"/>
      <c r="D296" s="60"/>
      <c r="E296" s="60"/>
      <c r="F296" s="60"/>
      <c r="G296" s="60"/>
      <c r="J296" s="99"/>
      <c r="K296" s="99"/>
      <c r="L296" s="99"/>
      <c r="M296" s="99"/>
      <c r="N296" s="43">
        <f t="shared" si="4"/>
        <v>0</v>
      </c>
    </row>
    <row r="297" spans="2:14">
      <c r="B297" s="57"/>
      <c r="C297" s="60"/>
      <c r="D297" s="60"/>
      <c r="E297" s="60"/>
      <c r="F297" s="60"/>
      <c r="G297" s="60"/>
      <c r="J297" s="99"/>
      <c r="K297" s="99"/>
      <c r="L297" s="99"/>
      <c r="M297" s="99"/>
      <c r="N297" s="43">
        <f t="shared" si="4"/>
        <v>0</v>
      </c>
    </row>
    <row r="298" spans="2:14">
      <c r="B298" s="57"/>
      <c r="C298" s="60"/>
      <c r="D298" s="60"/>
      <c r="E298" s="60"/>
      <c r="F298" s="60"/>
      <c r="G298" s="60"/>
      <c r="J298" s="99"/>
      <c r="K298" s="99"/>
      <c r="L298" s="99"/>
      <c r="M298" s="99"/>
      <c r="N298" s="43">
        <f t="shared" si="4"/>
        <v>0</v>
      </c>
    </row>
    <row r="299" spans="2:14">
      <c r="B299" s="57"/>
      <c r="C299" s="60"/>
      <c r="D299" s="60"/>
      <c r="E299" s="60"/>
      <c r="F299" s="60"/>
      <c r="G299" s="60"/>
      <c r="J299" s="99"/>
      <c r="K299" s="99"/>
      <c r="L299" s="99"/>
      <c r="M299" s="99"/>
      <c r="N299" s="43">
        <f t="shared" si="4"/>
        <v>0</v>
      </c>
    </row>
    <row r="300" spans="2:14">
      <c r="B300" s="57"/>
      <c r="C300" s="60"/>
      <c r="D300" s="60"/>
      <c r="E300" s="60"/>
      <c r="F300" s="60"/>
      <c r="G300" s="60"/>
      <c r="J300" s="99"/>
      <c r="K300" s="99"/>
      <c r="L300" s="99"/>
      <c r="M300" s="99"/>
      <c r="N300" s="43">
        <f t="shared" si="4"/>
        <v>0</v>
      </c>
    </row>
    <row r="301" spans="2:14">
      <c r="B301" s="57"/>
      <c r="C301" s="60"/>
      <c r="D301" s="60"/>
      <c r="E301" s="60"/>
      <c r="F301" s="60"/>
      <c r="G301" s="60"/>
      <c r="J301" s="99"/>
      <c r="K301" s="99"/>
      <c r="L301" s="99"/>
      <c r="M301" s="99"/>
      <c r="N301" s="43">
        <f t="shared" si="4"/>
        <v>0</v>
      </c>
    </row>
    <row r="302" spans="2:14">
      <c r="B302" s="57"/>
      <c r="C302" s="60"/>
      <c r="D302" s="60"/>
      <c r="E302" s="60"/>
      <c r="F302" s="60"/>
      <c r="G302" s="60"/>
      <c r="J302" s="99"/>
      <c r="K302" s="99"/>
      <c r="L302" s="99"/>
      <c r="M302" s="99"/>
      <c r="N302" s="43">
        <f t="shared" si="4"/>
        <v>0</v>
      </c>
    </row>
    <row r="303" spans="2:14">
      <c r="B303" s="57"/>
      <c r="C303" s="60"/>
      <c r="D303" s="60"/>
      <c r="E303" s="60"/>
      <c r="F303" s="60"/>
      <c r="G303" s="60"/>
      <c r="J303" s="99"/>
      <c r="K303" s="99"/>
      <c r="L303" s="99"/>
      <c r="M303" s="99"/>
      <c r="N303" s="43">
        <f t="shared" si="4"/>
        <v>0</v>
      </c>
    </row>
    <row r="304" spans="2:14">
      <c r="B304" s="57"/>
      <c r="C304" s="60"/>
      <c r="D304" s="60"/>
      <c r="E304" s="60"/>
      <c r="F304" s="60"/>
      <c r="G304" s="60"/>
      <c r="J304" s="99"/>
      <c r="K304" s="99"/>
      <c r="L304" s="99"/>
      <c r="M304" s="99"/>
      <c r="N304" s="43">
        <f t="shared" si="4"/>
        <v>0</v>
      </c>
    </row>
    <row r="305" spans="2:14">
      <c r="B305" s="57"/>
      <c r="C305" s="60"/>
      <c r="D305" s="60"/>
      <c r="E305" s="60"/>
      <c r="F305" s="60"/>
      <c r="G305" s="60"/>
      <c r="J305" s="99"/>
      <c r="K305" s="99"/>
      <c r="L305" s="99"/>
      <c r="M305" s="99"/>
      <c r="N305" s="43">
        <f t="shared" si="4"/>
        <v>0</v>
      </c>
    </row>
    <row r="306" spans="2:14">
      <c r="B306" s="57"/>
      <c r="C306" s="60"/>
      <c r="D306" s="60"/>
      <c r="E306" s="60"/>
      <c r="F306" s="60"/>
      <c r="G306" s="60"/>
      <c r="J306" s="99"/>
      <c r="K306" s="99"/>
      <c r="L306" s="99"/>
      <c r="M306" s="99"/>
      <c r="N306" s="43">
        <f t="shared" si="4"/>
        <v>0</v>
      </c>
    </row>
    <row r="307" spans="2:14">
      <c r="B307" s="57"/>
      <c r="C307" s="60"/>
      <c r="D307" s="60"/>
      <c r="E307" s="60"/>
      <c r="F307" s="60"/>
      <c r="G307" s="60"/>
      <c r="J307" s="99"/>
      <c r="K307" s="99"/>
      <c r="L307" s="99"/>
      <c r="M307" s="99"/>
      <c r="N307" s="43">
        <f t="shared" si="4"/>
        <v>0</v>
      </c>
    </row>
    <row r="308" spans="2:14">
      <c r="B308" s="57"/>
      <c r="C308" s="60"/>
      <c r="D308" s="60"/>
      <c r="E308" s="60"/>
      <c r="F308" s="60"/>
      <c r="G308" s="60"/>
      <c r="J308" s="99"/>
      <c r="K308" s="99"/>
      <c r="L308" s="99"/>
      <c r="M308" s="99"/>
      <c r="N308" s="43">
        <f t="shared" si="4"/>
        <v>0</v>
      </c>
    </row>
    <row r="309" spans="2:14">
      <c r="B309" s="57"/>
      <c r="C309" s="60"/>
      <c r="D309" s="60"/>
      <c r="E309" s="60"/>
      <c r="F309" s="60"/>
      <c r="G309" s="60"/>
      <c r="J309" s="99"/>
      <c r="K309" s="99"/>
      <c r="L309" s="99"/>
      <c r="M309" s="99"/>
      <c r="N309" s="43">
        <f t="shared" si="4"/>
        <v>0</v>
      </c>
    </row>
    <row r="310" spans="2:14">
      <c r="B310" s="57"/>
      <c r="C310" s="60"/>
      <c r="D310" s="60"/>
      <c r="E310" s="60"/>
      <c r="F310" s="60"/>
      <c r="G310" s="60"/>
      <c r="J310" s="99"/>
      <c r="K310" s="99"/>
      <c r="L310" s="99"/>
      <c r="M310" s="99"/>
      <c r="N310" s="43">
        <f t="shared" si="4"/>
        <v>0</v>
      </c>
    </row>
    <row r="311" spans="2:14">
      <c r="B311" s="57"/>
      <c r="C311" s="60"/>
      <c r="D311" s="60"/>
      <c r="E311" s="60"/>
      <c r="F311" s="60"/>
      <c r="G311" s="60"/>
      <c r="J311" s="99"/>
      <c r="K311" s="99"/>
      <c r="L311" s="99"/>
      <c r="M311" s="99"/>
      <c r="N311" s="43">
        <f t="shared" si="4"/>
        <v>0</v>
      </c>
    </row>
    <row r="312" spans="2:14">
      <c r="B312" s="57"/>
      <c r="C312" s="60"/>
      <c r="D312" s="60"/>
      <c r="E312" s="60"/>
      <c r="F312" s="60"/>
      <c r="G312" s="60"/>
      <c r="J312" s="99"/>
      <c r="K312" s="99"/>
      <c r="L312" s="99"/>
      <c r="M312" s="99"/>
      <c r="N312" s="43">
        <f t="shared" si="4"/>
        <v>0</v>
      </c>
    </row>
    <row r="313" spans="2:14">
      <c r="B313" s="57"/>
      <c r="C313" s="60"/>
      <c r="D313" s="60"/>
      <c r="E313" s="60"/>
      <c r="F313" s="60"/>
      <c r="G313" s="60"/>
      <c r="J313" s="99"/>
      <c r="K313" s="99"/>
      <c r="L313" s="99"/>
      <c r="M313" s="99"/>
      <c r="N313" s="43">
        <f t="shared" si="4"/>
        <v>0</v>
      </c>
    </row>
    <row r="314" spans="2:14">
      <c r="B314" s="57"/>
      <c r="C314" s="60"/>
      <c r="D314" s="60"/>
      <c r="E314" s="60"/>
      <c r="F314" s="60"/>
      <c r="G314" s="60"/>
      <c r="J314" s="99"/>
      <c r="K314" s="99"/>
      <c r="L314" s="99"/>
      <c r="M314" s="99"/>
      <c r="N314" s="43">
        <f t="shared" si="4"/>
        <v>0</v>
      </c>
    </row>
    <row r="315" spans="2:14">
      <c r="B315" s="57"/>
      <c r="C315" s="60"/>
      <c r="D315" s="60"/>
      <c r="E315" s="60"/>
      <c r="F315" s="60"/>
      <c r="G315" s="60"/>
      <c r="J315" s="99"/>
      <c r="K315" s="99"/>
      <c r="L315" s="99"/>
      <c r="M315" s="99"/>
      <c r="N315" s="43">
        <f t="shared" si="4"/>
        <v>0</v>
      </c>
    </row>
    <row r="316" spans="2:14">
      <c r="B316" s="57"/>
      <c r="C316" s="60"/>
      <c r="D316" s="60"/>
      <c r="E316" s="60"/>
      <c r="F316" s="60"/>
      <c r="G316" s="60"/>
      <c r="J316" s="99"/>
      <c r="K316" s="99"/>
      <c r="L316" s="99"/>
      <c r="M316" s="99"/>
      <c r="N316" s="43">
        <f t="shared" si="4"/>
        <v>0</v>
      </c>
    </row>
    <row r="317" spans="2:14">
      <c r="B317" s="57"/>
      <c r="C317" s="60"/>
      <c r="D317" s="60"/>
      <c r="E317" s="60"/>
      <c r="F317" s="60"/>
      <c r="G317" s="60"/>
      <c r="J317" s="99"/>
      <c r="K317" s="99"/>
      <c r="L317" s="99"/>
      <c r="M317" s="99"/>
      <c r="N317" s="43">
        <f t="shared" si="4"/>
        <v>0</v>
      </c>
    </row>
    <row r="318" spans="2:14">
      <c r="B318" s="57"/>
      <c r="C318" s="60"/>
      <c r="D318" s="60"/>
      <c r="E318" s="60"/>
      <c r="F318" s="60"/>
      <c r="G318" s="60"/>
      <c r="J318" s="99"/>
      <c r="K318" s="99"/>
      <c r="L318" s="99"/>
      <c r="M318" s="99"/>
      <c r="N318" s="43">
        <f t="shared" si="4"/>
        <v>0</v>
      </c>
    </row>
    <row r="319" spans="2:14">
      <c r="B319" s="57"/>
      <c r="C319" s="60"/>
      <c r="D319" s="60"/>
      <c r="E319" s="60"/>
      <c r="F319" s="60"/>
      <c r="G319" s="60"/>
      <c r="J319" s="99"/>
      <c r="K319" s="99"/>
      <c r="L319" s="99"/>
      <c r="M319" s="99"/>
      <c r="N319" s="43">
        <f t="shared" si="4"/>
        <v>0</v>
      </c>
    </row>
    <row r="320" spans="2:14">
      <c r="B320" s="57"/>
      <c r="C320" s="60"/>
      <c r="D320" s="60"/>
      <c r="E320" s="60"/>
      <c r="F320" s="60"/>
      <c r="G320" s="60"/>
      <c r="J320" s="99"/>
      <c r="K320" s="99"/>
      <c r="L320" s="99"/>
      <c r="M320" s="99"/>
      <c r="N320" s="43">
        <f t="shared" si="4"/>
        <v>0</v>
      </c>
    </row>
    <row r="321" spans="2:14">
      <c r="B321" s="57"/>
      <c r="C321" s="60"/>
      <c r="D321" s="60"/>
      <c r="E321" s="60"/>
      <c r="F321" s="60"/>
      <c r="G321" s="60"/>
      <c r="J321" s="99"/>
      <c r="K321" s="99"/>
      <c r="L321" s="99"/>
      <c r="M321" s="99"/>
      <c r="N321" s="43">
        <f t="shared" si="4"/>
        <v>0</v>
      </c>
    </row>
    <row r="322" spans="2:14">
      <c r="B322" s="57"/>
      <c r="C322" s="60"/>
      <c r="D322" s="60"/>
      <c r="E322" s="60"/>
      <c r="F322" s="60"/>
      <c r="G322" s="60"/>
      <c r="J322" s="99"/>
      <c r="K322" s="99"/>
      <c r="L322" s="99"/>
      <c r="M322" s="99"/>
      <c r="N322" s="43">
        <f t="shared" si="4"/>
        <v>0</v>
      </c>
    </row>
    <row r="323" spans="2:14">
      <c r="B323" s="57"/>
      <c r="C323" s="60"/>
      <c r="D323" s="60"/>
      <c r="E323" s="60"/>
      <c r="F323" s="60"/>
      <c r="G323" s="60"/>
      <c r="J323" s="99"/>
      <c r="K323" s="99"/>
      <c r="L323" s="99"/>
      <c r="M323" s="99"/>
      <c r="N323" s="43">
        <f t="shared" si="4"/>
        <v>0</v>
      </c>
    </row>
    <row r="324" spans="2:14">
      <c r="B324" s="57"/>
      <c r="C324" s="60"/>
      <c r="D324" s="60"/>
      <c r="E324" s="60"/>
      <c r="F324" s="60"/>
      <c r="G324" s="60"/>
      <c r="J324" s="99"/>
      <c r="K324" s="99"/>
      <c r="L324" s="99"/>
      <c r="M324" s="99"/>
      <c r="N324" s="43">
        <f t="shared" si="4"/>
        <v>0</v>
      </c>
    </row>
    <row r="325" spans="2:14">
      <c r="B325" s="57"/>
      <c r="C325" s="60"/>
      <c r="D325" s="60"/>
      <c r="E325" s="60"/>
      <c r="F325" s="60"/>
      <c r="G325" s="60"/>
      <c r="J325" s="99"/>
      <c r="K325" s="99"/>
      <c r="L325" s="99"/>
      <c r="M325" s="99"/>
      <c r="N325" s="43">
        <f t="shared" si="4"/>
        <v>0</v>
      </c>
    </row>
    <row r="326" spans="2:14">
      <c r="B326" s="57"/>
      <c r="C326" s="60"/>
      <c r="D326" s="60"/>
      <c r="E326" s="60"/>
      <c r="F326" s="60"/>
      <c r="G326" s="60"/>
      <c r="J326" s="99"/>
      <c r="K326" s="99"/>
      <c r="L326" s="99"/>
      <c r="M326" s="99"/>
      <c r="N326" s="43">
        <f t="shared" si="4"/>
        <v>0</v>
      </c>
    </row>
    <row r="327" spans="2:14">
      <c r="B327" s="57"/>
      <c r="C327" s="60"/>
      <c r="D327" s="60"/>
      <c r="E327" s="60"/>
      <c r="F327" s="60"/>
      <c r="G327" s="60"/>
      <c r="J327" s="99"/>
      <c r="K327" s="99"/>
      <c r="L327" s="99"/>
      <c r="M327" s="99"/>
      <c r="N327" s="43">
        <f t="shared" si="4"/>
        <v>0</v>
      </c>
    </row>
    <row r="328" spans="2:14">
      <c r="B328" s="57"/>
      <c r="C328" s="60"/>
      <c r="D328" s="60"/>
      <c r="E328" s="60"/>
      <c r="F328" s="60"/>
      <c r="G328" s="60"/>
      <c r="J328" s="99"/>
      <c r="K328" s="99"/>
      <c r="L328" s="99"/>
      <c r="M328" s="99"/>
      <c r="N328" s="43">
        <f t="shared" si="4"/>
        <v>0</v>
      </c>
    </row>
    <row r="329" spans="2:14">
      <c r="B329" s="57"/>
      <c r="C329" s="60"/>
      <c r="D329" s="60"/>
      <c r="E329" s="60"/>
      <c r="F329" s="60"/>
      <c r="G329" s="60"/>
      <c r="J329" s="99"/>
      <c r="K329" s="99"/>
      <c r="L329" s="99"/>
      <c r="M329" s="99"/>
      <c r="N329" s="43">
        <f t="shared" si="4"/>
        <v>0</v>
      </c>
    </row>
    <row r="330" spans="2:14">
      <c r="B330" s="57"/>
      <c r="C330" s="60"/>
      <c r="D330" s="60"/>
      <c r="E330" s="60"/>
      <c r="F330" s="60"/>
      <c r="G330" s="60"/>
      <c r="J330" s="99"/>
      <c r="K330" s="99"/>
      <c r="L330" s="99"/>
      <c r="M330" s="99"/>
      <c r="N330" s="43">
        <f t="shared" si="4"/>
        <v>0</v>
      </c>
    </row>
    <row r="331" spans="2:14">
      <c r="B331" s="57"/>
      <c r="C331" s="60"/>
      <c r="D331" s="60"/>
      <c r="E331" s="60"/>
      <c r="F331" s="60"/>
      <c r="G331" s="60"/>
      <c r="J331" s="99"/>
      <c r="K331" s="99"/>
      <c r="L331" s="99"/>
      <c r="M331" s="99"/>
      <c r="N331" s="43">
        <f t="shared" ref="N331:N394" si="5">IF($L$4=$C$10,C331,IF(D331="","",B331))</f>
        <v>0</v>
      </c>
    </row>
    <row r="332" spans="2:14">
      <c r="B332" s="57"/>
      <c r="C332" s="60"/>
      <c r="D332" s="60"/>
      <c r="E332" s="60"/>
      <c r="F332" s="60"/>
      <c r="G332" s="60"/>
      <c r="J332" s="99"/>
      <c r="K332" s="99"/>
      <c r="L332" s="99"/>
      <c r="M332" s="99"/>
      <c r="N332" s="43">
        <f t="shared" si="5"/>
        <v>0</v>
      </c>
    </row>
    <row r="333" spans="2:14">
      <c r="B333" s="57"/>
      <c r="C333" s="60"/>
      <c r="D333" s="60"/>
      <c r="E333" s="60"/>
      <c r="F333" s="60"/>
      <c r="G333" s="60"/>
      <c r="J333" s="99"/>
      <c r="K333" s="99"/>
      <c r="L333" s="99"/>
      <c r="M333" s="99"/>
      <c r="N333" s="43">
        <f t="shared" si="5"/>
        <v>0</v>
      </c>
    </row>
    <row r="334" spans="2:14">
      <c r="B334" s="57"/>
      <c r="C334" s="60"/>
      <c r="D334" s="60"/>
      <c r="E334" s="60"/>
      <c r="F334" s="60"/>
      <c r="G334" s="60"/>
      <c r="J334" s="99"/>
      <c r="K334" s="99"/>
      <c r="L334" s="99"/>
      <c r="M334" s="99"/>
      <c r="N334" s="43">
        <f t="shared" si="5"/>
        <v>0</v>
      </c>
    </row>
    <row r="335" spans="2:14">
      <c r="B335" s="57"/>
      <c r="C335" s="60"/>
      <c r="D335" s="60"/>
      <c r="E335" s="60"/>
      <c r="F335" s="60"/>
      <c r="G335" s="60"/>
      <c r="J335" s="99"/>
      <c r="K335" s="99"/>
      <c r="L335" s="99"/>
      <c r="M335" s="99"/>
      <c r="N335" s="43">
        <f t="shared" si="5"/>
        <v>0</v>
      </c>
    </row>
    <row r="336" spans="2:14">
      <c r="B336" s="57"/>
      <c r="C336" s="60"/>
      <c r="D336" s="60"/>
      <c r="E336" s="60"/>
      <c r="F336" s="60"/>
      <c r="G336" s="60"/>
      <c r="J336" s="99"/>
      <c r="K336" s="99"/>
      <c r="L336" s="99"/>
      <c r="M336" s="99"/>
      <c r="N336" s="43">
        <f t="shared" si="5"/>
        <v>0</v>
      </c>
    </row>
    <row r="337" spans="2:14">
      <c r="B337" s="57"/>
      <c r="C337" s="60"/>
      <c r="D337" s="60"/>
      <c r="E337" s="60"/>
      <c r="F337" s="60"/>
      <c r="G337" s="60"/>
      <c r="J337" s="99"/>
      <c r="K337" s="99"/>
      <c r="L337" s="99"/>
      <c r="M337" s="99"/>
      <c r="N337" s="43">
        <f t="shared" si="5"/>
        <v>0</v>
      </c>
    </row>
    <row r="338" spans="2:14">
      <c r="B338" s="57"/>
      <c r="C338" s="60"/>
      <c r="D338" s="60"/>
      <c r="E338" s="60"/>
      <c r="F338" s="60"/>
      <c r="G338" s="60"/>
      <c r="J338" s="99"/>
      <c r="K338" s="99"/>
      <c r="L338" s="99"/>
      <c r="M338" s="99"/>
      <c r="N338" s="43">
        <f t="shared" si="5"/>
        <v>0</v>
      </c>
    </row>
    <row r="339" spans="2:14">
      <c r="B339" s="57"/>
      <c r="C339" s="60"/>
      <c r="D339" s="60"/>
      <c r="E339" s="60"/>
      <c r="F339" s="60"/>
      <c r="G339" s="60"/>
      <c r="J339" s="99"/>
      <c r="K339" s="99"/>
      <c r="L339" s="99"/>
      <c r="M339" s="99"/>
      <c r="N339" s="43">
        <f t="shared" si="5"/>
        <v>0</v>
      </c>
    </row>
    <row r="340" spans="2:14">
      <c r="B340" s="57"/>
      <c r="C340" s="60"/>
      <c r="D340" s="60"/>
      <c r="E340" s="60"/>
      <c r="F340" s="60"/>
      <c r="G340" s="60"/>
      <c r="J340" s="99"/>
      <c r="K340" s="99"/>
      <c r="L340" s="99"/>
      <c r="M340" s="99"/>
      <c r="N340" s="43">
        <f t="shared" si="5"/>
        <v>0</v>
      </c>
    </row>
    <row r="341" spans="2:14">
      <c r="B341" s="57"/>
      <c r="C341" s="60"/>
      <c r="D341" s="60"/>
      <c r="E341" s="60"/>
      <c r="F341" s="60"/>
      <c r="G341" s="60"/>
      <c r="J341" s="99"/>
      <c r="K341" s="99"/>
      <c r="L341" s="99"/>
      <c r="M341" s="99"/>
      <c r="N341" s="43">
        <f t="shared" si="5"/>
        <v>0</v>
      </c>
    </row>
    <row r="342" spans="2:14">
      <c r="B342" s="57"/>
      <c r="C342" s="60"/>
      <c r="D342" s="60"/>
      <c r="E342" s="60"/>
      <c r="F342" s="60"/>
      <c r="G342" s="60"/>
      <c r="J342" s="99"/>
      <c r="K342" s="99"/>
      <c r="L342" s="99"/>
      <c r="M342" s="99"/>
      <c r="N342" s="43">
        <f t="shared" si="5"/>
        <v>0</v>
      </c>
    </row>
    <row r="343" spans="2:14">
      <c r="B343" s="57"/>
      <c r="C343" s="60"/>
      <c r="D343" s="60"/>
      <c r="E343" s="60"/>
      <c r="F343" s="60"/>
      <c r="G343" s="60"/>
      <c r="J343" s="99"/>
      <c r="K343" s="99"/>
      <c r="L343" s="99"/>
      <c r="M343" s="99"/>
      <c r="N343" s="43">
        <f t="shared" si="5"/>
        <v>0</v>
      </c>
    </row>
    <row r="344" spans="2:14">
      <c r="B344" s="57"/>
      <c r="C344" s="60"/>
      <c r="D344" s="60"/>
      <c r="E344" s="60"/>
      <c r="F344" s="60"/>
      <c r="G344" s="60"/>
      <c r="J344" s="99"/>
      <c r="K344" s="99"/>
      <c r="L344" s="99"/>
      <c r="M344" s="99"/>
      <c r="N344" s="43">
        <f t="shared" si="5"/>
        <v>0</v>
      </c>
    </row>
    <row r="345" spans="2:14">
      <c r="B345" s="57"/>
      <c r="C345" s="60"/>
      <c r="D345" s="60"/>
      <c r="E345" s="60"/>
      <c r="F345" s="60"/>
      <c r="G345" s="60"/>
      <c r="J345" s="99"/>
      <c r="K345" s="99"/>
      <c r="L345" s="99"/>
      <c r="M345" s="99"/>
      <c r="N345" s="43">
        <f t="shared" si="5"/>
        <v>0</v>
      </c>
    </row>
    <row r="346" spans="2:14">
      <c r="B346" s="57"/>
      <c r="C346" s="60"/>
      <c r="D346" s="60"/>
      <c r="E346" s="60"/>
      <c r="F346" s="60"/>
      <c r="G346" s="60"/>
      <c r="J346" s="99"/>
      <c r="K346" s="99"/>
      <c r="L346" s="99"/>
      <c r="M346" s="99"/>
      <c r="N346" s="43">
        <f t="shared" si="5"/>
        <v>0</v>
      </c>
    </row>
    <row r="347" spans="2:14">
      <c r="B347" s="57"/>
      <c r="C347" s="60"/>
      <c r="D347" s="60"/>
      <c r="E347" s="60"/>
      <c r="F347" s="60"/>
      <c r="G347" s="60"/>
      <c r="J347" s="99"/>
      <c r="K347" s="99"/>
      <c r="L347" s="99"/>
      <c r="M347" s="99"/>
      <c r="N347" s="43">
        <f t="shared" si="5"/>
        <v>0</v>
      </c>
    </row>
    <row r="348" spans="2:14">
      <c r="B348" s="57"/>
      <c r="C348" s="60"/>
      <c r="D348" s="60"/>
      <c r="E348" s="60"/>
      <c r="F348" s="60"/>
      <c r="G348" s="60"/>
      <c r="J348" s="99"/>
      <c r="K348" s="99"/>
      <c r="L348" s="99"/>
      <c r="M348" s="99"/>
      <c r="N348" s="43">
        <f t="shared" si="5"/>
        <v>0</v>
      </c>
    </row>
    <row r="349" spans="2:14">
      <c r="B349" s="57"/>
      <c r="C349" s="60"/>
      <c r="D349" s="60"/>
      <c r="E349" s="60"/>
      <c r="F349" s="60"/>
      <c r="G349" s="60"/>
      <c r="J349" s="99"/>
      <c r="K349" s="99"/>
      <c r="L349" s="99"/>
      <c r="M349" s="99"/>
      <c r="N349" s="43">
        <f t="shared" si="5"/>
        <v>0</v>
      </c>
    </row>
    <row r="350" spans="2:14">
      <c r="B350" s="57"/>
      <c r="C350" s="60"/>
      <c r="D350" s="60"/>
      <c r="E350" s="60"/>
      <c r="F350" s="60"/>
      <c r="G350" s="60"/>
      <c r="J350" s="99"/>
      <c r="K350" s="99"/>
      <c r="L350" s="99"/>
      <c r="M350" s="99"/>
      <c r="N350" s="43">
        <f t="shared" si="5"/>
        <v>0</v>
      </c>
    </row>
    <row r="351" spans="2:14">
      <c r="B351" s="57"/>
      <c r="C351" s="60"/>
      <c r="D351" s="60"/>
      <c r="E351" s="60"/>
      <c r="F351" s="60"/>
      <c r="G351" s="60"/>
      <c r="J351" s="99"/>
      <c r="K351" s="99"/>
      <c r="L351" s="99"/>
      <c r="M351" s="99"/>
      <c r="N351" s="43">
        <f t="shared" si="5"/>
        <v>0</v>
      </c>
    </row>
    <row r="352" spans="2:14">
      <c r="B352" s="57"/>
      <c r="C352" s="60"/>
      <c r="D352" s="60"/>
      <c r="E352" s="60"/>
      <c r="F352" s="60"/>
      <c r="G352" s="60"/>
      <c r="J352" s="99"/>
      <c r="K352" s="99"/>
      <c r="L352" s="99"/>
      <c r="M352" s="99"/>
      <c r="N352" s="43">
        <f t="shared" si="5"/>
        <v>0</v>
      </c>
    </row>
    <row r="353" spans="2:14">
      <c r="B353" s="57"/>
      <c r="C353" s="60"/>
      <c r="D353" s="60"/>
      <c r="E353" s="60"/>
      <c r="F353" s="60"/>
      <c r="G353" s="60"/>
      <c r="J353" s="99"/>
      <c r="K353" s="99"/>
      <c r="L353" s="99"/>
      <c r="M353" s="99"/>
      <c r="N353" s="43">
        <f t="shared" si="5"/>
        <v>0</v>
      </c>
    </row>
    <row r="354" spans="2:14">
      <c r="B354" s="57"/>
      <c r="C354" s="60"/>
      <c r="D354" s="60"/>
      <c r="E354" s="60"/>
      <c r="F354" s="60"/>
      <c r="G354" s="60"/>
      <c r="J354" s="99"/>
      <c r="K354" s="99"/>
      <c r="L354" s="99"/>
      <c r="M354" s="99"/>
      <c r="N354" s="43">
        <f t="shared" si="5"/>
        <v>0</v>
      </c>
    </row>
    <row r="355" spans="2:14">
      <c r="B355" s="57"/>
      <c r="C355" s="60"/>
      <c r="D355" s="60"/>
      <c r="E355" s="60"/>
      <c r="F355" s="60"/>
      <c r="G355" s="60"/>
      <c r="J355" s="99"/>
      <c r="K355" s="99"/>
      <c r="L355" s="99"/>
      <c r="M355" s="99"/>
      <c r="N355" s="43">
        <f t="shared" si="5"/>
        <v>0</v>
      </c>
    </row>
    <row r="356" spans="2:14">
      <c r="B356" s="57"/>
      <c r="C356" s="60"/>
      <c r="D356" s="60"/>
      <c r="E356" s="60"/>
      <c r="F356" s="60"/>
      <c r="G356" s="60"/>
      <c r="J356" s="99"/>
      <c r="K356" s="99"/>
      <c r="L356" s="99"/>
      <c r="M356" s="99"/>
      <c r="N356" s="43">
        <f t="shared" si="5"/>
        <v>0</v>
      </c>
    </row>
    <row r="357" spans="2:14">
      <c r="B357" s="57"/>
      <c r="C357" s="60"/>
      <c r="D357" s="60"/>
      <c r="E357" s="60"/>
      <c r="F357" s="60"/>
      <c r="G357" s="60"/>
      <c r="J357" s="99"/>
      <c r="K357" s="99"/>
      <c r="L357" s="99"/>
      <c r="M357" s="99"/>
      <c r="N357" s="43">
        <f t="shared" si="5"/>
        <v>0</v>
      </c>
    </row>
    <row r="358" spans="2:14">
      <c r="B358" s="57"/>
      <c r="C358" s="60"/>
      <c r="D358" s="60"/>
      <c r="E358" s="60"/>
      <c r="F358" s="60"/>
      <c r="G358" s="60"/>
      <c r="J358" s="99"/>
      <c r="K358" s="99"/>
      <c r="L358" s="99"/>
      <c r="M358" s="99"/>
      <c r="N358" s="43">
        <f t="shared" si="5"/>
        <v>0</v>
      </c>
    </row>
    <row r="359" spans="2:14">
      <c r="B359" s="57"/>
      <c r="C359" s="60"/>
      <c r="D359" s="60"/>
      <c r="E359" s="60"/>
      <c r="F359" s="60"/>
      <c r="G359" s="60"/>
      <c r="J359" s="99"/>
      <c r="K359" s="99"/>
      <c r="L359" s="99"/>
      <c r="M359" s="99"/>
      <c r="N359" s="43">
        <f t="shared" si="5"/>
        <v>0</v>
      </c>
    </row>
    <row r="360" spans="2:14">
      <c r="B360" s="57"/>
      <c r="C360" s="60"/>
      <c r="D360" s="60"/>
      <c r="E360" s="60"/>
      <c r="F360" s="60"/>
      <c r="G360" s="60"/>
      <c r="J360" s="99"/>
      <c r="K360" s="99"/>
      <c r="L360" s="99"/>
      <c r="M360" s="99"/>
      <c r="N360" s="43">
        <f t="shared" si="5"/>
        <v>0</v>
      </c>
    </row>
    <row r="361" spans="2:14">
      <c r="B361" s="57"/>
      <c r="C361" s="60"/>
      <c r="D361" s="60"/>
      <c r="E361" s="60"/>
      <c r="F361" s="60"/>
      <c r="G361" s="60"/>
      <c r="J361" s="99"/>
      <c r="K361" s="99"/>
      <c r="L361" s="99"/>
      <c r="M361" s="99"/>
      <c r="N361" s="43">
        <f t="shared" si="5"/>
        <v>0</v>
      </c>
    </row>
    <row r="362" spans="2:14">
      <c r="B362" s="57"/>
      <c r="C362" s="60"/>
      <c r="D362" s="60"/>
      <c r="E362" s="60"/>
      <c r="F362" s="60"/>
      <c r="G362" s="60"/>
      <c r="J362" s="99"/>
      <c r="K362" s="99"/>
      <c r="L362" s="99"/>
      <c r="M362" s="99"/>
      <c r="N362" s="43">
        <f t="shared" si="5"/>
        <v>0</v>
      </c>
    </row>
    <row r="363" spans="2:14">
      <c r="B363" s="57"/>
      <c r="C363" s="60"/>
      <c r="D363" s="60"/>
      <c r="E363" s="60"/>
      <c r="F363" s="60"/>
      <c r="G363" s="60"/>
      <c r="J363" s="99"/>
      <c r="K363" s="99"/>
      <c r="L363" s="99"/>
      <c r="M363" s="99"/>
      <c r="N363" s="43">
        <f t="shared" si="5"/>
        <v>0</v>
      </c>
    </row>
    <row r="364" spans="2:14">
      <c r="B364" s="57"/>
      <c r="C364" s="60"/>
      <c r="D364" s="60"/>
      <c r="E364" s="60"/>
      <c r="F364" s="60"/>
      <c r="G364" s="60"/>
      <c r="J364" s="99"/>
      <c r="K364" s="99"/>
      <c r="L364" s="99"/>
      <c r="M364" s="99"/>
      <c r="N364" s="43">
        <f t="shared" si="5"/>
        <v>0</v>
      </c>
    </row>
    <row r="365" spans="2:14">
      <c r="B365" s="57"/>
      <c r="C365" s="60"/>
      <c r="D365" s="60"/>
      <c r="E365" s="60"/>
      <c r="F365" s="60"/>
      <c r="G365" s="60"/>
      <c r="J365" s="99"/>
      <c r="K365" s="99"/>
      <c r="L365" s="99"/>
      <c r="M365" s="99"/>
      <c r="N365" s="43">
        <f t="shared" si="5"/>
        <v>0</v>
      </c>
    </row>
    <row r="366" spans="2:14">
      <c r="B366" s="57"/>
      <c r="C366" s="60"/>
      <c r="D366" s="60"/>
      <c r="E366" s="60"/>
      <c r="F366" s="60"/>
      <c r="G366" s="60"/>
      <c r="J366" s="99"/>
      <c r="K366" s="99"/>
      <c r="L366" s="99"/>
      <c r="M366" s="99"/>
      <c r="N366" s="43">
        <f t="shared" si="5"/>
        <v>0</v>
      </c>
    </row>
    <row r="367" spans="2:14">
      <c r="B367" s="57"/>
      <c r="C367" s="60"/>
      <c r="D367" s="60"/>
      <c r="E367" s="60"/>
      <c r="F367" s="60"/>
      <c r="G367" s="60"/>
      <c r="J367" s="99"/>
      <c r="K367" s="99"/>
      <c r="L367" s="99"/>
      <c r="M367" s="99"/>
      <c r="N367" s="43">
        <f t="shared" si="5"/>
        <v>0</v>
      </c>
    </row>
    <row r="368" spans="2:14">
      <c r="B368" s="57"/>
      <c r="C368" s="60"/>
      <c r="D368" s="60"/>
      <c r="E368" s="60"/>
      <c r="F368" s="60"/>
      <c r="G368" s="60"/>
      <c r="J368" s="99"/>
      <c r="K368" s="99"/>
      <c r="L368" s="99"/>
      <c r="M368" s="99"/>
      <c r="N368" s="43">
        <f t="shared" si="5"/>
        <v>0</v>
      </c>
    </row>
    <row r="369" spans="2:14">
      <c r="B369" s="57"/>
      <c r="C369" s="60"/>
      <c r="D369" s="60"/>
      <c r="E369" s="60"/>
      <c r="F369" s="60"/>
      <c r="G369" s="60"/>
      <c r="J369" s="99"/>
      <c r="K369" s="99"/>
      <c r="L369" s="99"/>
      <c r="M369" s="99"/>
      <c r="N369" s="43">
        <f t="shared" si="5"/>
        <v>0</v>
      </c>
    </row>
    <row r="370" spans="2:14">
      <c r="B370" s="57"/>
      <c r="C370" s="60"/>
      <c r="D370" s="60"/>
      <c r="E370" s="60"/>
      <c r="F370" s="60"/>
      <c r="G370" s="60"/>
      <c r="J370" s="99"/>
      <c r="K370" s="99"/>
      <c r="L370" s="99"/>
      <c r="M370" s="99"/>
      <c r="N370" s="43">
        <f t="shared" si="5"/>
        <v>0</v>
      </c>
    </row>
    <row r="371" spans="2:14">
      <c r="B371" s="57"/>
      <c r="C371" s="60"/>
      <c r="D371" s="60"/>
      <c r="E371" s="60"/>
      <c r="F371" s="60"/>
      <c r="G371" s="60"/>
      <c r="J371" s="99"/>
      <c r="K371" s="99"/>
      <c r="L371" s="99"/>
      <c r="M371" s="99"/>
      <c r="N371" s="43">
        <f t="shared" si="5"/>
        <v>0</v>
      </c>
    </row>
    <row r="372" spans="2:14">
      <c r="B372" s="57"/>
      <c r="C372" s="60"/>
      <c r="D372" s="60"/>
      <c r="E372" s="60"/>
      <c r="F372" s="60"/>
      <c r="G372" s="60"/>
      <c r="J372" s="99"/>
      <c r="K372" s="99"/>
      <c r="L372" s="99"/>
      <c r="M372" s="99"/>
      <c r="N372" s="43">
        <f t="shared" si="5"/>
        <v>0</v>
      </c>
    </row>
    <row r="373" spans="2:14">
      <c r="B373" s="57"/>
      <c r="C373" s="60"/>
      <c r="D373" s="60"/>
      <c r="E373" s="60"/>
      <c r="F373" s="60"/>
      <c r="G373" s="60"/>
      <c r="J373" s="99"/>
      <c r="K373" s="99"/>
      <c r="L373" s="99"/>
      <c r="M373" s="99"/>
      <c r="N373" s="43">
        <f t="shared" si="5"/>
        <v>0</v>
      </c>
    </row>
    <row r="374" spans="2:14">
      <c r="B374" s="57"/>
      <c r="C374" s="60"/>
      <c r="D374" s="60"/>
      <c r="E374" s="60"/>
      <c r="F374" s="60"/>
      <c r="G374" s="60"/>
      <c r="J374" s="99"/>
      <c r="K374" s="99"/>
      <c r="L374" s="99"/>
      <c r="M374" s="99"/>
      <c r="N374" s="43">
        <f t="shared" si="5"/>
        <v>0</v>
      </c>
    </row>
    <row r="375" spans="2:14">
      <c r="B375" s="57"/>
      <c r="C375" s="60"/>
      <c r="D375" s="60"/>
      <c r="E375" s="60"/>
      <c r="F375" s="60"/>
      <c r="G375" s="60"/>
      <c r="J375" s="99"/>
      <c r="K375" s="99"/>
      <c r="L375" s="99"/>
      <c r="M375" s="99"/>
      <c r="N375" s="43">
        <f t="shared" si="5"/>
        <v>0</v>
      </c>
    </row>
    <row r="376" spans="2:14">
      <c r="B376" s="57"/>
      <c r="C376" s="60"/>
      <c r="D376" s="60"/>
      <c r="E376" s="60"/>
      <c r="F376" s="60"/>
      <c r="G376" s="60"/>
      <c r="J376" s="99"/>
      <c r="K376" s="99"/>
      <c r="L376" s="99"/>
      <c r="M376" s="99"/>
      <c r="N376" s="43">
        <f t="shared" si="5"/>
        <v>0</v>
      </c>
    </row>
    <row r="377" spans="2:14">
      <c r="B377" s="57"/>
      <c r="C377" s="60"/>
      <c r="D377" s="60"/>
      <c r="E377" s="60"/>
      <c r="F377" s="60"/>
      <c r="G377" s="60"/>
      <c r="J377" s="99"/>
      <c r="K377" s="99"/>
      <c r="L377" s="99"/>
      <c r="M377" s="99"/>
      <c r="N377" s="43">
        <f t="shared" si="5"/>
        <v>0</v>
      </c>
    </row>
    <row r="378" spans="2:14">
      <c r="B378" s="57"/>
      <c r="C378" s="60"/>
      <c r="D378" s="60"/>
      <c r="E378" s="60"/>
      <c r="F378" s="60"/>
      <c r="G378" s="60"/>
      <c r="J378" s="99"/>
      <c r="K378" s="99"/>
      <c r="L378" s="99"/>
      <c r="M378" s="99"/>
      <c r="N378" s="43">
        <f t="shared" si="5"/>
        <v>0</v>
      </c>
    </row>
    <row r="379" spans="2:14">
      <c r="B379" s="57"/>
      <c r="C379" s="60"/>
      <c r="D379" s="60"/>
      <c r="E379" s="60"/>
      <c r="F379" s="60"/>
      <c r="G379" s="60"/>
      <c r="J379" s="99"/>
      <c r="K379" s="99"/>
      <c r="L379" s="99"/>
      <c r="M379" s="99"/>
      <c r="N379" s="43">
        <f t="shared" si="5"/>
        <v>0</v>
      </c>
    </row>
    <row r="380" spans="2:14">
      <c r="B380" s="57"/>
      <c r="C380" s="60"/>
      <c r="D380" s="60"/>
      <c r="E380" s="60"/>
      <c r="F380" s="60"/>
      <c r="G380" s="60"/>
      <c r="J380" s="99"/>
      <c r="K380" s="99"/>
      <c r="L380" s="99"/>
      <c r="M380" s="99"/>
      <c r="N380" s="43">
        <f t="shared" si="5"/>
        <v>0</v>
      </c>
    </row>
    <row r="381" spans="2:14">
      <c r="B381" s="57"/>
      <c r="C381" s="60"/>
      <c r="D381" s="60"/>
      <c r="E381" s="60"/>
      <c r="F381" s="60"/>
      <c r="G381" s="60"/>
      <c r="J381" s="99"/>
      <c r="K381" s="99"/>
      <c r="L381" s="99"/>
      <c r="M381" s="99"/>
      <c r="N381" s="43">
        <f t="shared" si="5"/>
        <v>0</v>
      </c>
    </row>
    <row r="382" spans="2:14">
      <c r="B382" s="57"/>
      <c r="C382" s="60"/>
      <c r="D382" s="60"/>
      <c r="E382" s="60"/>
      <c r="F382" s="60"/>
      <c r="G382" s="60"/>
      <c r="J382" s="99"/>
      <c r="K382" s="99"/>
      <c r="L382" s="99"/>
      <c r="M382" s="99"/>
      <c r="N382" s="43">
        <f t="shared" si="5"/>
        <v>0</v>
      </c>
    </row>
    <row r="383" spans="2:14">
      <c r="B383" s="57"/>
      <c r="C383" s="60"/>
      <c r="D383" s="60"/>
      <c r="E383" s="60"/>
      <c r="F383" s="60"/>
      <c r="G383" s="60"/>
      <c r="J383" s="99"/>
      <c r="K383" s="99"/>
      <c r="L383" s="99"/>
      <c r="M383" s="99"/>
      <c r="N383" s="43">
        <f t="shared" si="5"/>
        <v>0</v>
      </c>
    </row>
    <row r="384" spans="2:14">
      <c r="B384" s="57"/>
      <c r="C384" s="60"/>
      <c r="D384" s="60"/>
      <c r="E384" s="60"/>
      <c r="F384" s="60"/>
      <c r="G384" s="60"/>
      <c r="J384" s="99"/>
      <c r="K384" s="99"/>
      <c r="L384" s="99"/>
      <c r="M384" s="99"/>
      <c r="N384" s="43">
        <f t="shared" si="5"/>
        <v>0</v>
      </c>
    </row>
    <row r="385" spans="2:14">
      <c r="B385" s="57"/>
      <c r="C385" s="60"/>
      <c r="D385" s="60"/>
      <c r="E385" s="60"/>
      <c r="F385" s="60"/>
      <c r="G385" s="60"/>
      <c r="J385" s="99"/>
      <c r="K385" s="99"/>
      <c r="L385" s="99"/>
      <c r="M385" s="99"/>
      <c r="N385" s="43">
        <f t="shared" si="5"/>
        <v>0</v>
      </c>
    </row>
    <row r="386" spans="2:14">
      <c r="B386" s="57"/>
      <c r="C386" s="60"/>
      <c r="D386" s="60"/>
      <c r="E386" s="60"/>
      <c r="F386" s="60"/>
      <c r="G386" s="60"/>
      <c r="J386" s="99"/>
      <c r="K386" s="99"/>
      <c r="L386" s="99"/>
      <c r="M386" s="99"/>
      <c r="N386" s="43">
        <f t="shared" si="5"/>
        <v>0</v>
      </c>
    </row>
    <row r="387" spans="2:14">
      <c r="B387" s="57"/>
      <c r="C387" s="60"/>
      <c r="D387" s="60"/>
      <c r="E387" s="60"/>
      <c r="F387" s="60"/>
      <c r="G387" s="60"/>
      <c r="J387" s="99"/>
      <c r="K387" s="99"/>
      <c r="L387" s="99"/>
      <c r="M387" s="99"/>
      <c r="N387" s="43">
        <f t="shared" si="5"/>
        <v>0</v>
      </c>
    </row>
    <row r="388" spans="2:14">
      <c r="B388" s="57"/>
      <c r="C388" s="60"/>
      <c r="D388" s="60"/>
      <c r="E388" s="60"/>
      <c r="F388" s="60"/>
      <c r="G388" s="60"/>
      <c r="J388" s="99"/>
      <c r="K388" s="99"/>
      <c r="L388" s="99"/>
      <c r="M388" s="99"/>
      <c r="N388" s="43">
        <f t="shared" si="5"/>
        <v>0</v>
      </c>
    </row>
    <row r="389" spans="2:14">
      <c r="B389" s="57"/>
      <c r="C389" s="60"/>
      <c r="D389" s="60"/>
      <c r="E389" s="60"/>
      <c r="F389" s="60"/>
      <c r="G389" s="60"/>
      <c r="J389" s="99"/>
      <c r="K389" s="99"/>
      <c r="L389" s="99"/>
      <c r="M389" s="99"/>
      <c r="N389" s="43">
        <f t="shared" si="5"/>
        <v>0</v>
      </c>
    </row>
    <row r="390" spans="2:14">
      <c r="B390" s="57"/>
      <c r="C390" s="60"/>
      <c r="D390" s="60"/>
      <c r="E390" s="60"/>
      <c r="F390" s="60"/>
      <c r="G390" s="60"/>
      <c r="J390" s="99"/>
      <c r="K390" s="99"/>
      <c r="L390" s="99"/>
      <c r="M390" s="99"/>
      <c r="N390" s="43">
        <f t="shared" si="5"/>
        <v>0</v>
      </c>
    </row>
    <row r="391" spans="2:14">
      <c r="B391" s="57"/>
      <c r="C391" s="60"/>
      <c r="D391" s="60"/>
      <c r="E391" s="60"/>
      <c r="F391" s="60"/>
      <c r="G391" s="60"/>
      <c r="J391" s="99"/>
      <c r="K391" s="99"/>
      <c r="L391" s="99"/>
      <c r="M391" s="99"/>
      <c r="N391" s="43">
        <f t="shared" si="5"/>
        <v>0</v>
      </c>
    </row>
    <row r="392" spans="2:14">
      <c r="B392" s="57"/>
      <c r="C392" s="60"/>
      <c r="D392" s="60"/>
      <c r="E392" s="60"/>
      <c r="F392" s="60"/>
      <c r="G392" s="60"/>
      <c r="J392" s="99"/>
      <c r="K392" s="99"/>
      <c r="L392" s="99"/>
      <c r="M392" s="99"/>
      <c r="N392" s="43">
        <f t="shared" si="5"/>
        <v>0</v>
      </c>
    </row>
    <row r="393" spans="2:14">
      <c r="B393" s="57"/>
      <c r="C393" s="60"/>
      <c r="D393" s="60"/>
      <c r="E393" s="60"/>
      <c r="F393" s="60"/>
      <c r="G393" s="60"/>
      <c r="J393" s="99"/>
      <c r="K393" s="99"/>
      <c r="L393" s="99"/>
      <c r="M393" s="99"/>
      <c r="N393" s="43">
        <f t="shared" si="5"/>
        <v>0</v>
      </c>
    </row>
    <row r="394" spans="2:14">
      <c r="B394" s="57"/>
      <c r="C394" s="60"/>
      <c r="D394" s="60"/>
      <c r="E394" s="60"/>
      <c r="F394" s="60"/>
      <c r="G394" s="60"/>
      <c r="J394" s="99"/>
      <c r="K394" s="99"/>
      <c r="L394" s="99"/>
      <c r="M394" s="99"/>
      <c r="N394" s="43">
        <f t="shared" si="5"/>
        <v>0</v>
      </c>
    </row>
    <row r="395" spans="2:14">
      <c r="B395" s="57"/>
      <c r="C395" s="60"/>
      <c r="D395" s="60"/>
      <c r="E395" s="60"/>
      <c r="F395" s="60"/>
      <c r="G395" s="60"/>
      <c r="J395" s="99"/>
      <c r="K395" s="99"/>
      <c r="L395" s="99"/>
      <c r="M395" s="99"/>
      <c r="N395" s="43">
        <f t="shared" ref="N395:N458" si="6">IF($L$4=$C$10,C395,IF(D395="","",B395))</f>
        <v>0</v>
      </c>
    </row>
    <row r="396" spans="2:14">
      <c r="B396" s="57"/>
      <c r="C396" s="60"/>
      <c r="D396" s="60"/>
      <c r="E396" s="60"/>
      <c r="F396" s="60"/>
      <c r="G396" s="60"/>
      <c r="J396" s="99"/>
      <c r="K396" s="99"/>
      <c r="L396" s="99"/>
      <c r="M396" s="99"/>
      <c r="N396" s="43">
        <f t="shared" si="6"/>
        <v>0</v>
      </c>
    </row>
    <row r="397" spans="2:14">
      <c r="B397" s="57"/>
      <c r="C397" s="60"/>
      <c r="D397" s="60"/>
      <c r="E397" s="60"/>
      <c r="F397" s="60"/>
      <c r="G397" s="60"/>
      <c r="J397" s="99"/>
      <c r="K397" s="99"/>
      <c r="L397" s="99"/>
      <c r="M397" s="99"/>
      <c r="N397" s="43">
        <f t="shared" si="6"/>
        <v>0</v>
      </c>
    </row>
    <row r="398" spans="2:14">
      <c r="B398" s="57"/>
      <c r="C398" s="60"/>
      <c r="D398" s="60"/>
      <c r="E398" s="60"/>
      <c r="F398" s="60"/>
      <c r="G398" s="60"/>
      <c r="J398" s="99"/>
      <c r="K398" s="99"/>
      <c r="L398" s="99"/>
      <c r="M398" s="99"/>
      <c r="N398" s="43">
        <f t="shared" si="6"/>
        <v>0</v>
      </c>
    </row>
    <row r="399" spans="2:14">
      <c r="B399" s="57"/>
      <c r="C399" s="60"/>
      <c r="D399" s="60"/>
      <c r="E399" s="60"/>
      <c r="F399" s="60"/>
      <c r="G399" s="60"/>
      <c r="J399" s="99"/>
      <c r="K399" s="99"/>
      <c r="L399" s="99"/>
      <c r="M399" s="99"/>
      <c r="N399" s="43">
        <f t="shared" si="6"/>
        <v>0</v>
      </c>
    </row>
    <row r="400" spans="2:14">
      <c r="B400" s="57"/>
      <c r="C400" s="60"/>
      <c r="D400" s="60"/>
      <c r="E400" s="60"/>
      <c r="F400" s="60"/>
      <c r="G400" s="60"/>
      <c r="J400" s="99"/>
      <c r="K400" s="99"/>
      <c r="L400" s="99"/>
      <c r="M400" s="99"/>
      <c r="N400" s="43">
        <f t="shared" si="6"/>
        <v>0</v>
      </c>
    </row>
    <row r="401" spans="2:14">
      <c r="B401" s="57"/>
      <c r="C401" s="60"/>
      <c r="D401" s="60"/>
      <c r="E401" s="60"/>
      <c r="F401" s="60"/>
      <c r="G401" s="60"/>
      <c r="J401" s="99"/>
      <c r="K401" s="99"/>
      <c r="L401" s="99"/>
      <c r="M401" s="99"/>
      <c r="N401" s="43">
        <f t="shared" si="6"/>
        <v>0</v>
      </c>
    </row>
    <row r="402" spans="2:14">
      <c r="B402" s="57"/>
      <c r="C402" s="60"/>
      <c r="D402" s="60"/>
      <c r="E402" s="60"/>
      <c r="F402" s="60"/>
      <c r="G402" s="60"/>
      <c r="J402" s="99"/>
      <c r="K402" s="99"/>
      <c r="L402" s="99"/>
      <c r="M402" s="99"/>
      <c r="N402" s="43">
        <f t="shared" si="6"/>
        <v>0</v>
      </c>
    </row>
    <row r="403" spans="2:14">
      <c r="B403" s="57"/>
      <c r="C403" s="60"/>
      <c r="D403" s="60"/>
      <c r="E403" s="60"/>
      <c r="F403" s="60"/>
      <c r="G403" s="60"/>
      <c r="J403" s="99"/>
      <c r="K403" s="99"/>
      <c r="L403" s="99"/>
      <c r="M403" s="99"/>
      <c r="N403" s="43">
        <f t="shared" si="6"/>
        <v>0</v>
      </c>
    </row>
    <row r="404" spans="2:14">
      <c r="B404" s="57"/>
      <c r="C404" s="60"/>
      <c r="D404" s="60"/>
      <c r="E404" s="60"/>
      <c r="F404" s="60"/>
      <c r="G404" s="60"/>
      <c r="J404" s="99"/>
      <c r="K404" s="99"/>
      <c r="L404" s="99"/>
      <c r="M404" s="99"/>
      <c r="N404" s="43">
        <f t="shared" si="6"/>
        <v>0</v>
      </c>
    </row>
    <row r="405" spans="2:14">
      <c r="B405" s="57"/>
      <c r="C405" s="60"/>
      <c r="D405" s="60"/>
      <c r="E405" s="60"/>
      <c r="F405" s="60"/>
      <c r="G405" s="60"/>
      <c r="J405" s="99"/>
      <c r="K405" s="99"/>
      <c r="L405" s="99"/>
      <c r="M405" s="99"/>
      <c r="N405" s="43">
        <f t="shared" si="6"/>
        <v>0</v>
      </c>
    </row>
    <row r="406" spans="2:14">
      <c r="B406" s="57"/>
      <c r="C406" s="60"/>
      <c r="D406" s="60"/>
      <c r="E406" s="60"/>
      <c r="F406" s="60"/>
      <c r="G406" s="60"/>
      <c r="J406" s="99"/>
      <c r="K406" s="99"/>
      <c r="L406" s="99"/>
      <c r="M406" s="99"/>
      <c r="N406" s="43">
        <f t="shared" si="6"/>
        <v>0</v>
      </c>
    </row>
    <row r="407" spans="2:14">
      <c r="B407" s="57"/>
      <c r="C407" s="60"/>
      <c r="D407" s="60"/>
      <c r="E407" s="60"/>
      <c r="F407" s="60"/>
      <c r="G407" s="60"/>
      <c r="J407" s="99"/>
      <c r="K407" s="99"/>
      <c r="L407" s="99"/>
      <c r="M407" s="99"/>
      <c r="N407" s="43">
        <f t="shared" si="6"/>
        <v>0</v>
      </c>
    </row>
    <row r="408" spans="2:14">
      <c r="B408" s="57"/>
      <c r="C408" s="60"/>
      <c r="D408" s="60"/>
      <c r="E408" s="60"/>
      <c r="F408" s="60"/>
      <c r="G408" s="60"/>
      <c r="J408" s="99"/>
      <c r="K408" s="99"/>
      <c r="L408" s="99"/>
      <c r="M408" s="99"/>
      <c r="N408" s="43">
        <f t="shared" si="6"/>
        <v>0</v>
      </c>
    </row>
    <row r="409" spans="2:14">
      <c r="B409" s="57"/>
      <c r="C409" s="60"/>
      <c r="D409" s="60"/>
      <c r="E409" s="60"/>
      <c r="F409" s="60"/>
      <c r="G409" s="60"/>
      <c r="J409" s="99"/>
      <c r="K409" s="99"/>
      <c r="L409" s="99"/>
      <c r="M409" s="99"/>
      <c r="N409" s="43">
        <f t="shared" si="6"/>
        <v>0</v>
      </c>
    </row>
    <row r="410" spans="2:14">
      <c r="B410" s="57"/>
      <c r="C410" s="60"/>
      <c r="D410" s="60"/>
      <c r="E410" s="60"/>
      <c r="F410" s="60"/>
      <c r="G410" s="60"/>
      <c r="J410" s="99"/>
      <c r="K410" s="99"/>
      <c r="L410" s="99"/>
      <c r="M410" s="99"/>
      <c r="N410" s="43">
        <f t="shared" si="6"/>
        <v>0</v>
      </c>
    </row>
    <row r="411" spans="2:14">
      <c r="B411" s="57"/>
      <c r="C411" s="60"/>
      <c r="D411" s="60"/>
      <c r="E411" s="60"/>
      <c r="F411" s="60"/>
      <c r="G411" s="60"/>
      <c r="J411" s="99"/>
      <c r="K411" s="99"/>
      <c r="L411" s="99"/>
      <c r="M411" s="99"/>
      <c r="N411" s="43">
        <f t="shared" si="6"/>
        <v>0</v>
      </c>
    </row>
    <row r="412" spans="2:14">
      <c r="B412" s="57"/>
      <c r="C412" s="60"/>
      <c r="D412" s="60"/>
      <c r="E412" s="60"/>
      <c r="F412" s="60"/>
      <c r="G412" s="60"/>
      <c r="J412" s="99"/>
      <c r="K412" s="99"/>
      <c r="L412" s="99"/>
      <c r="M412" s="99"/>
      <c r="N412" s="43">
        <f t="shared" si="6"/>
        <v>0</v>
      </c>
    </row>
    <row r="413" spans="2:14">
      <c r="B413" s="57"/>
      <c r="C413" s="60"/>
      <c r="D413" s="60"/>
      <c r="E413" s="60"/>
      <c r="F413" s="60"/>
      <c r="G413" s="60"/>
      <c r="J413" s="99"/>
      <c r="K413" s="99"/>
      <c r="L413" s="99"/>
      <c r="M413" s="99"/>
      <c r="N413" s="43">
        <f t="shared" si="6"/>
        <v>0</v>
      </c>
    </row>
    <row r="414" spans="2:14">
      <c r="B414" s="57"/>
      <c r="C414" s="60"/>
      <c r="D414" s="60"/>
      <c r="E414" s="60"/>
      <c r="F414" s="60"/>
      <c r="G414" s="60"/>
      <c r="J414" s="99"/>
      <c r="K414" s="99"/>
      <c r="L414" s="99"/>
      <c r="M414" s="99"/>
      <c r="N414" s="43">
        <f t="shared" si="6"/>
        <v>0</v>
      </c>
    </row>
    <row r="415" spans="2:14">
      <c r="B415" s="57"/>
      <c r="C415" s="60"/>
      <c r="D415" s="60"/>
      <c r="E415" s="60"/>
      <c r="F415" s="60"/>
      <c r="G415" s="60"/>
      <c r="J415" s="99"/>
      <c r="K415" s="99"/>
      <c r="L415" s="99"/>
      <c r="M415" s="99"/>
      <c r="N415" s="43">
        <f t="shared" si="6"/>
        <v>0</v>
      </c>
    </row>
    <row r="416" spans="2:14">
      <c r="B416" s="57"/>
      <c r="C416" s="60"/>
      <c r="D416" s="60"/>
      <c r="E416" s="60"/>
      <c r="F416" s="60"/>
      <c r="G416" s="60"/>
      <c r="J416" s="99"/>
      <c r="K416" s="99"/>
      <c r="L416" s="99"/>
      <c r="M416" s="99"/>
      <c r="N416" s="43">
        <f t="shared" si="6"/>
        <v>0</v>
      </c>
    </row>
    <row r="417" spans="2:14">
      <c r="B417" s="57"/>
      <c r="C417" s="60"/>
      <c r="D417" s="60"/>
      <c r="E417" s="60"/>
      <c r="F417" s="60"/>
      <c r="G417" s="60"/>
      <c r="J417" s="99"/>
      <c r="K417" s="99"/>
      <c r="L417" s="99"/>
      <c r="M417" s="99"/>
      <c r="N417" s="43">
        <f t="shared" si="6"/>
        <v>0</v>
      </c>
    </row>
    <row r="418" spans="2:14">
      <c r="B418" s="57"/>
      <c r="C418" s="60"/>
      <c r="D418" s="60"/>
      <c r="E418" s="60"/>
      <c r="F418" s="60"/>
      <c r="G418" s="60"/>
      <c r="J418" s="99"/>
      <c r="K418" s="99"/>
      <c r="L418" s="99"/>
      <c r="M418" s="99"/>
      <c r="N418" s="43">
        <f t="shared" si="6"/>
        <v>0</v>
      </c>
    </row>
    <row r="419" spans="2:14">
      <c r="B419" s="57"/>
      <c r="C419" s="60"/>
      <c r="D419" s="60"/>
      <c r="E419" s="60"/>
      <c r="F419" s="60"/>
      <c r="G419" s="60"/>
      <c r="J419" s="99"/>
      <c r="K419" s="99"/>
      <c r="L419" s="99"/>
      <c r="M419" s="99"/>
      <c r="N419" s="43">
        <f t="shared" si="6"/>
        <v>0</v>
      </c>
    </row>
    <row r="420" spans="2:14">
      <c r="B420" s="57"/>
      <c r="C420" s="60"/>
      <c r="D420" s="60"/>
      <c r="E420" s="60"/>
      <c r="F420" s="60"/>
      <c r="G420" s="60"/>
      <c r="J420" s="99"/>
      <c r="K420" s="99"/>
      <c r="L420" s="99"/>
      <c r="M420" s="99"/>
      <c r="N420" s="43">
        <f t="shared" si="6"/>
        <v>0</v>
      </c>
    </row>
    <row r="421" spans="2:14">
      <c r="B421" s="57"/>
      <c r="C421" s="60"/>
      <c r="D421" s="60"/>
      <c r="E421" s="60"/>
      <c r="F421" s="60"/>
      <c r="G421" s="60"/>
      <c r="J421" s="99"/>
      <c r="K421" s="99"/>
      <c r="L421" s="99"/>
      <c r="M421" s="99"/>
      <c r="N421" s="43">
        <f t="shared" si="6"/>
        <v>0</v>
      </c>
    </row>
    <row r="422" spans="2:14">
      <c r="B422" s="57"/>
      <c r="C422" s="60"/>
      <c r="D422" s="60"/>
      <c r="E422" s="60"/>
      <c r="F422" s="60"/>
      <c r="G422" s="60"/>
      <c r="J422" s="99"/>
      <c r="K422" s="99"/>
      <c r="L422" s="99"/>
      <c r="M422" s="99"/>
      <c r="N422" s="43">
        <f t="shared" si="6"/>
        <v>0</v>
      </c>
    </row>
    <row r="423" spans="2:14">
      <c r="B423" s="57"/>
      <c r="C423" s="60"/>
      <c r="D423" s="60"/>
      <c r="E423" s="60"/>
      <c r="F423" s="60"/>
      <c r="G423" s="60"/>
      <c r="J423" s="99"/>
      <c r="K423" s="99"/>
      <c r="L423" s="99"/>
      <c r="M423" s="99"/>
      <c r="N423" s="43">
        <f t="shared" si="6"/>
        <v>0</v>
      </c>
    </row>
    <row r="424" spans="2:14">
      <c r="B424" s="57"/>
      <c r="C424" s="60"/>
      <c r="D424" s="60"/>
      <c r="E424" s="60"/>
      <c r="F424" s="60"/>
      <c r="G424" s="60"/>
      <c r="J424" s="99"/>
      <c r="K424" s="99"/>
      <c r="L424" s="99"/>
      <c r="M424" s="99"/>
      <c r="N424" s="43">
        <f t="shared" si="6"/>
        <v>0</v>
      </c>
    </row>
    <row r="425" spans="2:14">
      <c r="B425" s="57"/>
      <c r="C425" s="60"/>
      <c r="D425" s="60"/>
      <c r="E425" s="60"/>
      <c r="F425" s="60"/>
      <c r="G425" s="60"/>
      <c r="J425" s="99"/>
      <c r="K425" s="99"/>
      <c r="L425" s="99"/>
      <c r="M425" s="99"/>
      <c r="N425" s="43">
        <f t="shared" si="6"/>
        <v>0</v>
      </c>
    </row>
    <row r="426" spans="2:14">
      <c r="B426" s="57"/>
      <c r="C426" s="60"/>
      <c r="D426" s="60"/>
      <c r="E426" s="60"/>
      <c r="F426" s="60"/>
      <c r="G426" s="60"/>
      <c r="J426" s="99"/>
      <c r="K426" s="99"/>
      <c r="L426" s="99"/>
      <c r="M426" s="99"/>
      <c r="N426" s="43">
        <f t="shared" si="6"/>
        <v>0</v>
      </c>
    </row>
    <row r="427" spans="2:14">
      <c r="B427" s="57"/>
      <c r="C427" s="60"/>
      <c r="D427" s="60"/>
      <c r="E427" s="60"/>
      <c r="F427" s="60"/>
      <c r="G427" s="60"/>
      <c r="J427" s="99"/>
      <c r="K427" s="99"/>
      <c r="L427" s="99"/>
      <c r="M427" s="99"/>
      <c r="N427" s="43">
        <f t="shared" si="6"/>
        <v>0</v>
      </c>
    </row>
    <row r="428" spans="2:14">
      <c r="B428" s="57"/>
      <c r="C428" s="60"/>
      <c r="D428" s="60"/>
      <c r="E428" s="60"/>
      <c r="F428" s="60"/>
      <c r="G428" s="60"/>
      <c r="J428" s="99"/>
      <c r="K428" s="99"/>
      <c r="L428" s="99"/>
      <c r="M428" s="99"/>
      <c r="N428" s="43">
        <f t="shared" si="6"/>
        <v>0</v>
      </c>
    </row>
    <row r="429" spans="2:14" ht="1.5" customHeight="1">
      <c r="B429" s="57"/>
      <c r="C429" s="60"/>
      <c r="D429" s="60"/>
      <c r="E429" s="60"/>
      <c r="F429" s="60"/>
      <c r="G429" s="60"/>
      <c r="J429" s="99"/>
      <c r="K429" s="99"/>
      <c r="L429" s="99"/>
      <c r="M429" s="99"/>
      <c r="N429" s="43">
        <f t="shared" si="6"/>
        <v>0</v>
      </c>
    </row>
    <row r="430" spans="2:14" ht="1.5" customHeight="1">
      <c r="B430" s="57"/>
      <c r="C430" s="60"/>
      <c r="D430" s="60"/>
      <c r="E430" s="60"/>
      <c r="F430" s="60"/>
      <c r="G430" s="60"/>
      <c r="J430" s="99"/>
      <c r="K430" s="99"/>
      <c r="L430" s="99"/>
      <c r="M430" s="99"/>
      <c r="N430" s="43">
        <f t="shared" si="6"/>
        <v>0</v>
      </c>
    </row>
    <row r="431" spans="2:14" ht="1.5" customHeight="1">
      <c r="B431" s="57"/>
      <c r="C431" s="60"/>
      <c r="D431" s="60"/>
      <c r="E431" s="60"/>
      <c r="F431" s="60"/>
      <c r="G431" s="60"/>
      <c r="J431" s="99"/>
      <c r="K431" s="99"/>
      <c r="L431" s="99"/>
      <c r="M431" s="99"/>
      <c r="N431" s="43">
        <f t="shared" si="6"/>
        <v>0</v>
      </c>
    </row>
    <row r="432" spans="2:14" ht="1.5" customHeight="1">
      <c r="B432" s="57"/>
      <c r="C432" s="60"/>
      <c r="D432" s="60"/>
      <c r="E432" s="60"/>
      <c r="F432" s="60"/>
      <c r="G432" s="60"/>
      <c r="J432" s="99"/>
      <c r="K432" s="99"/>
      <c r="L432" s="99"/>
      <c r="M432" s="99"/>
      <c r="N432" s="43">
        <f t="shared" si="6"/>
        <v>0</v>
      </c>
    </row>
    <row r="433" spans="2:14" ht="1.5" customHeight="1">
      <c r="B433" s="57"/>
      <c r="C433" s="60"/>
      <c r="D433" s="60"/>
      <c r="E433" s="60"/>
      <c r="F433" s="60"/>
      <c r="G433" s="60"/>
      <c r="J433" s="99"/>
      <c r="K433" s="99"/>
      <c r="L433" s="99"/>
      <c r="M433" s="99"/>
      <c r="N433" s="43">
        <f t="shared" si="6"/>
        <v>0</v>
      </c>
    </row>
    <row r="434" spans="2:14" ht="1.5" customHeight="1">
      <c r="B434" s="57"/>
      <c r="C434" s="60"/>
      <c r="D434" s="60"/>
      <c r="E434" s="60"/>
      <c r="F434" s="60"/>
      <c r="G434" s="60"/>
      <c r="J434" s="99"/>
      <c r="K434" s="99"/>
      <c r="L434" s="99"/>
      <c r="M434" s="99"/>
      <c r="N434" s="43">
        <f t="shared" si="6"/>
        <v>0</v>
      </c>
    </row>
    <row r="435" spans="2:14" ht="1.5" customHeight="1">
      <c r="B435" s="57"/>
      <c r="C435" s="60"/>
      <c r="D435" s="60"/>
      <c r="E435" s="60"/>
      <c r="F435" s="60"/>
      <c r="G435" s="60"/>
      <c r="J435" s="99"/>
      <c r="K435" s="99"/>
      <c r="L435" s="99"/>
      <c r="M435" s="99"/>
      <c r="N435" s="43">
        <f t="shared" si="6"/>
        <v>0</v>
      </c>
    </row>
    <row r="436" spans="2:14" ht="1.5" customHeight="1">
      <c r="B436" s="57"/>
      <c r="C436" s="60"/>
      <c r="D436" s="60"/>
      <c r="E436" s="60"/>
      <c r="F436" s="60"/>
      <c r="G436" s="60"/>
      <c r="J436" s="99"/>
      <c r="K436" s="99"/>
      <c r="L436" s="99"/>
      <c r="M436" s="99"/>
      <c r="N436" s="43">
        <f t="shared" si="6"/>
        <v>0</v>
      </c>
    </row>
    <row r="437" spans="2:14" ht="1.5" customHeight="1">
      <c r="B437" s="57"/>
      <c r="C437" s="60"/>
      <c r="D437" s="60"/>
      <c r="E437" s="60"/>
      <c r="F437" s="60"/>
      <c r="G437" s="60"/>
      <c r="J437" s="99"/>
      <c r="K437" s="99"/>
      <c r="L437" s="99"/>
      <c r="M437" s="99"/>
      <c r="N437" s="43">
        <f t="shared" si="6"/>
        <v>0</v>
      </c>
    </row>
    <row r="438" spans="2:14" ht="1.5" customHeight="1">
      <c r="B438" s="57"/>
      <c r="C438" s="60"/>
      <c r="D438" s="60"/>
      <c r="E438" s="60"/>
      <c r="F438" s="60"/>
      <c r="G438" s="60"/>
      <c r="J438" s="99"/>
      <c r="K438" s="99"/>
      <c r="L438" s="99"/>
      <c r="M438" s="99"/>
      <c r="N438" s="43">
        <f t="shared" si="6"/>
        <v>0</v>
      </c>
    </row>
    <row r="439" spans="2:14" ht="1.5" customHeight="1">
      <c r="B439" s="57"/>
      <c r="C439" s="60"/>
      <c r="D439" s="60"/>
      <c r="E439" s="60"/>
      <c r="F439" s="60"/>
      <c r="G439" s="60"/>
      <c r="J439" s="99"/>
      <c r="K439" s="99"/>
      <c r="L439" s="99"/>
      <c r="M439" s="99"/>
      <c r="N439" s="43">
        <f t="shared" si="6"/>
        <v>0</v>
      </c>
    </row>
    <row r="440" spans="2:14" ht="1.5" customHeight="1">
      <c r="B440" s="57"/>
      <c r="C440" s="60"/>
      <c r="D440" s="60"/>
      <c r="E440" s="60"/>
      <c r="F440" s="60"/>
      <c r="G440" s="60"/>
      <c r="J440" s="99"/>
      <c r="K440" s="99"/>
      <c r="L440" s="99"/>
      <c r="M440" s="99"/>
      <c r="N440" s="43">
        <f t="shared" si="6"/>
        <v>0</v>
      </c>
    </row>
    <row r="441" spans="2:14" ht="1.5" customHeight="1">
      <c r="B441" s="57"/>
      <c r="C441" s="60"/>
      <c r="D441" s="60"/>
      <c r="E441" s="60"/>
      <c r="F441" s="60"/>
      <c r="G441" s="60"/>
      <c r="J441" s="99"/>
      <c r="K441" s="99"/>
      <c r="L441" s="99"/>
      <c r="M441" s="99"/>
      <c r="N441" s="43">
        <f t="shared" si="6"/>
        <v>0</v>
      </c>
    </row>
    <row r="442" spans="2:14" ht="1.5" customHeight="1">
      <c r="B442" s="57"/>
      <c r="C442" s="60"/>
      <c r="D442" s="60"/>
      <c r="E442" s="60"/>
      <c r="F442" s="60"/>
      <c r="G442" s="60"/>
      <c r="J442" s="99"/>
      <c r="K442" s="99"/>
      <c r="L442" s="99"/>
      <c r="M442" s="99"/>
      <c r="N442" s="43">
        <f t="shared" si="6"/>
        <v>0</v>
      </c>
    </row>
    <row r="443" spans="2:14" ht="1.5" customHeight="1">
      <c r="B443" s="57"/>
      <c r="C443" s="60"/>
      <c r="D443" s="60"/>
      <c r="E443" s="60"/>
      <c r="F443" s="60"/>
      <c r="G443" s="60"/>
      <c r="J443" s="99"/>
      <c r="K443" s="99"/>
      <c r="L443" s="99"/>
      <c r="M443" s="99"/>
      <c r="N443" s="43">
        <f t="shared" si="6"/>
        <v>0</v>
      </c>
    </row>
    <row r="444" spans="2:14" ht="1.5" customHeight="1">
      <c r="B444" s="57"/>
      <c r="C444" s="60"/>
      <c r="D444" s="60"/>
      <c r="E444" s="60"/>
      <c r="F444" s="60"/>
      <c r="G444" s="60"/>
      <c r="J444" s="99"/>
      <c r="K444" s="99"/>
      <c r="L444" s="99"/>
      <c r="M444" s="99"/>
      <c r="N444" s="43">
        <f t="shared" si="6"/>
        <v>0</v>
      </c>
    </row>
    <row r="445" spans="2:14" ht="1.5" customHeight="1">
      <c r="B445" s="57"/>
      <c r="C445" s="60"/>
      <c r="D445" s="60"/>
      <c r="E445" s="60"/>
      <c r="F445" s="60"/>
      <c r="G445" s="60"/>
      <c r="J445" s="99"/>
      <c r="K445" s="99"/>
      <c r="L445" s="99"/>
      <c r="M445" s="99"/>
      <c r="N445" s="43">
        <f t="shared" si="6"/>
        <v>0</v>
      </c>
    </row>
    <row r="446" spans="2:14" ht="1.5" customHeight="1">
      <c r="B446" s="57"/>
      <c r="C446" s="60"/>
      <c r="D446" s="60"/>
      <c r="E446" s="60"/>
      <c r="F446" s="60"/>
      <c r="G446" s="60"/>
      <c r="J446" s="99"/>
      <c r="K446" s="99"/>
      <c r="L446" s="99"/>
      <c r="M446" s="99"/>
      <c r="N446" s="43">
        <f t="shared" si="6"/>
        <v>0</v>
      </c>
    </row>
    <row r="447" spans="2:14" ht="1.5" customHeight="1">
      <c r="B447" s="57"/>
      <c r="C447" s="60"/>
      <c r="D447" s="60"/>
      <c r="E447" s="60"/>
      <c r="F447" s="60"/>
      <c r="G447" s="60"/>
      <c r="J447" s="99"/>
      <c r="K447" s="99"/>
      <c r="L447" s="99"/>
      <c r="M447" s="99"/>
      <c r="N447" s="43">
        <f t="shared" si="6"/>
        <v>0</v>
      </c>
    </row>
    <row r="448" spans="2:14" ht="1.5" customHeight="1">
      <c r="B448" s="57"/>
      <c r="C448" s="60"/>
      <c r="D448" s="60"/>
      <c r="E448" s="60"/>
      <c r="F448" s="60"/>
      <c r="G448" s="60"/>
      <c r="J448" s="99"/>
      <c r="K448" s="99"/>
      <c r="L448" s="99"/>
      <c r="M448" s="99"/>
      <c r="N448" s="43">
        <f t="shared" si="6"/>
        <v>0</v>
      </c>
    </row>
    <row r="449" spans="2:14" ht="1.5" customHeight="1">
      <c r="B449" s="57"/>
      <c r="C449" s="60"/>
      <c r="D449" s="60"/>
      <c r="E449" s="60"/>
      <c r="F449" s="60"/>
      <c r="G449" s="60"/>
      <c r="J449" s="99"/>
      <c r="K449" s="99"/>
      <c r="L449" s="99"/>
      <c r="M449" s="99"/>
      <c r="N449" s="43">
        <f t="shared" si="6"/>
        <v>0</v>
      </c>
    </row>
    <row r="450" spans="2:14" ht="1.5" customHeight="1">
      <c r="B450" s="57"/>
      <c r="C450" s="60"/>
      <c r="D450" s="60"/>
      <c r="E450" s="60"/>
      <c r="F450" s="60"/>
      <c r="G450" s="60"/>
      <c r="J450" s="99"/>
      <c r="K450" s="99"/>
      <c r="L450" s="99"/>
      <c r="M450" s="99"/>
      <c r="N450" s="43">
        <f t="shared" si="6"/>
        <v>0</v>
      </c>
    </row>
    <row r="451" spans="2:14" ht="1.5" customHeight="1">
      <c r="B451" s="57"/>
      <c r="C451" s="60"/>
      <c r="D451" s="60"/>
      <c r="E451" s="60"/>
      <c r="F451" s="60"/>
      <c r="G451" s="60"/>
      <c r="J451" s="99"/>
      <c r="K451" s="99"/>
      <c r="L451" s="99"/>
      <c r="M451" s="99"/>
      <c r="N451" s="43">
        <f t="shared" si="6"/>
        <v>0</v>
      </c>
    </row>
    <row r="452" spans="2:14" ht="1.5" customHeight="1">
      <c r="B452" s="57"/>
      <c r="C452" s="60"/>
      <c r="D452" s="60"/>
      <c r="E452" s="60"/>
      <c r="F452" s="60"/>
      <c r="G452" s="60"/>
      <c r="J452" s="99"/>
      <c r="K452" s="99"/>
      <c r="L452" s="99"/>
      <c r="M452" s="99"/>
      <c r="N452" s="43">
        <f t="shared" si="6"/>
        <v>0</v>
      </c>
    </row>
    <row r="453" spans="2:14" ht="1.5" customHeight="1">
      <c r="B453" s="57"/>
      <c r="C453" s="60"/>
      <c r="D453" s="60"/>
      <c r="E453" s="60"/>
      <c r="F453" s="60"/>
      <c r="G453" s="60"/>
      <c r="J453" s="99"/>
      <c r="K453" s="99"/>
      <c r="L453" s="99"/>
      <c r="M453" s="99"/>
      <c r="N453" s="43">
        <f t="shared" si="6"/>
        <v>0</v>
      </c>
    </row>
    <row r="454" spans="2:14" ht="1.5" customHeight="1">
      <c r="B454" s="57"/>
      <c r="C454" s="60"/>
      <c r="D454" s="60"/>
      <c r="E454" s="60"/>
      <c r="F454" s="60"/>
      <c r="G454" s="60"/>
      <c r="J454" s="99"/>
      <c r="K454" s="99"/>
      <c r="L454" s="99"/>
      <c r="M454" s="99"/>
      <c r="N454" s="43">
        <f t="shared" si="6"/>
        <v>0</v>
      </c>
    </row>
    <row r="455" spans="2:14" ht="1.5" customHeight="1">
      <c r="B455" s="57"/>
      <c r="C455" s="60"/>
      <c r="D455" s="60"/>
      <c r="E455" s="60"/>
      <c r="F455" s="60"/>
      <c r="G455" s="60"/>
      <c r="J455" s="99"/>
      <c r="K455" s="99"/>
      <c r="L455" s="99"/>
      <c r="M455" s="99"/>
      <c r="N455" s="43">
        <f t="shared" si="6"/>
        <v>0</v>
      </c>
    </row>
    <row r="456" spans="2:14" ht="1.5" customHeight="1">
      <c r="B456" s="57"/>
      <c r="C456" s="60"/>
      <c r="D456" s="60"/>
      <c r="E456" s="60"/>
      <c r="F456" s="60"/>
      <c r="G456" s="60"/>
      <c r="J456" s="99"/>
      <c r="K456" s="99"/>
      <c r="L456" s="99"/>
      <c r="M456" s="99"/>
      <c r="N456" s="43">
        <f t="shared" si="6"/>
        <v>0</v>
      </c>
    </row>
    <row r="457" spans="2:14" ht="1.5" customHeight="1">
      <c r="B457" s="57"/>
      <c r="C457" s="60"/>
      <c r="D457" s="60"/>
      <c r="E457" s="60"/>
      <c r="F457" s="60"/>
      <c r="G457" s="60"/>
      <c r="J457" s="99"/>
      <c r="K457" s="99"/>
      <c r="L457" s="99"/>
      <c r="M457" s="99"/>
      <c r="N457" s="43">
        <f t="shared" si="6"/>
        <v>0</v>
      </c>
    </row>
    <row r="458" spans="2:14" ht="1.5" customHeight="1">
      <c r="B458" s="57"/>
      <c r="C458" s="60"/>
      <c r="D458" s="60"/>
      <c r="E458" s="60"/>
      <c r="F458" s="60"/>
      <c r="G458" s="60"/>
      <c r="J458" s="99"/>
      <c r="K458" s="99"/>
      <c r="L458" s="99"/>
      <c r="M458" s="99"/>
      <c r="N458" s="43">
        <f t="shared" si="6"/>
        <v>0</v>
      </c>
    </row>
    <row r="459" spans="2:14" ht="1.5" customHeight="1">
      <c r="B459" s="57"/>
      <c r="C459" s="60"/>
      <c r="D459" s="60"/>
      <c r="E459" s="60"/>
      <c r="F459" s="60"/>
      <c r="G459" s="60"/>
      <c r="J459" s="99"/>
      <c r="K459" s="99"/>
      <c r="L459" s="99"/>
      <c r="M459" s="99"/>
      <c r="N459" s="43">
        <f t="shared" ref="N459:N522" si="7">IF($L$4=$C$10,C459,IF(D459="","",B459))</f>
        <v>0</v>
      </c>
    </row>
    <row r="460" spans="2:14" ht="1.5" customHeight="1">
      <c r="B460" s="57"/>
      <c r="C460" s="60"/>
      <c r="D460" s="60"/>
      <c r="E460" s="60"/>
      <c r="F460" s="60"/>
      <c r="G460" s="60"/>
      <c r="J460" s="99"/>
      <c r="K460" s="99"/>
      <c r="L460" s="99"/>
      <c r="M460" s="99"/>
      <c r="N460" s="43">
        <f t="shared" si="7"/>
        <v>0</v>
      </c>
    </row>
    <row r="461" spans="2:14" ht="1.5" customHeight="1">
      <c r="B461" s="57"/>
      <c r="C461" s="60"/>
      <c r="D461" s="60"/>
      <c r="E461" s="60"/>
      <c r="F461" s="60"/>
      <c r="G461" s="60"/>
      <c r="J461" s="99"/>
      <c r="K461" s="99"/>
      <c r="L461" s="99"/>
      <c r="M461" s="99"/>
      <c r="N461" s="43">
        <f t="shared" si="7"/>
        <v>0</v>
      </c>
    </row>
    <row r="462" spans="2:14" ht="1.5" customHeight="1">
      <c r="B462" s="57"/>
      <c r="C462" s="60"/>
      <c r="D462" s="60"/>
      <c r="E462" s="60"/>
      <c r="F462" s="60"/>
      <c r="G462" s="60"/>
      <c r="J462" s="99"/>
      <c r="K462" s="99"/>
      <c r="L462" s="99"/>
      <c r="M462" s="99"/>
      <c r="N462" s="43">
        <f t="shared" si="7"/>
        <v>0</v>
      </c>
    </row>
    <row r="463" spans="2:14" ht="1.5" customHeight="1">
      <c r="B463" s="57"/>
      <c r="C463" s="60"/>
      <c r="D463" s="60"/>
      <c r="E463" s="60"/>
      <c r="F463" s="60"/>
      <c r="G463" s="60"/>
      <c r="J463" s="99"/>
      <c r="K463" s="99"/>
      <c r="L463" s="99"/>
      <c r="M463" s="99"/>
      <c r="N463" s="43">
        <f t="shared" si="7"/>
        <v>0</v>
      </c>
    </row>
    <row r="464" spans="2:14" ht="1.5" customHeight="1">
      <c r="B464" s="57"/>
      <c r="C464" s="60"/>
      <c r="D464" s="60"/>
      <c r="E464" s="60"/>
      <c r="F464" s="60"/>
      <c r="G464" s="60"/>
      <c r="J464" s="99"/>
      <c r="K464" s="99"/>
      <c r="L464" s="99"/>
      <c r="M464" s="99"/>
      <c r="N464" s="43">
        <f t="shared" si="7"/>
        <v>0</v>
      </c>
    </row>
    <row r="465" spans="2:14" ht="1.5" customHeight="1">
      <c r="B465" s="57"/>
      <c r="C465" s="60"/>
      <c r="D465" s="60"/>
      <c r="E465" s="60"/>
      <c r="F465" s="60"/>
      <c r="G465" s="60"/>
      <c r="J465" s="99"/>
      <c r="K465" s="99"/>
      <c r="L465" s="99"/>
      <c r="M465" s="99"/>
      <c r="N465" s="43">
        <f t="shared" si="7"/>
        <v>0</v>
      </c>
    </row>
    <row r="466" spans="2:14" ht="1.5" customHeight="1">
      <c r="B466" s="57"/>
      <c r="C466" s="60"/>
      <c r="D466" s="60"/>
      <c r="E466" s="60"/>
      <c r="F466" s="60"/>
      <c r="G466" s="60"/>
      <c r="J466" s="99"/>
      <c r="K466" s="99"/>
      <c r="L466" s="99"/>
      <c r="M466" s="99"/>
      <c r="N466" s="43">
        <f t="shared" si="7"/>
        <v>0</v>
      </c>
    </row>
    <row r="467" spans="2:14" ht="1.5" customHeight="1">
      <c r="B467" s="57"/>
      <c r="C467" s="60"/>
      <c r="D467" s="60"/>
      <c r="E467" s="60"/>
      <c r="F467" s="60"/>
      <c r="G467" s="60"/>
      <c r="J467" s="99"/>
      <c r="K467" s="99"/>
      <c r="L467" s="99"/>
      <c r="M467" s="99"/>
      <c r="N467" s="43">
        <f t="shared" si="7"/>
        <v>0</v>
      </c>
    </row>
    <row r="468" spans="2:14" ht="1.5" customHeight="1">
      <c r="B468" s="57"/>
      <c r="C468" s="60"/>
      <c r="D468" s="60"/>
      <c r="E468" s="60"/>
      <c r="F468" s="60"/>
      <c r="G468" s="60"/>
      <c r="J468" s="99"/>
      <c r="K468" s="99"/>
      <c r="L468" s="99"/>
      <c r="M468" s="99"/>
      <c r="N468" s="43">
        <f t="shared" si="7"/>
        <v>0</v>
      </c>
    </row>
    <row r="469" spans="2:14" ht="1.5" customHeight="1">
      <c r="B469" s="57"/>
      <c r="C469" s="60"/>
      <c r="D469" s="60"/>
      <c r="E469" s="60"/>
      <c r="F469" s="60"/>
      <c r="G469" s="60"/>
      <c r="J469" s="99"/>
      <c r="K469" s="99"/>
      <c r="L469" s="99"/>
      <c r="M469" s="99"/>
      <c r="N469" s="43">
        <f t="shared" si="7"/>
        <v>0</v>
      </c>
    </row>
    <row r="470" spans="2:14" ht="1.5" customHeight="1">
      <c r="B470" s="57"/>
      <c r="C470" s="60"/>
      <c r="D470" s="60"/>
      <c r="E470" s="60"/>
      <c r="F470" s="60"/>
      <c r="G470" s="60"/>
      <c r="J470" s="99"/>
      <c r="K470" s="99"/>
      <c r="L470" s="99"/>
      <c r="M470" s="99"/>
      <c r="N470" s="43">
        <f t="shared" si="7"/>
        <v>0</v>
      </c>
    </row>
    <row r="471" spans="2:14" ht="1.5" customHeight="1">
      <c r="B471" s="57"/>
      <c r="C471" s="60"/>
      <c r="D471" s="60"/>
      <c r="E471" s="60"/>
      <c r="F471" s="60"/>
      <c r="G471" s="60"/>
      <c r="J471" s="99"/>
      <c r="K471" s="99"/>
      <c r="L471" s="99"/>
      <c r="M471" s="99"/>
      <c r="N471" s="43">
        <f t="shared" si="7"/>
        <v>0</v>
      </c>
    </row>
    <row r="472" spans="2:14" ht="1.5" customHeight="1">
      <c r="B472" s="57"/>
      <c r="C472" s="60"/>
      <c r="D472" s="60"/>
      <c r="E472" s="60"/>
      <c r="F472" s="60"/>
      <c r="G472" s="60"/>
      <c r="J472" s="99"/>
      <c r="K472" s="99"/>
      <c r="L472" s="99"/>
      <c r="M472" s="99"/>
      <c r="N472" s="43">
        <f t="shared" si="7"/>
        <v>0</v>
      </c>
    </row>
    <row r="473" spans="2:14" ht="1.5" customHeight="1">
      <c r="B473" s="57"/>
      <c r="C473" s="60"/>
      <c r="D473" s="60"/>
      <c r="E473" s="60"/>
      <c r="F473" s="60"/>
      <c r="G473" s="60"/>
      <c r="J473" s="99"/>
      <c r="K473" s="99"/>
      <c r="L473" s="99"/>
      <c r="M473" s="99"/>
      <c r="N473" s="43">
        <f t="shared" si="7"/>
        <v>0</v>
      </c>
    </row>
    <row r="474" spans="2:14" ht="1.5" customHeight="1">
      <c r="B474" s="57"/>
      <c r="C474" s="60"/>
      <c r="D474" s="60"/>
      <c r="E474" s="60"/>
      <c r="F474" s="60"/>
      <c r="G474" s="60"/>
      <c r="J474" s="99"/>
      <c r="K474" s="99"/>
      <c r="L474" s="99"/>
      <c r="M474" s="99"/>
      <c r="N474" s="43">
        <f t="shared" si="7"/>
        <v>0</v>
      </c>
    </row>
    <row r="475" spans="2:14" ht="1.5" customHeight="1">
      <c r="B475" s="57"/>
      <c r="C475" s="60"/>
      <c r="D475" s="60"/>
      <c r="E475" s="60"/>
      <c r="F475" s="60"/>
      <c r="G475" s="60"/>
      <c r="J475" s="99"/>
      <c r="K475" s="99"/>
      <c r="L475" s="99"/>
      <c r="M475" s="99"/>
      <c r="N475" s="43">
        <f t="shared" si="7"/>
        <v>0</v>
      </c>
    </row>
    <row r="476" spans="2:14" ht="1.5" customHeight="1">
      <c r="B476" s="57"/>
      <c r="C476" s="60"/>
      <c r="D476" s="60"/>
      <c r="E476" s="60"/>
      <c r="F476" s="60"/>
      <c r="G476" s="60"/>
      <c r="J476" s="99"/>
      <c r="K476" s="99"/>
      <c r="L476" s="99"/>
      <c r="M476" s="99"/>
      <c r="N476" s="43">
        <f t="shared" si="7"/>
        <v>0</v>
      </c>
    </row>
    <row r="477" spans="2:14" ht="1.5" customHeight="1">
      <c r="B477" s="57"/>
      <c r="C477" s="60"/>
      <c r="D477" s="60"/>
      <c r="E477" s="60"/>
      <c r="F477" s="60"/>
      <c r="G477" s="60"/>
      <c r="J477" s="99"/>
      <c r="K477" s="99"/>
      <c r="L477" s="99"/>
      <c r="M477" s="99"/>
      <c r="N477" s="43">
        <f t="shared" si="7"/>
        <v>0</v>
      </c>
    </row>
    <row r="478" spans="2:14" ht="1.5" customHeight="1">
      <c r="B478" s="57"/>
      <c r="C478" s="60"/>
      <c r="D478" s="60"/>
      <c r="E478" s="60"/>
      <c r="F478" s="60"/>
      <c r="G478" s="60"/>
      <c r="J478" s="99"/>
      <c r="K478" s="99"/>
      <c r="L478" s="99"/>
      <c r="M478" s="99"/>
      <c r="N478" s="43">
        <f t="shared" si="7"/>
        <v>0</v>
      </c>
    </row>
    <row r="479" spans="2:14" ht="1.5" customHeight="1">
      <c r="B479" s="57"/>
      <c r="C479" s="60"/>
      <c r="D479" s="60"/>
      <c r="E479" s="60"/>
      <c r="F479" s="60"/>
      <c r="G479" s="60"/>
      <c r="J479" s="99"/>
      <c r="K479" s="99"/>
      <c r="L479" s="99"/>
      <c r="M479" s="99"/>
      <c r="N479" s="43">
        <f t="shared" si="7"/>
        <v>0</v>
      </c>
    </row>
    <row r="480" spans="2:14" ht="1.5" customHeight="1">
      <c r="B480" s="57"/>
      <c r="C480" s="60"/>
      <c r="D480" s="60"/>
      <c r="E480" s="60"/>
      <c r="F480" s="60"/>
      <c r="G480" s="60"/>
      <c r="J480" s="99"/>
      <c r="K480" s="99"/>
      <c r="L480" s="99"/>
      <c r="M480" s="99"/>
      <c r="N480" s="43">
        <f t="shared" si="7"/>
        <v>0</v>
      </c>
    </row>
    <row r="481" spans="2:14" ht="1.5" customHeight="1">
      <c r="B481" s="57"/>
      <c r="C481" s="60"/>
      <c r="D481" s="60"/>
      <c r="E481" s="60"/>
      <c r="F481" s="60"/>
      <c r="G481" s="60"/>
      <c r="J481" s="99"/>
      <c r="K481" s="99"/>
      <c r="L481" s="99"/>
      <c r="M481" s="99"/>
      <c r="N481" s="43">
        <f t="shared" si="7"/>
        <v>0</v>
      </c>
    </row>
    <row r="482" spans="2:14" ht="1.5" customHeight="1">
      <c r="B482" s="57"/>
      <c r="C482" s="60"/>
      <c r="D482" s="60"/>
      <c r="E482" s="60"/>
      <c r="F482" s="60"/>
      <c r="G482" s="60"/>
      <c r="J482" s="99"/>
      <c r="K482" s="99"/>
      <c r="L482" s="99"/>
      <c r="M482" s="99"/>
      <c r="N482" s="43">
        <f t="shared" si="7"/>
        <v>0</v>
      </c>
    </row>
    <row r="483" spans="2:14" ht="1.5" customHeight="1">
      <c r="B483" s="57"/>
      <c r="C483" s="60"/>
      <c r="D483" s="60"/>
      <c r="E483" s="60"/>
      <c r="F483" s="60"/>
      <c r="G483" s="60"/>
      <c r="J483" s="99"/>
      <c r="K483" s="99"/>
      <c r="L483" s="99"/>
      <c r="M483" s="99"/>
      <c r="N483" s="43">
        <f t="shared" si="7"/>
        <v>0</v>
      </c>
    </row>
    <row r="484" spans="2:14" ht="1.5" customHeight="1">
      <c r="B484" s="57"/>
      <c r="C484" s="60"/>
      <c r="D484" s="60"/>
      <c r="E484" s="60"/>
      <c r="F484" s="60"/>
      <c r="G484" s="60"/>
      <c r="J484" s="99"/>
      <c r="K484" s="99"/>
      <c r="L484" s="99"/>
      <c r="M484" s="99"/>
      <c r="N484" s="43">
        <f t="shared" si="7"/>
        <v>0</v>
      </c>
    </row>
    <row r="485" spans="2:14" ht="1.5" customHeight="1">
      <c r="B485" s="57"/>
      <c r="C485" s="60"/>
      <c r="D485" s="60"/>
      <c r="E485" s="60"/>
      <c r="F485" s="60"/>
      <c r="G485" s="60"/>
      <c r="J485" s="99"/>
      <c r="K485" s="99"/>
      <c r="L485" s="99"/>
      <c r="M485" s="99"/>
      <c r="N485" s="43">
        <f t="shared" si="7"/>
        <v>0</v>
      </c>
    </row>
    <row r="486" spans="2:14" ht="1.5" customHeight="1">
      <c r="B486" s="57"/>
      <c r="C486" s="60"/>
      <c r="D486" s="60"/>
      <c r="E486" s="60"/>
      <c r="F486" s="60"/>
      <c r="G486" s="60"/>
      <c r="J486" s="99"/>
      <c r="K486" s="99"/>
      <c r="L486" s="99"/>
      <c r="M486" s="99"/>
      <c r="N486" s="43">
        <f t="shared" si="7"/>
        <v>0</v>
      </c>
    </row>
    <row r="487" spans="2:14" ht="1.5" customHeight="1">
      <c r="B487" s="57"/>
      <c r="C487" s="60"/>
      <c r="D487" s="60"/>
      <c r="E487" s="60"/>
      <c r="F487" s="60"/>
      <c r="G487" s="60"/>
      <c r="J487" s="99"/>
      <c r="K487" s="99"/>
      <c r="L487" s="99"/>
      <c r="M487" s="99"/>
      <c r="N487" s="43">
        <f t="shared" si="7"/>
        <v>0</v>
      </c>
    </row>
    <row r="488" spans="2:14" ht="1.5" customHeight="1">
      <c r="B488" s="57"/>
      <c r="C488" s="60"/>
      <c r="D488" s="60"/>
      <c r="E488" s="60"/>
      <c r="F488" s="60"/>
      <c r="G488" s="60"/>
      <c r="J488" s="99"/>
      <c r="K488" s="99"/>
      <c r="L488" s="99"/>
      <c r="M488" s="99"/>
      <c r="N488" s="43">
        <f t="shared" si="7"/>
        <v>0</v>
      </c>
    </row>
    <row r="489" spans="2:14" ht="1.5" customHeight="1">
      <c r="B489" s="57"/>
      <c r="C489" s="60"/>
      <c r="D489" s="60"/>
      <c r="E489" s="60"/>
      <c r="F489" s="60"/>
      <c r="G489" s="60"/>
      <c r="J489" s="99"/>
      <c r="K489" s="99"/>
      <c r="L489" s="99"/>
      <c r="M489" s="99"/>
      <c r="N489" s="43">
        <f t="shared" si="7"/>
        <v>0</v>
      </c>
    </row>
    <row r="490" spans="2:14" ht="1.5" customHeight="1">
      <c r="B490" s="57"/>
      <c r="C490" s="60"/>
      <c r="D490" s="60"/>
      <c r="E490" s="60"/>
      <c r="F490" s="60"/>
      <c r="G490" s="60"/>
      <c r="J490" s="99"/>
      <c r="K490" s="99"/>
      <c r="L490" s="99"/>
      <c r="M490" s="99"/>
      <c r="N490" s="43">
        <f t="shared" si="7"/>
        <v>0</v>
      </c>
    </row>
    <row r="491" spans="2:14" ht="1.5" customHeight="1">
      <c r="B491" s="57"/>
      <c r="C491" s="60"/>
      <c r="D491" s="60"/>
      <c r="E491" s="60"/>
      <c r="F491" s="60"/>
      <c r="G491" s="60"/>
      <c r="J491" s="99"/>
      <c r="K491" s="99"/>
      <c r="L491" s="99"/>
      <c r="M491" s="99"/>
      <c r="N491" s="43">
        <f t="shared" si="7"/>
        <v>0</v>
      </c>
    </row>
    <row r="492" spans="2:14" ht="1.5" customHeight="1">
      <c r="B492" s="57"/>
      <c r="C492" s="60"/>
      <c r="D492" s="60"/>
      <c r="E492" s="60"/>
      <c r="F492" s="60"/>
      <c r="G492" s="60"/>
      <c r="J492" s="99"/>
      <c r="K492" s="99"/>
      <c r="L492" s="99"/>
      <c r="M492" s="99"/>
      <c r="N492" s="43">
        <f t="shared" si="7"/>
        <v>0</v>
      </c>
    </row>
    <row r="493" spans="2:14" ht="1.5" customHeight="1">
      <c r="B493" s="57"/>
      <c r="C493" s="60"/>
      <c r="D493" s="60"/>
      <c r="E493" s="60"/>
      <c r="F493" s="60"/>
      <c r="G493" s="60"/>
      <c r="J493" s="99"/>
      <c r="K493" s="99"/>
      <c r="L493" s="99"/>
      <c r="M493" s="99"/>
      <c r="N493" s="43">
        <f t="shared" si="7"/>
        <v>0</v>
      </c>
    </row>
    <row r="494" spans="2:14" ht="1.5" customHeight="1">
      <c r="B494" s="57"/>
      <c r="C494" s="60"/>
      <c r="D494" s="60"/>
      <c r="E494" s="60"/>
      <c r="F494" s="60"/>
      <c r="G494" s="60"/>
      <c r="J494" s="99"/>
      <c r="K494" s="99"/>
      <c r="L494" s="99"/>
      <c r="M494" s="99"/>
      <c r="N494" s="43">
        <f t="shared" si="7"/>
        <v>0</v>
      </c>
    </row>
    <row r="495" spans="2:14" ht="1.5" customHeight="1">
      <c r="B495" s="57"/>
      <c r="C495" s="60"/>
      <c r="D495" s="60"/>
      <c r="E495" s="60"/>
      <c r="F495" s="60"/>
      <c r="G495" s="60"/>
      <c r="J495" s="99"/>
      <c r="K495" s="99"/>
      <c r="L495" s="99"/>
      <c r="M495" s="99"/>
      <c r="N495" s="43">
        <f t="shared" si="7"/>
        <v>0</v>
      </c>
    </row>
    <row r="496" spans="2:14" ht="1.5" customHeight="1">
      <c r="B496" s="57"/>
      <c r="C496" s="60"/>
      <c r="D496" s="60"/>
      <c r="E496" s="60"/>
      <c r="F496" s="60"/>
      <c r="G496" s="60"/>
      <c r="J496" s="99"/>
      <c r="K496" s="99"/>
      <c r="L496" s="99"/>
      <c r="M496" s="99"/>
      <c r="N496" s="43">
        <f t="shared" si="7"/>
        <v>0</v>
      </c>
    </row>
    <row r="497" spans="2:14" ht="1.5" customHeight="1">
      <c r="B497" s="57"/>
      <c r="C497" s="60"/>
      <c r="D497" s="60"/>
      <c r="E497" s="60"/>
      <c r="F497" s="60"/>
      <c r="G497" s="60"/>
      <c r="J497" s="99"/>
      <c r="K497" s="99"/>
      <c r="L497" s="99"/>
      <c r="M497" s="99"/>
      <c r="N497" s="43">
        <f t="shared" si="7"/>
        <v>0</v>
      </c>
    </row>
    <row r="498" spans="2:14" ht="1.5" customHeight="1">
      <c r="B498" s="57"/>
      <c r="C498" s="60"/>
      <c r="D498" s="60"/>
      <c r="E498" s="60"/>
      <c r="F498" s="60"/>
      <c r="G498" s="60"/>
      <c r="J498" s="99"/>
      <c r="K498" s="99"/>
      <c r="L498" s="99"/>
      <c r="M498" s="99"/>
      <c r="N498" s="43">
        <f t="shared" si="7"/>
        <v>0</v>
      </c>
    </row>
    <row r="499" spans="2:14" ht="1.5" customHeight="1">
      <c r="B499" s="57"/>
      <c r="C499" s="60"/>
      <c r="D499" s="60"/>
      <c r="E499" s="60"/>
      <c r="F499" s="60"/>
      <c r="G499" s="60"/>
      <c r="J499" s="99"/>
      <c r="K499" s="99"/>
      <c r="L499" s="99"/>
      <c r="M499" s="99"/>
      <c r="N499" s="43">
        <f t="shared" si="7"/>
        <v>0</v>
      </c>
    </row>
    <row r="500" spans="2:14" ht="1.5" customHeight="1">
      <c r="B500" s="57"/>
      <c r="C500" s="60"/>
      <c r="D500" s="60"/>
      <c r="E500" s="60"/>
      <c r="F500" s="60"/>
      <c r="G500" s="60"/>
      <c r="J500" s="99"/>
      <c r="K500" s="99"/>
      <c r="L500" s="99"/>
      <c r="M500" s="99"/>
      <c r="N500" s="43">
        <f t="shared" si="7"/>
        <v>0</v>
      </c>
    </row>
    <row r="501" spans="2:14" ht="1.5" customHeight="1">
      <c r="B501" s="57"/>
      <c r="C501" s="60"/>
      <c r="D501" s="60"/>
      <c r="E501" s="60"/>
      <c r="F501" s="60"/>
      <c r="G501" s="60"/>
      <c r="J501" s="99"/>
      <c r="K501" s="99"/>
      <c r="L501" s="99"/>
      <c r="M501" s="99"/>
      <c r="N501" s="43">
        <f t="shared" si="7"/>
        <v>0</v>
      </c>
    </row>
    <row r="502" spans="2:14" ht="1.5" customHeight="1">
      <c r="B502" s="57"/>
      <c r="C502" s="60"/>
      <c r="D502" s="60"/>
      <c r="E502" s="60"/>
      <c r="F502" s="60"/>
      <c r="G502" s="60"/>
      <c r="J502" s="99"/>
      <c r="K502" s="99"/>
      <c r="L502" s="99"/>
      <c r="M502" s="99"/>
      <c r="N502" s="43">
        <f t="shared" si="7"/>
        <v>0</v>
      </c>
    </row>
    <row r="503" spans="2:14" ht="1.5" customHeight="1">
      <c r="B503" s="57"/>
      <c r="C503" s="60"/>
      <c r="D503" s="60"/>
      <c r="E503" s="60"/>
      <c r="F503" s="60"/>
      <c r="G503" s="60"/>
      <c r="J503" s="99"/>
      <c r="K503" s="99"/>
      <c r="L503" s="99"/>
      <c r="M503" s="99"/>
      <c r="N503" s="43">
        <f t="shared" si="7"/>
        <v>0</v>
      </c>
    </row>
    <row r="504" spans="2:14" ht="1.5" customHeight="1">
      <c r="B504" s="57"/>
      <c r="C504" s="60"/>
      <c r="D504" s="60"/>
      <c r="E504" s="60"/>
      <c r="F504" s="60"/>
      <c r="G504" s="60"/>
      <c r="J504" s="99"/>
      <c r="K504" s="99"/>
      <c r="L504" s="99"/>
      <c r="M504" s="99"/>
      <c r="N504" s="43">
        <f t="shared" si="7"/>
        <v>0</v>
      </c>
    </row>
    <row r="505" spans="2:14" ht="1.5" customHeight="1">
      <c r="B505" s="57"/>
      <c r="C505" s="60"/>
      <c r="D505" s="60"/>
      <c r="E505" s="60"/>
      <c r="F505" s="60"/>
      <c r="G505" s="60"/>
      <c r="J505" s="99"/>
      <c r="K505" s="99"/>
      <c r="L505" s="99"/>
      <c r="M505" s="99"/>
      <c r="N505" s="43">
        <f t="shared" si="7"/>
        <v>0</v>
      </c>
    </row>
    <row r="506" spans="2:14" ht="1.5" customHeight="1">
      <c r="B506" s="57"/>
      <c r="C506" s="60"/>
      <c r="D506" s="60"/>
      <c r="E506" s="60"/>
      <c r="F506" s="60"/>
      <c r="G506" s="60"/>
      <c r="J506" s="99"/>
      <c r="K506" s="99"/>
      <c r="L506" s="99"/>
      <c r="M506" s="99"/>
      <c r="N506" s="43">
        <f t="shared" si="7"/>
        <v>0</v>
      </c>
    </row>
    <row r="507" spans="2:14" ht="1.5" customHeight="1">
      <c r="B507" s="57"/>
      <c r="C507" s="60"/>
      <c r="D507" s="60"/>
      <c r="E507" s="60"/>
      <c r="F507" s="60"/>
      <c r="G507" s="60"/>
      <c r="J507" s="99"/>
      <c r="K507" s="99"/>
      <c r="L507" s="99"/>
      <c r="M507" s="99"/>
      <c r="N507" s="43">
        <f t="shared" si="7"/>
        <v>0</v>
      </c>
    </row>
    <row r="508" spans="2:14" ht="1.5" customHeight="1">
      <c r="B508" s="57"/>
      <c r="C508" s="60"/>
      <c r="D508" s="60"/>
      <c r="E508" s="60"/>
      <c r="F508" s="60"/>
      <c r="G508" s="60"/>
      <c r="J508" s="99"/>
      <c r="K508" s="99"/>
      <c r="L508" s="99"/>
      <c r="M508" s="99"/>
      <c r="N508" s="43">
        <f t="shared" si="7"/>
        <v>0</v>
      </c>
    </row>
    <row r="509" spans="2:14" ht="1.5" customHeight="1">
      <c r="B509" s="57"/>
      <c r="C509" s="60"/>
      <c r="D509" s="60"/>
      <c r="E509" s="60"/>
      <c r="F509" s="60"/>
      <c r="G509" s="60"/>
      <c r="J509" s="99"/>
      <c r="K509" s="99"/>
      <c r="L509" s="99"/>
      <c r="M509" s="99"/>
      <c r="N509" s="43">
        <f t="shared" si="7"/>
        <v>0</v>
      </c>
    </row>
    <row r="510" spans="2:14" ht="1.5" customHeight="1">
      <c r="B510" s="57"/>
      <c r="C510" s="60"/>
      <c r="D510" s="60"/>
      <c r="E510" s="60"/>
      <c r="F510" s="60"/>
      <c r="G510" s="60"/>
      <c r="J510" s="99"/>
      <c r="K510" s="99"/>
      <c r="L510" s="99"/>
      <c r="M510" s="99"/>
      <c r="N510" s="43">
        <f t="shared" si="7"/>
        <v>0</v>
      </c>
    </row>
    <row r="511" spans="2:14" ht="1.5" customHeight="1">
      <c r="B511" s="57"/>
      <c r="C511" s="60"/>
      <c r="D511" s="60"/>
      <c r="E511" s="60"/>
      <c r="F511" s="60"/>
      <c r="G511" s="60"/>
      <c r="J511" s="99"/>
      <c r="K511" s="99"/>
      <c r="L511" s="99"/>
      <c r="M511" s="99"/>
      <c r="N511" s="43">
        <f t="shared" si="7"/>
        <v>0</v>
      </c>
    </row>
    <row r="512" spans="2:14" ht="1.5" customHeight="1">
      <c r="B512" s="57"/>
      <c r="C512" s="60"/>
      <c r="D512" s="60"/>
      <c r="E512" s="60"/>
      <c r="F512" s="60"/>
      <c r="G512" s="60"/>
      <c r="J512" s="99"/>
      <c r="K512" s="99"/>
      <c r="L512" s="99"/>
      <c r="M512" s="99"/>
      <c r="N512" s="43">
        <f t="shared" si="7"/>
        <v>0</v>
      </c>
    </row>
    <row r="513" spans="2:14" ht="1.5" customHeight="1">
      <c r="B513" s="57"/>
      <c r="C513" s="60"/>
      <c r="D513" s="60"/>
      <c r="E513" s="60"/>
      <c r="F513" s="60"/>
      <c r="G513" s="60"/>
      <c r="J513" s="99"/>
      <c r="K513" s="99"/>
      <c r="L513" s="99"/>
      <c r="M513" s="99"/>
      <c r="N513" s="43">
        <f t="shared" si="7"/>
        <v>0</v>
      </c>
    </row>
    <row r="514" spans="2:14" ht="1.5" customHeight="1">
      <c r="B514" s="57"/>
      <c r="C514" s="60"/>
      <c r="D514" s="60"/>
      <c r="E514" s="60"/>
      <c r="F514" s="60"/>
      <c r="G514" s="60"/>
      <c r="J514" s="99"/>
      <c r="K514" s="99"/>
      <c r="L514" s="99"/>
      <c r="M514" s="99"/>
      <c r="N514" s="43">
        <f t="shared" si="7"/>
        <v>0</v>
      </c>
    </row>
    <row r="515" spans="2:14" ht="1.5" customHeight="1">
      <c r="B515" s="57"/>
      <c r="C515" s="60"/>
      <c r="D515" s="60"/>
      <c r="E515" s="60"/>
      <c r="F515" s="60"/>
      <c r="G515" s="60"/>
      <c r="J515" s="99"/>
      <c r="K515" s="99"/>
      <c r="L515" s="99"/>
      <c r="M515" s="99"/>
      <c r="N515" s="43">
        <f t="shared" si="7"/>
        <v>0</v>
      </c>
    </row>
    <row r="516" spans="2:14" ht="1.5" customHeight="1">
      <c r="B516" s="57"/>
      <c r="C516" s="60"/>
      <c r="D516" s="60"/>
      <c r="E516" s="60"/>
      <c r="F516" s="60"/>
      <c r="G516" s="60"/>
      <c r="J516" s="99"/>
      <c r="K516" s="99"/>
      <c r="L516" s="99"/>
      <c r="M516" s="99"/>
      <c r="N516" s="43">
        <f t="shared" si="7"/>
        <v>0</v>
      </c>
    </row>
    <row r="517" spans="2:14" ht="1.5" customHeight="1">
      <c r="B517" s="57"/>
      <c r="C517" s="60"/>
      <c r="D517" s="60"/>
      <c r="E517" s="60"/>
      <c r="F517" s="60"/>
      <c r="G517" s="60"/>
      <c r="J517" s="99"/>
      <c r="K517" s="99"/>
      <c r="L517" s="99"/>
      <c r="M517" s="99"/>
      <c r="N517" s="43">
        <f t="shared" si="7"/>
        <v>0</v>
      </c>
    </row>
    <row r="518" spans="2:14" ht="1.5" customHeight="1">
      <c r="B518" s="57"/>
      <c r="C518" s="60"/>
      <c r="D518" s="60"/>
      <c r="E518" s="60"/>
      <c r="F518" s="60"/>
      <c r="G518" s="60"/>
      <c r="J518" s="99"/>
      <c r="K518" s="99"/>
      <c r="L518" s="99"/>
      <c r="M518" s="99"/>
      <c r="N518" s="43">
        <f t="shared" si="7"/>
        <v>0</v>
      </c>
    </row>
    <row r="519" spans="2:14" ht="1.5" customHeight="1">
      <c r="B519" s="57"/>
      <c r="C519" s="60"/>
      <c r="D519" s="60"/>
      <c r="E519" s="60"/>
      <c r="F519" s="60"/>
      <c r="G519" s="60"/>
      <c r="J519" s="99"/>
      <c r="K519" s="99"/>
      <c r="L519" s="99"/>
      <c r="M519" s="99"/>
      <c r="N519" s="43">
        <f t="shared" si="7"/>
        <v>0</v>
      </c>
    </row>
    <row r="520" spans="2:14" ht="1.5" customHeight="1">
      <c r="B520" s="57"/>
      <c r="C520" s="60"/>
      <c r="D520" s="60"/>
      <c r="E520" s="60"/>
      <c r="F520" s="60"/>
      <c r="G520" s="60"/>
      <c r="J520" s="99"/>
      <c r="K520" s="99"/>
      <c r="L520" s="99"/>
      <c r="M520" s="99"/>
      <c r="N520" s="43">
        <f t="shared" si="7"/>
        <v>0</v>
      </c>
    </row>
    <row r="521" spans="2:14" ht="1.5" customHeight="1">
      <c r="B521" s="57"/>
      <c r="C521" s="60"/>
      <c r="D521" s="60"/>
      <c r="E521" s="60"/>
      <c r="F521" s="60"/>
      <c r="G521" s="60"/>
      <c r="J521" s="99"/>
      <c r="K521" s="99"/>
      <c r="L521" s="99"/>
      <c r="M521" s="99"/>
      <c r="N521" s="43">
        <f t="shared" si="7"/>
        <v>0</v>
      </c>
    </row>
    <row r="522" spans="2:14" ht="1.5" customHeight="1">
      <c r="B522" s="57"/>
      <c r="C522" s="60"/>
      <c r="D522" s="60"/>
      <c r="E522" s="60"/>
      <c r="F522" s="60"/>
      <c r="G522" s="60"/>
      <c r="J522" s="99"/>
      <c r="K522" s="99"/>
      <c r="L522" s="99"/>
      <c r="M522" s="99"/>
      <c r="N522" s="43">
        <f t="shared" si="7"/>
        <v>0</v>
      </c>
    </row>
    <row r="523" spans="2:14" ht="1.5" customHeight="1">
      <c r="B523" s="57"/>
      <c r="C523" s="60"/>
      <c r="D523" s="60"/>
      <c r="E523" s="60"/>
      <c r="F523" s="60"/>
      <c r="G523" s="60"/>
      <c r="J523" s="99"/>
      <c r="K523" s="99"/>
      <c r="L523" s="99"/>
      <c r="M523" s="99"/>
      <c r="N523" s="43">
        <f t="shared" ref="N523:N586" si="8">IF($L$4=$C$10,C523,IF(D523="","",B523))</f>
        <v>0</v>
      </c>
    </row>
    <row r="524" spans="2:14" ht="1.5" customHeight="1">
      <c r="B524" s="57"/>
      <c r="C524" s="60"/>
      <c r="D524" s="60"/>
      <c r="E524" s="60"/>
      <c r="F524" s="60"/>
      <c r="G524" s="60"/>
      <c r="J524" s="99"/>
      <c r="K524" s="99"/>
      <c r="L524" s="99"/>
      <c r="M524" s="99"/>
      <c r="N524" s="43">
        <f t="shared" si="8"/>
        <v>0</v>
      </c>
    </row>
    <row r="525" spans="2:14" ht="1.5" customHeight="1">
      <c r="B525" s="57"/>
      <c r="C525" s="60"/>
      <c r="D525" s="60"/>
      <c r="E525" s="60"/>
      <c r="F525" s="60"/>
      <c r="G525" s="60"/>
      <c r="J525" s="99"/>
      <c r="K525" s="99"/>
      <c r="L525" s="99"/>
      <c r="M525" s="99"/>
      <c r="N525" s="43">
        <f t="shared" si="8"/>
        <v>0</v>
      </c>
    </row>
    <row r="526" spans="2:14" ht="1.5" customHeight="1">
      <c r="B526" s="57"/>
      <c r="C526" s="60"/>
      <c r="D526" s="60"/>
      <c r="E526" s="60"/>
      <c r="F526" s="60"/>
      <c r="G526" s="60"/>
      <c r="J526" s="99"/>
      <c r="K526" s="99"/>
      <c r="L526" s="99"/>
      <c r="M526" s="99"/>
      <c r="N526" s="43">
        <f t="shared" si="8"/>
        <v>0</v>
      </c>
    </row>
    <row r="527" spans="2:14" ht="1.5" customHeight="1">
      <c r="B527" s="57"/>
      <c r="C527" s="60"/>
      <c r="D527" s="60"/>
      <c r="E527" s="60"/>
      <c r="F527" s="60"/>
      <c r="G527" s="60"/>
      <c r="J527" s="99"/>
      <c r="K527" s="99"/>
      <c r="L527" s="99"/>
      <c r="M527" s="99"/>
      <c r="N527" s="43">
        <f t="shared" si="8"/>
        <v>0</v>
      </c>
    </row>
    <row r="528" spans="2:14" ht="1.5" customHeight="1">
      <c r="B528" s="57"/>
      <c r="C528" s="60"/>
      <c r="D528" s="60"/>
      <c r="E528" s="60"/>
      <c r="F528" s="60"/>
      <c r="G528" s="60"/>
      <c r="J528" s="99"/>
      <c r="K528" s="99"/>
      <c r="L528" s="99"/>
      <c r="M528" s="99"/>
      <c r="N528" s="43">
        <f t="shared" si="8"/>
        <v>0</v>
      </c>
    </row>
    <row r="529" spans="2:14" ht="1.5" customHeight="1">
      <c r="B529" s="57"/>
      <c r="C529" s="60"/>
      <c r="D529" s="60"/>
      <c r="E529" s="60"/>
      <c r="F529" s="60"/>
      <c r="G529" s="60"/>
      <c r="J529" s="99"/>
      <c r="K529" s="99"/>
      <c r="L529" s="99"/>
      <c r="M529" s="99"/>
      <c r="N529" s="43">
        <f t="shared" si="8"/>
        <v>0</v>
      </c>
    </row>
    <row r="530" spans="2:14" ht="1.5" customHeight="1">
      <c r="B530" s="57"/>
      <c r="C530" s="60"/>
      <c r="D530" s="60"/>
      <c r="E530" s="60"/>
      <c r="F530" s="60"/>
      <c r="G530" s="60"/>
      <c r="J530" s="99"/>
      <c r="K530" s="99"/>
      <c r="L530" s="99"/>
      <c r="M530" s="99"/>
      <c r="N530" s="43">
        <f t="shared" si="8"/>
        <v>0</v>
      </c>
    </row>
    <row r="531" spans="2:14" ht="1.5" customHeight="1">
      <c r="B531" s="57"/>
      <c r="C531" s="60"/>
      <c r="D531" s="60"/>
      <c r="E531" s="60"/>
      <c r="F531" s="60"/>
      <c r="G531" s="60"/>
      <c r="J531" s="99"/>
      <c r="K531" s="99"/>
      <c r="L531" s="99"/>
      <c r="M531" s="99"/>
      <c r="N531" s="43">
        <f t="shared" si="8"/>
        <v>0</v>
      </c>
    </row>
    <row r="532" spans="2:14" ht="1.5" customHeight="1">
      <c r="B532" s="57"/>
      <c r="C532" s="60"/>
      <c r="D532" s="60"/>
      <c r="E532" s="60"/>
      <c r="F532" s="60"/>
      <c r="G532" s="60"/>
      <c r="J532" s="99"/>
      <c r="K532" s="99"/>
      <c r="L532" s="99"/>
      <c r="M532" s="99"/>
      <c r="N532" s="43">
        <f t="shared" si="8"/>
        <v>0</v>
      </c>
    </row>
    <row r="533" spans="2:14" ht="1.5" customHeight="1">
      <c r="B533" s="57"/>
      <c r="C533" s="60"/>
      <c r="D533" s="60"/>
      <c r="E533" s="60"/>
      <c r="F533" s="60"/>
      <c r="G533" s="60"/>
      <c r="J533" s="99"/>
      <c r="K533" s="99"/>
      <c r="L533" s="99"/>
      <c r="M533" s="99"/>
      <c r="N533" s="43">
        <f t="shared" si="8"/>
        <v>0</v>
      </c>
    </row>
    <row r="534" spans="2:14" ht="1.5" customHeight="1">
      <c r="B534" s="57"/>
      <c r="C534" s="60"/>
      <c r="D534" s="60"/>
      <c r="E534" s="60"/>
      <c r="F534" s="60"/>
      <c r="G534" s="60"/>
      <c r="J534" s="99"/>
      <c r="K534" s="99"/>
      <c r="L534" s="99"/>
      <c r="M534" s="99"/>
      <c r="N534" s="43">
        <f t="shared" si="8"/>
        <v>0</v>
      </c>
    </row>
    <row r="535" spans="2:14" ht="1.5" customHeight="1">
      <c r="B535" s="57"/>
      <c r="C535" s="60"/>
      <c r="D535" s="60"/>
      <c r="E535" s="60"/>
      <c r="F535" s="60"/>
      <c r="G535" s="60"/>
      <c r="J535" s="99"/>
      <c r="K535" s="99"/>
      <c r="L535" s="99"/>
      <c r="M535" s="99"/>
      <c r="N535" s="43">
        <f t="shared" si="8"/>
        <v>0</v>
      </c>
    </row>
    <row r="536" spans="2:14" ht="1.5" customHeight="1">
      <c r="B536" s="57"/>
      <c r="C536" s="60"/>
      <c r="D536" s="60"/>
      <c r="E536" s="60"/>
      <c r="F536" s="60"/>
      <c r="G536" s="60"/>
      <c r="J536" s="99"/>
      <c r="K536" s="99"/>
      <c r="L536" s="99"/>
      <c r="M536" s="99"/>
      <c r="N536" s="43">
        <f t="shared" si="8"/>
        <v>0</v>
      </c>
    </row>
    <row r="537" spans="2:14" ht="1.5" customHeight="1">
      <c r="B537" s="57"/>
      <c r="C537" s="60"/>
      <c r="D537" s="60"/>
      <c r="E537" s="60"/>
      <c r="F537" s="60"/>
      <c r="G537" s="60"/>
      <c r="J537" s="99"/>
      <c r="K537" s="99"/>
      <c r="L537" s="99"/>
      <c r="M537" s="99"/>
      <c r="N537" s="43">
        <f t="shared" si="8"/>
        <v>0</v>
      </c>
    </row>
    <row r="538" spans="2:14" ht="1.5" customHeight="1">
      <c r="B538" s="57"/>
      <c r="C538" s="60"/>
      <c r="D538" s="60"/>
      <c r="E538" s="60"/>
      <c r="F538" s="60"/>
      <c r="G538" s="60"/>
      <c r="J538" s="99"/>
      <c r="K538" s="99"/>
      <c r="L538" s="99"/>
      <c r="M538" s="99"/>
      <c r="N538" s="43">
        <f t="shared" si="8"/>
        <v>0</v>
      </c>
    </row>
    <row r="539" spans="2:14" ht="1.5" customHeight="1">
      <c r="B539" s="57"/>
      <c r="C539" s="60"/>
      <c r="D539" s="60"/>
      <c r="E539" s="60"/>
      <c r="F539" s="60"/>
      <c r="G539" s="60"/>
      <c r="J539" s="99"/>
      <c r="K539" s="99"/>
      <c r="L539" s="99"/>
      <c r="M539" s="99"/>
      <c r="N539" s="43">
        <f t="shared" si="8"/>
        <v>0</v>
      </c>
    </row>
    <row r="540" spans="2:14" ht="1.5" customHeight="1">
      <c r="B540" s="57"/>
      <c r="C540" s="60"/>
      <c r="D540" s="60"/>
      <c r="E540" s="60"/>
      <c r="F540" s="60"/>
      <c r="G540" s="60"/>
      <c r="J540" s="99"/>
      <c r="K540" s="99"/>
      <c r="L540" s="99"/>
      <c r="M540" s="99"/>
      <c r="N540" s="43">
        <f t="shared" si="8"/>
        <v>0</v>
      </c>
    </row>
    <row r="541" spans="2:14" ht="1.5" customHeight="1">
      <c r="B541" s="57"/>
      <c r="C541" s="60"/>
      <c r="D541" s="60"/>
      <c r="E541" s="60"/>
      <c r="F541" s="60"/>
      <c r="G541" s="60"/>
      <c r="J541" s="99"/>
      <c r="K541" s="99"/>
      <c r="L541" s="99"/>
      <c r="M541" s="99"/>
      <c r="N541" s="43">
        <f t="shared" si="8"/>
        <v>0</v>
      </c>
    </row>
    <row r="542" spans="2:14" ht="1.5" customHeight="1">
      <c r="B542" s="57"/>
      <c r="C542" s="60"/>
      <c r="D542" s="60"/>
      <c r="E542" s="60"/>
      <c r="F542" s="60"/>
      <c r="G542" s="60"/>
      <c r="J542" s="99"/>
      <c r="K542" s="99"/>
      <c r="L542" s="99"/>
      <c r="M542" s="99"/>
      <c r="N542" s="43">
        <f t="shared" si="8"/>
        <v>0</v>
      </c>
    </row>
    <row r="543" spans="2:14" ht="1.5" customHeight="1">
      <c r="B543" s="57"/>
      <c r="C543" s="60"/>
      <c r="D543" s="60"/>
      <c r="E543" s="60"/>
      <c r="F543" s="60"/>
      <c r="G543" s="60"/>
      <c r="J543" s="99"/>
      <c r="K543" s="99"/>
      <c r="L543" s="99"/>
      <c r="M543" s="99"/>
      <c r="N543" s="43">
        <f t="shared" si="8"/>
        <v>0</v>
      </c>
    </row>
    <row r="544" spans="2:14" ht="1.5" customHeight="1">
      <c r="B544" s="57"/>
      <c r="C544" s="60"/>
      <c r="D544" s="60"/>
      <c r="E544" s="60"/>
      <c r="F544" s="60"/>
      <c r="G544" s="60"/>
      <c r="J544" s="99"/>
      <c r="K544" s="99"/>
      <c r="L544" s="99"/>
      <c r="M544" s="99"/>
      <c r="N544" s="43">
        <f t="shared" si="8"/>
        <v>0</v>
      </c>
    </row>
    <row r="545" spans="2:14" ht="1.5" customHeight="1">
      <c r="B545" s="57"/>
      <c r="C545" s="60"/>
      <c r="D545" s="60"/>
      <c r="E545" s="60"/>
      <c r="F545" s="60"/>
      <c r="G545" s="60"/>
      <c r="J545" s="99"/>
      <c r="K545" s="99"/>
      <c r="L545" s="99"/>
      <c r="M545" s="99"/>
      <c r="N545" s="43">
        <f t="shared" si="8"/>
        <v>0</v>
      </c>
    </row>
    <row r="546" spans="2:14" ht="1.5" customHeight="1">
      <c r="B546" s="57"/>
      <c r="C546" s="60"/>
      <c r="D546" s="60"/>
      <c r="E546" s="60"/>
      <c r="F546" s="60"/>
      <c r="G546" s="60"/>
      <c r="J546" s="99"/>
      <c r="K546" s="99"/>
      <c r="L546" s="99"/>
      <c r="M546" s="99"/>
      <c r="N546" s="43">
        <f t="shared" si="8"/>
        <v>0</v>
      </c>
    </row>
    <row r="547" spans="2:14" ht="1.5" customHeight="1">
      <c r="B547" s="57"/>
      <c r="C547" s="60"/>
      <c r="D547" s="60"/>
      <c r="E547" s="60"/>
      <c r="F547" s="60"/>
      <c r="G547" s="60"/>
      <c r="J547" s="99"/>
      <c r="K547" s="99"/>
      <c r="L547" s="99"/>
      <c r="M547" s="99"/>
      <c r="N547" s="43">
        <f t="shared" si="8"/>
        <v>0</v>
      </c>
    </row>
    <row r="548" spans="2:14" ht="1.5" customHeight="1">
      <c r="B548" s="57"/>
      <c r="C548" s="60"/>
      <c r="D548" s="60"/>
      <c r="E548" s="60"/>
      <c r="F548" s="60"/>
      <c r="G548" s="60"/>
      <c r="J548" s="99"/>
      <c r="K548" s="99"/>
      <c r="L548" s="99"/>
      <c r="M548" s="99"/>
      <c r="N548" s="43">
        <f t="shared" si="8"/>
        <v>0</v>
      </c>
    </row>
    <row r="549" spans="2:14" ht="1.5" customHeight="1">
      <c r="B549" s="57"/>
      <c r="C549" s="60"/>
      <c r="D549" s="60"/>
      <c r="E549" s="60"/>
      <c r="F549" s="60"/>
      <c r="G549" s="60"/>
      <c r="J549" s="99"/>
      <c r="K549" s="99"/>
      <c r="L549" s="99"/>
      <c r="M549" s="99"/>
      <c r="N549" s="43">
        <f t="shared" si="8"/>
        <v>0</v>
      </c>
    </row>
    <row r="550" spans="2:14" ht="1.5" customHeight="1">
      <c r="B550" s="57"/>
      <c r="C550" s="60"/>
      <c r="D550" s="60"/>
      <c r="E550" s="60"/>
      <c r="F550" s="60"/>
      <c r="G550" s="60"/>
      <c r="J550" s="99"/>
      <c r="K550" s="99"/>
      <c r="L550" s="99"/>
      <c r="M550" s="99"/>
      <c r="N550" s="43">
        <f t="shared" si="8"/>
        <v>0</v>
      </c>
    </row>
    <row r="551" spans="2:14" ht="1.5" customHeight="1">
      <c r="B551" s="57"/>
      <c r="C551" s="60"/>
      <c r="D551" s="60"/>
      <c r="E551" s="60"/>
      <c r="F551" s="60"/>
      <c r="G551" s="60"/>
      <c r="J551" s="99"/>
      <c r="K551" s="99"/>
      <c r="L551" s="99"/>
      <c r="M551" s="99"/>
      <c r="N551" s="43">
        <f t="shared" si="8"/>
        <v>0</v>
      </c>
    </row>
    <row r="552" spans="2:14" ht="1.5" customHeight="1">
      <c r="B552" s="57"/>
      <c r="C552" s="60"/>
      <c r="D552" s="60"/>
      <c r="E552" s="60"/>
      <c r="F552" s="60"/>
      <c r="G552" s="60"/>
      <c r="J552" s="99"/>
      <c r="K552" s="99"/>
      <c r="L552" s="99"/>
      <c r="M552" s="99"/>
      <c r="N552" s="43">
        <f t="shared" si="8"/>
        <v>0</v>
      </c>
    </row>
    <row r="553" spans="2:14" ht="1.5" customHeight="1">
      <c r="B553" s="57"/>
      <c r="C553" s="60"/>
      <c r="D553" s="60"/>
      <c r="E553" s="60"/>
      <c r="F553" s="60"/>
      <c r="G553" s="60"/>
      <c r="J553" s="99"/>
      <c r="K553" s="99"/>
      <c r="L553" s="99"/>
      <c r="M553" s="99"/>
      <c r="N553" s="43">
        <f t="shared" si="8"/>
        <v>0</v>
      </c>
    </row>
    <row r="554" spans="2:14" ht="1.5" customHeight="1">
      <c r="B554" s="57"/>
      <c r="C554" s="60"/>
      <c r="D554" s="60"/>
      <c r="E554" s="60"/>
      <c r="F554" s="60"/>
      <c r="G554" s="60"/>
      <c r="J554" s="99"/>
      <c r="K554" s="99"/>
      <c r="L554" s="99"/>
      <c r="M554" s="99"/>
      <c r="N554" s="43">
        <f t="shared" si="8"/>
        <v>0</v>
      </c>
    </row>
    <row r="555" spans="2:14" ht="1.5" customHeight="1">
      <c r="B555" s="57"/>
      <c r="C555" s="60"/>
      <c r="D555" s="60"/>
      <c r="E555" s="60"/>
      <c r="F555" s="60"/>
      <c r="G555" s="60"/>
      <c r="J555" s="99"/>
      <c r="K555" s="99"/>
      <c r="L555" s="99"/>
      <c r="M555" s="99"/>
      <c r="N555" s="43">
        <f t="shared" si="8"/>
        <v>0</v>
      </c>
    </row>
    <row r="556" spans="2:14" ht="1.5" customHeight="1">
      <c r="B556" s="57"/>
      <c r="C556" s="60"/>
      <c r="D556" s="60"/>
      <c r="E556" s="60"/>
      <c r="F556" s="60"/>
      <c r="G556" s="60"/>
      <c r="J556" s="99"/>
      <c r="K556" s="99"/>
      <c r="L556" s="99"/>
      <c r="M556" s="99"/>
      <c r="N556" s="43">
        <f t="shared" si="8"/>
        <v>0</v>
      </c>
    </row>
    <row r="557" spans="2:14" ht="1.5" customHeight="1">
      <c r="B557" s="57"/>
      <c r="C557" s="60"/>
      <c r="D557" s="60"/>
      <c r="E557" s="60"/>
      <c r="F557" s="60"/>
      <c r="G557" s="60"/>
      <c r="J557" s="99"/>
      <c r="K557" s="99"/>
      <c r="L557" s="99"/>
      <c r="M557" s="99"/>
      <c r="N557" s="43">
        <f t="shared" si="8"/>
        <v>0</v>
      </c>
    </row>
    <row r="558" spans="2:14" ht="1.5" customHeight="1">
      <c r="B558" s="57"/>
      <c r="C558" s="60"/>
      <c r="D558" s="60"/>
      <c r="E558" s="60"/>
      <c r="F558" s="60"/>
      <c r="G558" s="60"/>
      <c r="J558" s="99"/>
      <c r="K558" s="99"/>
      <c r="L558" s="99"/>
      <c r="M558" s="99"/>
      <c r="N558" s="43">
        <f t="shared" si="8"/>
        <v>0</v>
      </c>
    </row>
    <row r="559" spans="2:14" ht="1.5" customHeight="1">
      <c r="B559" s="57"/>
      <c r="C559" s="60"/>
      <c r="D559" s="60"/>
      <c r="E559" s="60"/>
      <c r="F559" s="60"/>
      <c r="G559" s="60"/>
      <c r="J559" s="99"/>
      <c r="K559" s="99"/>
      <c r="L559" s="99"/>
      <c r="M559" s="99"/>
      <c r="N559" s="43">
        <f t="shared" si="8"/>
        <v>0</v>
      </c>
    </row>
    <row r="560" spans="2:14" ht="1.5" customHeight="1">
      <c r="B560" s="57"/>
      <c r="C560" s="60"/>
      <c r="D560" s="60"/>
      <c r="E560" s="60"/>
      <c r="F560" s="60"/>
      <c r="G560" s="60"/>
      <c r="J560" s="99"/>
      <c r="K560" s="99"/>
      <c r="L560" s="99"/>
      <c r="M560" s="99"/>
      <c r="N560" s="43">
        <f t="shared" si="8"/>
        <v>0</v>
      </c>
    </row>
    <row r="561" spans="2:14" ht="1.5" customHeight="1">
      <c r="B561" s="57"/>
      <c r="C561" s="60"/>
      <c r="D561" s="60"/>
      <c r="E561" s="60"/>
      <c r="F561" s="60"/>
      <c r="G561" s="60"/>
      <c r="J561" s="99"/>
      <c r="K561" s="99"/>
      <c r="L561" s="99"/>
      <c r="M561" s="99"/>
      <c r="N561" s="43">
        <f t="shared" si="8"/>
        <v>0</v>
      </c>
    </row>
    <row r="562" spans="2:14" ht="1.5" customHeight="1">
      <c r="B562" s="57"/>
      <c r="C562" s="60"/>
      <c r="D562" s="60"/>
      <c r="E562" s="60"/>
      <c r="F562" s="60"/>
      <c r="G562" s="60"/>
      <c r="J562" s="99"/>
      <c r="K562" s="99"/>
      <c r="L562" s="99"/>
      <c r="M562" s="99"/>
      <c r="N562" s="43">
        <f t="shared" si="8"/>
        <v>0</v>
      </c>
    </row>
    <row r="563" spans="2:14" ht="1.5" customHeight="1">
      <c r="B563" s="57"/>
      <c r="C563" s="60"/>
      <c r="D563" s="60"/>
      <c r="E563" s="60"/>
      <c r="F563" s="60"/>
      <c r="G563" s="60"/>
      <c r="J563" s="99"/>
      <c r="K563" s="99"/>
      <c r="L563" s="99"/>
      <c r="M563" s="99"/>
      <c r="N563" s="43">
        <f t="shared" si="8"/>
        <v>0</v>
      </c>
    </row>
    <row r="564" spans="2:14" ht="1.5" customHeight="1">
      <c r="B564" s="57"/>
      <c r="C564" s="60"/>
      <c r="D564" s="60"/>
      <c r="E564" s="60"/>
      <c r="F564" s="60"/>
      <c r="G564" s="60"/>
      <c r="J564" s="99"/>
      <c r="K564" s="99"/>
      <c r="L564" s="99"/>
      <c r="M564" s="99"/>
      <c r="N564" s="43">
        <f t="shared" si="8"/>
        <v>0</v>
      </c>
    </row>
    <row r="565" spans="2:14" ht="1.5" customHeight="1">
      <c r="B565" s="57"/>
      <c r="C565" s="60"/>
      <c r="D565" s="60"/>
      <c r="E565" s="60"/>
      <c r="F565" s="60"/>
      <c r="G565" s="60"/>
      <c r="J565" s="99"/>
      <c r="K565" s="99"/>
      <c r="L565" s="99"/>
      <c r="M565" s="99"/>
      <c r="N565" s="43">
        <f t="shared" si="8"/>
        <v>0</v>
      </c>
    </row>
    <row r="566" spans="2:14" ht="1.5" customHeight="1">
      <c r="B566" s="57"/>
      <c r="C566" s="60"/>
      <c r="D566" s="60"/>
      <c r="E566" s="60"/>
      <c r="F566" s="60"/>
      <c r="G566" s="60"/>
      <c r="J566" s="99"/>
      <c r="K566" s="99"/>
      <c r="L566" s="99"/>
      <c r="M566" s="99"/>
      <c r="N566" s="43">
        <f t="shared" si="8"/>
        <v>0</v>
      </c>
    </row>
    <row r="567" spans="2:14" ht="1.5" customHeight="1">
      <c r="B567" s="57"/>
      <c r="C567" s="60"/>
      <c r="D567" s="60"/>
      <c r="E567" s="60"/>
      <c r="F567" s="60"/>
      <c r="G567" s="60"/>
      <c r="J567" s="99"/>
      <c r="K567" s="99"/>
      <c r="L567" s="99"/>
      <c r="M567" s="99"/>
      <c r="N567" s="43">
        <f t="shared" si="8"/>
        <v>0</v>
      </c>
    </row>
    <row r="568" spans="2:14" ht="1.5" customHeight="1">
      <c r="B568" s="57"/>
      <c r="C568" s="60"/>
      <c r="D568" s="60"/>
      <c r="E568" s="60"/>
      <c r="F568" s="60"/>
      <c r="G568" s="60"/>
      <c r="J568" s="99"/>
      <c r="K568" s="99"/>
      <c r="L568" s="99"/>
      <c r="M568" s="99"/>
      <c r="N568" s="43">
        <f t="shared" si="8"/>
        <v>0</v>
      </c>
    </row>
    <row r="569" spans="2:14" ht="1.5" customHeight="1">
      <c r="B569" s="57"/>
      <c r="C569" s="60"/>
      <c r="D569" s="60"/>
      <c r="E569" s="60"/>
      <c r="F569" s="60"/>
      <c r="G569" s="60"/>
      <c r="J569" s="99"/>
      <c r="K569" s="99"/>
      <c r="L569" s="99"/>
      <c r="M569" s="99"/>
      <c r="N569" s="43">
        <f t="shared" si="8"/>
        <v>0</v>
      </c>
    </row>
    <row r="570" spans="2:14" ht="1.5" customHeight="1">
      <c r="B570" s="57"/>
      <c r="C570" s="60"/>
      <c r="D570" s="60"/>
      <c r="E570" s="60"/>
      <c r="F570" s="60"/>
      <c r="G570" s="60"/>
      <c r="J570" s="99"/>
      <c r="K570" s="99"/>
      <c r="L570" s="99"/>
      <c r="M570" s="99"/>
      <c r="N570" s="43">
        <f t="shared" si="8"/>
        <v>0</v>
      </c>
    </row>
    <row r="571" spans="2:14" ht="1.5" customHeight="1">
      <c r="B571" s="57"/>
      <c r="C571" s="60"/>
      <c r="D571" s="60"/>
      <c r="E571" s="60"/>
      <c r="F571" s="60"/>
      <c r="G571" s="60"/>
      <c r="J571" s="99"/>
      <c r="K571" s="99"/>
      <c r="L571" s="99"/>
      <c r="M571" s="99"/>
      <c r="N571" s="43">
        <f t="shared" si="8"/>
        <v>0</v>
      </c>
    </row>
    <row r="572" spans="2:14" ht="1.5" customHeight="1">
      <c r="B572" s="57"/>
      <c r="C572" s="60"/>
      <c r="D572" s="60"/>
      <c r="E572" s="60"/>
      <c r="F572" s="60"/>
      <c r="G572" s="60"/>
      <c r="J572" s="99"/>
      <c r="K572" s="99"/>
      <c r="L572" s="99"/>
      <c r="M572" s="99"/>
      <c r="N572" s="43">
        <f t="shared" si="8"/>
        <v>0</v>
      </c>
    </row>
    <row r="573" spans="2:14" ht="1.5" customHeight="1">
      <c r="B573" s="57"/>
      <c r="C573" s="60"/>
      <c r="D573" s="60"/>
      <c r="E573" s="60"/>
      <c r="F573" s="60"/>
      <c r="G573" s="60"/>
      <c r="J573" s="99"/>
      <c r="K573" s="99"/>
      <c r="L573" s="99"/>
      <c r="M573" s="99"/>
      <c r="N573" s="43">
        <f t="shared" si="8"/>
        <v>0</v>
      </c>
    </row>
    <row r="574" spans="2:14" ht="1.5" customHeight="1">
      <c r="B574" s="57"/>
      <c r="C574" s="60"/>
      <c r="D574" s="60"/>
      <c r="E574" s="60"/>
      <c r="F574" s="60"/>
      <c r="G574" s="60"/>
      <c r="J574" s="99"/>
      <c r="K574" s="99"/>
      <c r="L574" s="99"/>
      <c r="M574" s="99"/>
      <c r="N574" s="43">
        <f t="shared" si="8"/>
        <v>0</v>
      </c>
    </row>
    <row r="575" spans="2:14" ht="1.5" customHeight="1">
      <c r="B575" s="57"/>
      <c r="C575" s="60"/>
      <c r="D575" s="60"/>
      <c r="E575" s="60"/>
      <c r="F575" s="60"/>
      <c r="G575" s="60"/>
      <c r="J575" s="99"/>
      <c r="K575" s="99"/>
      <c r="L575" s="99"/>
      <c r="M575" s="99"/>
      <c r="N575" s="43">
        <f t="shared" si="8"/>
        <v>0</v>
      </c>
    </row>
    <row r="576" spans="2:14" ht="1.5" customHeight="1">
      <c r="B576" s="57"/>
      <c r="C576" s="60"/>
      <c r="D576" s="60"/>
      <c r="E576" s="60"/>
      <c r="F576" s="60"/>
      <c r="G576" s="60"/>
      <c r="J576" s="99"/>
      <c r="K576" s="99"/>
      <c r="L576" s="99"/>
      <c r="M576" s="99"/>
      <c r="N576" s="43">
        <f t="shared" si="8"/>
        <v>0</v>
      </c>
    </row>
    <row r="577" spans="2:14" ht="1.5" customHeight="1">
      <c r="B577" s="57"/>
      <c r="C577" s="60"/>
      <c r="D577" s="60"/>
      <c r="E577" s="60"/>
      <c r="F577" s="60"/>
      <c r="G577" s="60"/>
      <c r="J577" s="99"/>
      <c r="K577" s="99"/>
      <c r="L577" s="99"/>
      <c r="M577" s="99"/>
      <c r="N577" s="43">
        <f t="shared" si="8"/>
        <v>0</v>
      </c>
    </row>
    <row r="578" spans="2:14" ht="1.5" customHeight="1">
      <c r="B578" s="57"/>
      <c r="C578" s="60"/>
      <c r="D578" s="60"/>
      <c r="E578" s="60"/>
      <c r="F578" s="60"/>
      <c r="G578" s="60"/>
      <c r="J578" s="99"/>
      <c r="K578" s="99"/>
      <c r="L578" s="99"/>
      <c r="M578" s="99"/>
      <c r="N578" s="43">
        <f t="shared" si="8"/>
        <v>0</v>
      </c>
    </row>
    <row r="579" spans="2:14" ht="1.5" customHeight="1">
      <c r="B579" s="57"/>
      <c r="C579" s="60"/>
      <c r="D579" s="60"/>
      <c r="E579" s="60"/>
      <c r="F579" s="60"/>
      <c r="G579" s="60"/>
      <c r="J579" s="99"/>
      <c r="K579" s="99"/>
      <c r="L579" s="99"/>
      <c r="M579" s="99"/>
      <c r="N579" s="43">
        <f t="shared" si="8"/>
        <v>0</v>
      </c>
    </row>
    <row r="580" spans="2:14" ht="1.5" customHeight="1">
      <c r="B580" s="57"/>
      <c r="C580" s="60"/>
      <c r="D580" s="60"/>
      <c r="E580" s="60"/>
      <c r="F580" s="60"/>
      <c r="G580" s="60"/>
      <c r="J580" s="99"/>
      <c r="K580" s="99"/>
      <c r="L580" s="99"/>
      <c r="M580" s="99"/>
      <c r="N580" s="43">
        <f t="shared" si="8"/>
        <v>0</v>
      </c>
    </row>
    <row r="581" spans="2:14" ht="1.5" customHeight="1">
      <c r="B581" s="57"/>
      <c r="C581" s="60"/>
      <c r="D581" s="60"/>
      <c r="E581" s="60"/>
      <c r="F581" s="60"/>
      <c r="G581" s="60"/>
      <c r="J581" s="99"/>
      <c r="K581" s="99"/>
      <c r="L581" s="99"/>
      <c r="M581" s="99"/>
      <c r="N581" s="43">
        <f t="shared" si="8"/>
        <v>0</v>
      </c>
    </row>
    <row r="582" spans="2:14" ht="1.5" customHeight="1">
      <c r="B582" s="57"/>
      <c r="C582" s="60"/>
      <c r="D582" s="60"/>
      <c r="E582" s="60"/>
      <c r="F582" s="60"/>
      <c r="G582" s="60"/>
      <c r="J582" s="99"/>
      <c r="K582" s="99"/>
      <c r="L582" s="99"/>
      <c r="M582" s="99"/>
      <c r="N582" s="43">
        <f t="shared" si="8"/>
        <v>0</v>
      </c>
    </row>
    <row r="583" spans="2:14" ht="1.5" customHeight="1">
      <c r="B583" s="57"/>
      <c r="C583" s="60"/>
      <c r="D583" s="60"/>
      <c r="E583" s="60"/>
      <c r="F583" s="60"/>
      <c r="G583" s="60"/>
      <c r="J583" s="99"/>
      <c r="K583" s="99"/>
      <c r="L583" s="99"/>
      <c r="M583" s="99"/>
      <c r="N583" s="43">
        <f t="shared" si="8"/>
        <v>0</v>
      </c>
    </row>
    <row r="584" spans="2:14" ht="1.5" customHeight="1">
      <c r="B584" s="57"/>
      <c r="C584" s="60"/>
      <c r="D584" s="60"/>
      <c r="E584" s="60"/>
      <c r="F584" s="60"/>
      <c r="G584" s="60"/>
      <c r="J584" s="99"/>
      <c r="K584" s="99"/>
      <c r="L584" s="99"/>
      <c r="M584" s="99"/>
      <c r="N584" s="43">
        <f t="shared" si="8"/>
        <v>0</v>
      </c>
    </row>
    <row r="585" spans="2:14" ht="1.5" customHeight="1">
      <c r="B585" s="57"/>
      <c r="C585" s="60"/>
      <c r="D585" s="60"/>
      <c r="E585" s="60"/>
      <c r="F585" s="60"/>
      <c r="G585" s="60"/>
      <c r="J585" s="99"/>
      <c r="K585" s="99"/>
      <c r="L585" s="99"/>
      <c r="M585" s="99"/>
      <c r="N585" s="43">
        <f t="shared" si="8"/>
        <v>0</v>
      </c>
    </row>
    <row r="586" spans="2:14" ht="1.5" customHeight="1">
      <c r="B586" s="57"/>
      <c r="C586" s="60"/>
      <c r="D586" s="60"/>
      <c r="E586" s="60"/>
      <c r="F586" s="60"/>
      <c r="G586" s="60"/>
      <c r="J586" s="99"/>
      <c r="K586" s="99"/>
      <c r="L586" s="99"/>
      <c r="M586" s="99"/>
      <c r="N586" s="43">
        <f t="shared" si="8"/>
        <v>0</v>
      </c>
    </row>
    <row r="587" spans="2:14" ht="1.5" customHeight="1">
      <c r="B587" s="57"/>
      <c r="C587" s="60"/>
      <c r="D587" s="60"/>
      <c r="E587" s="60"/>
      <c r="F587" s="60"/>
      <c r="G587" s="60"/>
      <c r="J587" s="99"/>
      <c r="K587" s="99"/>
      <c r="L587" s="99"/>
      <c r="M587" s="99"/>
      <c r="N587" s="43">
        <f t="shared" ref="N587:N650" si="9">IF($L$4=$C$10,C587,IF(D587="","",B587))</f>
        <v>0</v>
      </c>
    </row>
    <row r="588" spans="2:14" ht="1.5" customHeight="1">
      <c r="B588" s="57"/>
      <c r="C588" s="60"/>
      <c r="D588" s="60"/>
      <c r="E588" s="60"/>
      <c r="F588" s="60"/>
      <c r="G588" s="60"/>
      <c r="J588" s="99"/>
      <c r="K588" s="99"/>
      <c r="L588" s="99"/>
      <c r="M588" s="99"/>
      <c r="N588" s="43">
        <f t="shared" si="9"/>
        <v>0</v>
      </c>
    </row>
    <row r="589" spans="2:14" ht="1.5" customHeight="1">
      <c r="B589" s="57"/>
      <c r="C589" s="60"/>
      <c r="D589" s="60"/>
      <c r="E589" s="60"/>
      <c r="F589" s="60"/>
      <c r="G589" s="60"/>
      <c r="J589" s="99"/>
      <c r="K589" s="99"/>
      <c r="L589" s="99"/>
      <c r="M589" s="99"/>
      <c r="N589" s="43">
        <f t="shared" si="9"/>
        <v>0</v>
      </c>
    </row>
    <row r="590" spans="2:14" ht="1.5" customHeight="1">
      <c r="B590" s="57"/>
      <c r="C590" s="60"/>
      <c r="D590" s="60"/>
      <c r="E590" s="60"/>
      <c r="F590" s="60"/>
      <c r="G590" s="60"/>
      <c r="J590" s="99"/>
      <c r="K590" s="99"/>
      <c r="L590" s="99"/>
      <c r="M590" s="99"/>
      <c r="N590" s="43">
        <f t="shared" si="9"/>
        <v>0</v>
      </c>
    </row>
    <row r="591" spans="2:14" ht="1.5" customHeight="1">
      <c r="B591" s="57"/>
      <c r="C591" s="60"/>
      <c r="D591" s="60"/>
      <c r="E591" s="60"/>
      <c r="F591" s="60"/>
      <c r="G591" s="60"/>
      <c r="J591" s="99"/>
      <c r="K591" s="99"/>
      <c r="L591" s="99"/>
      <c r="M591" s="99"/>
      <c r="N591" s="43">
        <f t="shared" si="9"/>
        <v>0</v>
      </c>
    </row>
    <row r="592" spans="2:14" ht="1.5" customHeight="1">
      <c r="B592" s="57"/>
      <c r="C592" s="60"/>
      <c r="D592" s="60"/>
      <c r="E592" s="60"/>
      <c r="F592" s="60"/>
      <c r="G592" s="60"/>
      <c r="J592" s="99"/>
      <c r="K592" s="99"/>
      <c r="L592" s="99"/>
      <c r="M592" s="99"/>
      <c r="N592" s="43">
        <f t="shared" si="9"/>
        <v>0</v>
      </c>
    </row>
    <row r="593" spans="2:14" ht="1.5" customHeight="1">
      <c r="B593" s="57"/>
      <c r="C593" s="60"/>
      <c r="D593" s="60"/>
      <c r="E593" s="60"/>
      <c r="F593" s="60"/>
      <c r="G593" s="60"/>
      <c r="J593" s="99"/>
      <c r="K593" s="99"/>
      <c r="L593" s="99"/>
      <c r="M593" s="99"/>
      <c r="N593" s="43">
        <f t="shared" si="9"/>
        <v>0</v>
      </c>
    </row>
    <row r="594" spans="2:14" ht="1.5" customHeight="1">
      <c r="B594" s="57"/>
      <c r="C594" s="60"/>
      <c r="D594" s="60"/>
      <c r="E594" s="60"/>
      <c r="F594" s="60"/>
      <c r="G594" s="60"/>
      <c r="J594" s="99"/>
      <c r="K594" s="99"/>
      <c r="L594" s="99"/>
      <c r="M594" s="99"/>
      <c r="N594" s="43">
        <f t="shared" si="9"/>
        <v>0</v>
      </c>
    </row>
    <row r="595" spans="2:14" ht="1.5" customHeight="1">
      <c r="B595" s="57"/>
      <c r="C595" s="60"/>
      <c r="D595" s="60"/>
      <c r="E595" s="60"/>
      <c r="F595" s="60"/>
      <c r="G595" s="60"/>
      <c r="J595" s="99"/>
      <c r="K595" s="99"/>
      <c r="L595" s="99"/>
      <c r="M595" s="99"/>
      <c r="N595" s="43">
        <f t="shared" si="9"/>
        <v>0</v>
      </c>
    </row>
    <row r="596" spans="2:14" ht="1.5" customHeight="1">
      <c r="B596" s="57"/>
      <c r="C596" s="60"/>
      <c r="D596" s="60"/>
      <c r="E596" s="60"/>
      <c r="F596" s="60"/>
      <c r="G596" s="60"/>
      <c r="J596" s="99"/>
      <c r="K596" s="99"/>
      <c r="L596" s="99"/>
      <c r="M596" s="99"/>
      <c r="N596" s="43">
        <f t="shared" si="9"/>
        <v>0</v>
      </c>
    </row>
    <row r="597" spans="2:14" ht="1.5" customHeight="1">
      <c r="B597" s="57"/>
      <c r="C597" s="60"/>
      <c r="D597" s="60"/>
      <c r="E597" s="60"/>
      <c r="F597" s="60"/>
      <c r="G597" s="60"/>
      <c r="J597" s="99"/>
      <c r="K597" s="99"/>
      <c r="L597" s="99"/>
      <c r="M597" s="99"/>
      <c r="N597" s="43">
        <f t="shared" si="9"/>
        <v>0</v>
      </c>
    </row>
    <row r="598" spans="2:14" ht="1.5" customHeight="1">
      <c r="B598" s="57"/>
      <c r="C598" s="60"/>
      <c r="D598" s="60"/>
      <c r="E598" s="60"/>
      <c r="F598" s="60"/>
      <c r="G598" s="60"/>
      <c r="J598" s="99"/>
      <c r="K598" s="99"/>
      <c r="L598" s="99"/>
      <c r="M598" s="99"/>
      <c r="N598" s="43">
        <f t="shared" si="9"/>
        <v>0</v>
      </c>
    </row>
    <row r="599" spans="2:14" ht="1.5" customHeight="1">
      <c r="B599" s="57"/>
      <c r="C599" s="60"/>
      <c r="D599" s="60"/>
      <c r="E599" s="60"/>
      <c r="F599" s="60"/>
      <c r="G599" s="60"/>
      <c r="J599" s="99"/>
      <c r="K599" s="99"/>
      <c r="L599" s="99"/>
      <c r="M599" s="99"/>
      <c r="N599" s="43">
        <f t="shared" si="9"/>
        <v>0</v>
      </c>
    </row>
    <row r="600" spans="2:14" ht="1.5" customHeight="1">
      <c r="B600" s="57"/>
      <c r="C600" s="60"/>
      <c r="D600" s="60"/>
      <c r="E600" s="60"/>
      <c r="F600" s="60"/>
      <c r="G600" s="60"/>
      <c r="J600" s="99"/>
      <c r="K600" s="99"/>
      <c r="L600" s="99"/>
      <c r="M600" s="99"/>
      <c r="N600" s="43">
        <f t="shared" si="9"/>
        <v>0</v>
      </c>
    </row>
    <row r="601" spans="2:14" ht="1.5" customHeight="1">
      <c r="B601" s="57"/>
      <c r="C601" s="60"/>
      <c r="D601" s="60"/>
      <c r="E601" s="60"/>
      <c r="F601" s="60"/>
      <c r="G601" s="60"/>
      <c r="J601" s="99"/>
      <c r="K601" s="99"/>
      <c r="L601" s="99"/>
      <c r="M601" s="99"/>
      <c r="N601" s="43">
        <f t="shared" si="9"/>
        <v>0</v>
      </c>
    </row>
    <row r="602" spans="2:14" ht="1.5" customHeight="1">
      <c r="B602" s="57"/>
      <c r="C602" s="60"/>
      <c r="D602" s="60"/>
      <c r="E602" s="60"/>
      <c r="F602" s="60"/>
      <c r="G602" s="60"/>
      <c r="J602" s="99"/>
      <c r="K602" s="99"/>
      <c r="L602" s="99"/>
      <c r="M602" s="99"/>
      <c r="N602" s="43">
        <f t="shared" si="9"/>
        <v>0</v>
      </c>
    </row>
    <row r="603" spans="2:14" ht="1.5" customHeight="1">
      <c r="B603" s="57"/>
      <c r="C603" s="60"/>
      <c r="D603" s="60"/>
      <c r="E603" s="60"/>
      <c r="F603" s="60"/>
      <c r="G603" s="60"/>
      <c r="J603" s="99"/>
      <c r="K603" s="99"/>
      <c r="L603" s="99"/>
      <c r="M603" s="99"/>
      <c r="N603" s="43">
        <f t="shared" si="9"/>
        <v>0</v>
      </c>
    </row>
    <row r="604" spans="2:14" ht="1.5" customHeight="1">
      <c r="B604" s="57"/>
      <c r="C604" s="60"/>
      <c r="D604" s="60"/>
      <c r="E604" s="60"/>
      <c r="F604" s="60"/>
      <c r="G604" s="60"/>
      <c r="J604" s="99"/>
      <c r="K604" s="99"/>
      <c r="L604" s="99"/>
      <c r="M604" s="99"/>
      <c r="N604" s="43">
        <f t="shared" si="9"/>
        <v>0</v>
      </c>
    </row>
    <row r="605" spans="2:14" ht="1.5" customHeight="1">
      <c r="B605" s="57"/>
      <c r="C605" s="60"/>
      <c r="D605" s="60"/>
      <c r="E605" s="60"/>
      <c r="F605" s="60"/>
      <c r="G605" s="60"/>
      <c r="J605" s="99"/>
      <c r="K605" s="99"/>
      <c r="L605" s="99"/>
      <c r="M605" s="99"/>
      <c r="N605" s="43">
        <f t="shared" si="9"/>
        <v>0</v>
      </c>
    </row>
    <row r="606" spans="2:14" ht="1.5" customHeight="1">
      <c r="B606" s="57"/>
      <c r="C606" s="60"/>
      <c r="D606" s="60"/>
      <c r="E606" s="60"/>
      <c r="F606" s="60"/>
      <c r="G606" s="60"/>
      <c r="J606" s="99"/>
      <c r="K606" s="99"/>
      <c r="L606" s="99"/>
      <c r="M606" s="99"/>
      <c r="N606" s="43">
        <f t="shared" si="9"/>
        <v>0</v>
      </c>
    </row>
    <row r="607" spans="2:14" ht="1.5" customHeight="1">
      <c r="B607" s="57"/>
      <c r="C607" s="60"/>
      <c r="D607" s="60"/>
      <c r="E607" s="60"/>
      <c r="F607" s="60"/>
      <c r="G607" s="60"/>
      <c r="J607" s="99"/>
      <c r="K607" s="99"/>
      <c r="L607" s="99"/>
      <c r="M607" s="99"/>
      <c r="N607" s="43">
        <f t="shared" si="9"/>
        <v>0</v>
      </c>
    </row>
    <row r="608" spans="2:14" ht="1.5" customHeight="1">
      <c r="B608" s="57"/>
      <c r="C608" s="60"/>
      <c r="D608" s="60"/>
      <c r="E608" s="60"/>
      <c r="F608" s="60"/>
      <c r="G608" s="60"/>
      <c r="J608" s="99"/>
      <c r="K608" s="99"/>
      <c r="L608" s="99"/>
      <c r="M608" s="99"/>
      <c r="N608" s="43">
        <f t="shared" si="9"/>
        <v>0</v>
      </c>
    </row>
    <row r="609" spans="2:14" ht="1.5" customHeight="1">
      <c r="B609" s="57"/>
      <c r="C609" s="60"/>
      <c r="D609" s="60"/>
      <c r="E609" s="60"/>
      <c r="F609" s="60"/>
      <c r="G609" s="60"/>
      <c r="J609" s="99"/>
      <c r="K609" s="99"/>
      <c r="L609" s="99"/>
      <c r="M609" s="99"/>
      <c r="N609" s="43">
        <f t="shared" si="9"/>
        <v>0</v>
      </c>
    </row>
    <row r="610" spans="2:14" ht="1.5" customHeight="1">
      <c r="B610" s="57"/>
      <c r="C610" s="60"/>
      <c r="D610" s="60"/>
      <c r="E610" s="60"/>
      <c r="F610" s="60"/>
      <c r="G610" s="60"/>
      <c r="J610" s="99"/>
      <c r="K610" s="99"/>
      <c r="L610" s="99"/>
      <c r="M610" s="99"/>
      <c r="N610" s="43">
        <f t="shared" si="9"/>
        <v>0</v>
      </c>
    </row>
    <row r="611" spans="2:14" ht="1.5" customHeight="1">
      <c r="B611" s="57"/>
      <c r="C611" s="60"/>
      <c r="D611" s="60"/>
      <c r="E611" s="60"/>
      <c r="F611" s="60"/>
      <c r="G611" s="60"/>
      <c r="J611" s="99"/>
      <c r="K611" s="99"/>
      <c r="L611" s="99"/>
      <c r="M611" s="99"/>
      <c r="N611" s="43">
        <f t="shared" si="9"/>
        <v>0</v>
      </c>
    </row>
    <row r="612" spans="2:14" ht="1.5" customHeight="1">
      <c r="B612" s="57"/>
      <c r="C612" s="60"/>
      <c r="D612" s="60"/>
      <c r="E612" s="60"/>
      <c r="F612" s="60"/>
      <c r="G612" s="60"/>
      <c r="J612" s="99"/>
      <c r="K612" s="99"/>
      <c r="L612" s="99"/>
      <c r="M612" s="99"/>
      <c r="N612" s="43">
        <f t="shared" si="9"/>
        <v>0</v>
      </c>
    </row>
    <row r="613" spans="2:14" ht="1.5" customHeight="1">
      <c r="B613" s="57"/>
      <c r="C613" s="60"/>
      <c r="D613" s="60"/>
      <c r="E613" s="60"/>
      <c r="F613" s="60"/>
      <c r="G613" s="60"/>
      <c r="J613" s="99"/>
      <c r="K613" s="99"/>
      <c r="L613" s="99"/>
      <c r="M613" s="99"/>
      <c r="N613" s="43">
        <f t="shared" si="9"/>
        <v>0</v>
      </c>
    </row>
    <row r="614" spans="2:14" ht="1.5" customHeight="1">
      <c r="B614" s="57"/>
      <c r="C614" s="60"/>
      <c r="D614" s="60"/>
      <c r="E614" s="60"/>
      <c r="F614" s="60"/>
      <c r="G614" s="60"/>
      <c r="J614" s="99"/>
      <c r="K614" s="99"/>
      <c r="L614" s="99"/>
      <c r="M614" s="99"/>
      <c r="N614" s="43">
        <f t="shared" si="9"/>
        <v>0</v>
      </c>
    </row>
    <row r="615" spans="2:14" ht="1.5" customHeight="1">
      <c r="B615" s="57"/>
      <c r="C615" s="60"/>
      <c r="D615" s="60"/>
      <c r="E615" s="60"/>
      <c r="F615" s="60"/>
      <c r="G615" s="60"/>
      <c r="J615" s="99"/>
      <c r="K615" s="99"/>
      <c r="L615" s="99"/>
      <c r="M615" s="99"/>
      <c r="N615" s="43">
        <f t="shared" si="9"/>
        <v>0</v>
      </c>
    </row>
    <row r="616" spans="2:14" ht="1.5" customHeight="1">
      <c r="B616" s="57"/>
      <c r="C616" s="60"/>
      <c r="D616" s="60"/>
      <c r="E616" s="60"/>
      <c r="F616" s="60"/>
      <c r="G616" s="60"/>
      <c r="J616" s="99"/>
      <c r="K616" s="99"/>
      <c r="L616" s="99"/>
      <c r="M616" s="99"/>
      <c r="N616" s="43">
        <f t="shared" si="9"/>
        <v>0</v>
      </c>
    </row>
    <row r="617" spans="2:14" ht="1.5" customHeight="1">
      <c r="B617" s="57"/>
      <c r="C617" s="60"/>
      <c r="D617" s="60"/>
      <c r="E617" s="60"/>
      <c r="F617" s="60"/>
      <c r="G617" s="60"/>
      <c r="J617" s="99"/>
      <c r="K617" s="99"/>
      <c r="L617" s="99"/>
      <c r="M617" s="99"/>
      <c r="N617" s="43">
        <f t="shared" si="9"/>
        <v>0</v>
      </c>
    </row>
    <row r="618" spans="2:14" ht="1.5" customHeight="1">
      <c r="B618" s="57"/>
      <c r="C618" s="60"/>
      <c r="D618" s="60"/>
      <c r="E618" s="60"/>
      <c r="F618" s="60"/>
      <c r="G618" s="60"/>
      <c r="J618" s="99"/>
      <c r="K618" s="99"/>
      <c r="L618" s="99"/>
      <c r="M618" s="99"/>
      <c r="N618" s="43">
        <f t="shared" si="9"/>
        <v>0</v>
      </c>
    </row>
    <row r="619" spans="2:14" ht="1.5" customHeight="1">
      <c r="B619" s="57"/>
      <c r="C619" s="60"/>
      <c r="D619" s="60"/>
      <c r="E619" s="60"/>
      <c r="F619" s="60"/>
      <c r="G619" s="60"/>
      <c r="J619" s="99"/>
      <c r="K619" s="99"/>
      <c r="L619" s="99"/>
      <c r="M619" s="99"/>
      <c r="N619" s="43">
        <f t="shared" si="9"/>
        <v>0</v>
      </c>
    </row>
    <row r="620" spans="2:14" ht="1.5" customHeight="1">
      <c r="B620" s="57"/>
      <c r="C620" s="60"/>
      <c r="D620" s="60"/>
      <c r="E620" s="60"/>
      <c r="F620" s="60"/>
      <c r="G620" s="60"/>
      <c r="J620" s="99"/>
      <c r="K620" s="99"/>
      <c r="L620" s="99"/>
      <c r="M620" s="99"/>
      <c r="N620" s="43">
        <f t="shared" si="9"/>
        <v>0</v>
      </c>
    </row>
    <row r="621" spans="2:14" ht="1.5" customHeight="1">
      <c r="B621" s="57"/>
      <c r="C621" s="60"/>
      <c r="D621" s="60"/>
      <c r="E621" s="60"/>
      <c r="F621" s="60"/>
      <c r="G621" s="60"/>
      <c r="J621" s="99"/>
      <c r="K621" s="99"/>
      <c r="L621" s="99"/>
      <c r="M621" s="99"/>
      <c r="N621" s="43">
        <f t="shared" si="9"/>
        <v>0</v>
      </c>
    </row>
    <row r="622" spans="2:14" ht="1.5" customHeight="1">
      <c r="B622" s="57"/>
      <c r="C622" s="60"/>
      <c r="D622" s="60"/>
      <c r="E622" s="60"/>
      <c r="F622" s="60"/>
      <c r="G622" s="60"/>
      <c r="J622" s="99"/>
      <c r="K622" s="99"/>
      <c r="L622" s="99"/>
      <c r="M622" s="99"/>
      <c r="N622" s="43">
        <f t="shared" si="9"/>
        <v>0</v>
      </c>
    </row>
    <row r="623" spans="2:14" ht="1.5" customHeight="1">
      <c r="B623" s="57"/>
      <c r="C623" s="60"/>
      <c r="D623" s="60"/>
      <c r="E623" s="60"/>
      <c r="F623" s="60"/>
      <c r="G623" s="60"/>
      <c r="J623" s="99"/>
      <c r="K623" s="99"/>
      <c r="L623" s="99"/>
      <c r="M623" s="99"/>
      <c r="N623" s="43">
        <f t="shared" si="9"/>
        <v>0</v>
      </c>
    </row>
    <row r="624" spans="2:14" ht="1.5" customHeight="1">
      <c r="B624" s="57"/>
      <c r="C624" s="60"/>
      <c r="D624" s="60"/>
      <c r="E624" s="60"/>
      <c r="F624" s="60"/>
      <c r="G624" s="60"/>
      <c r="J624" s="99"/>
      <c r="K624" s="99"/>
      <c r="L624" s="99"/>
      <c r="M624" s="99"/>
      <c r="N624" s="43">
        <f t="shared" si="9"/>
        <v>0</v>
      </c>
    </row>
    <row r="625" spans="2:14" ht="1.5" customHeight="1">
      <c r="B625" s="57"/>
      <c r="C625" s="60"/>
      <c r="D625" s="60"/>
      <c r="E625" s="60"/>
      <c r="F625" s="60"/>
      <c r="G625" s="60"/>
      <c r="J625" s="99"/>
      <c r="K625" s="99"/>
      <c r="L625" s="99"/>
      <c r="M625" s="99"/>
      <c r="N625" s="43">
        <f t="shared" si="9"/>
        <v>0</v>
      </c>
    </row>
    <row r="626" spans="2:14" ht="1.5" customHeight="1">
      <c r="B626" s="57"/>
      <c r="C626" s="60"/>
      <c r="D626" s="60"/>
      <c r="E626" s="60"/>
      <c r="F626" s="60"/>
      <c r="G626" s="60"/>
      <c r="J626" s="99"/>
      <c r="K626" s="99"/>
      <c r="L626" s="99"/>
      <c r="M626" s="99"/>
      <c r="N626" s="43">
        <f t="shared" si="9"/>
        <v>0</v>
      </c>
    </row>
    <row r="627" spans="2:14" ht="1.5" customHeight="1">
      <c r="B627" s="57"/>
      <c r="C627" s="60"/>
      <c r="D627" s="60"/>
      <c r="E627" s="60"/>
      <c r="F627" s="60"/>
      <c r="G627" s="60"/>
      <c r="J627" s="99"/>
      <c r="K627" s="99"/>
      <c r="L627" s="99"/>
      <c r="M627" s="99"/>
      <c r="N627" s="43">
        <f t="shared" si="9"/>
        <v>0</v>
      </c>
    </row>
    <row r="628" spans="2:14" ht="1.5" customHeight="1">
      <c r="B628" s="57"/>
      <c r="C628" s="60"/>
      <c r="D628" s="60"/>
      <c r="E628" s="60"/>
      <c r="F628" s="60"/>
      <c r="G628" s="60"/>
      <c r="J628" s="99"/>
      <c r="K628" s="99"/>
      <c r="L628" s="99"/>
      <c r="M628" s="99"/>
      <c r="N628" s="43">
        <f t="shared" si="9"/>
        <v>0</v>
      </c>
    </row>
    <row r="629" spans="2:14" ht="1.5" customHeight="1">
      <c r="B629" s="57"/>
      <c r="C629" s="60"/>
      <c r="D629" s="60"/>
      <c r="E629" s="60"/>
      <c r="F629" s="60"/>
      <c r="G629" s="60"/>
      <c r="J629" s="99"/>
      <c r="K629" s="99"/>
      <c r="L629" s="99"/>
      <c r="M629" s="99"/>
      <c r="N629" s="43">
        <f t="shared" si="9"/>
        <v>0</v>
      </c>
    </row>
    <row r="630" spans="2:14" ht="1.5" customHeight="1">
      <c r="B630" s="57"/>
      <c r="C630" s="60"/>
      <c r="D630" s="60"/>
      <c r="E630" s="60"/>
      <c r="F630" s="60"/>
      <c r="G630" s="60"/>
      <c r="J630" s="99"/>
      <c r="K630" s="99"/>
      <c r="L630" s="99"/>
      <c r="M630" s="99"/>
      <c r="N630" s="43">
        <f t="shared" si="9"/>
        <v>0</v>
      </c>
    </row>
    <row r="631" spans="2:14" ht="1.5" customHeight="1">
      <c r="B631" s="57"/>
      <c r="C631" s="60"/>
      <c r="D631" s="60"/>
      <c r="E631" s="60"/>
      <c r="F631" s="60"/>
      <c r="G631" s="60"/>
      <c r="J631" s="99"/>
      <c r="K631" s="99"/>
      <c r="L631" s="99"/>
      <c r="M631" s="99"/>
      <c r="N631" s="43">
        <f t="shared" si="9"/>
        <v>0</v>
      </c>
    </row>
    <row r="632" spans="2:14" ht="1.5" customHeight="1">
      <c r="B632" s="57"/>
      <c r="C632" s="60"/>
      <c r="D632" s="60"/>
      <c r="E632" s="60"/>
      <c r="F632" s="60"/>
      <c r="G632" s="60"/>
      <c r="J632" s="99"/>
      <c r="K632" s="99"/>
      <c r="L632" s="99"/>
      <c r="M632" s="99"/>
      <c r="N632" s="43">
        <f t="shared" si="9"/>
        <v>0</v>
      </c>
    </row>
    <row r="633" spans="2:14" ht="1.5" customHeight="1">
      <c r="B633" s="57"/>
      <c r="C633" s="60"/>
      <c r="D633" s="60"/>
      <c r="E633" s="60"/>
      <c r="F633" s="60"/>
      <c r="G633" s="60"/>
      <c r="J633" s="99"/>
      <c r="K633" s="99"/>
      <c r="L633" s="99"/>
      <c r="M633" s="99"/>
      <c r="N633" s="43">
        <f t="shared" si="9"/>
        <v>0</v>
      </c>
    </row>
    <row r="634" spans="2:14" ht="1.5" customHeight="1">
      <c r="B634" s="57"/>
      <c r="C634" s="60"/>
      <c r="D634" s="60"/>
      <c r="E634" s="60"/>
      <c r="F634" s="60"/>
      <c r="G634" s="60"/>
      <c r="J634" s="99"/>
      <c r="K634" s="99"/>
      <c r="L634" s="99"/>
      <c r="M634" s="99"/>
      <c r="N634" s="43">
        <f t="shared" si="9"/>
        <v>0</v>
      </c>
    </row>
    <row r="635" spans="2:14" ht="1.5" customHeight="1">
      <c r="B635" s="57"/>
      <c r="C635" s="60"/>
      <c r="D635" s="60"/>
      <c r="E635" s="60"/>
      <c r="F635" s="60"/>
      <c r="G635" s="60"/>
      <c r="J635" s="99"/>
      <c r="K635" s="99"/>
      <c r="L635" s="99"/>
      <c r="M635" s="99"/>
      <c r="N635" s="43">
        <f t="shared" si="9"/>
        <v>0</v>
      </c>
    </row>
    <row r="636" spans="2:14" ht="1.5" customHeight="1">
      <c r="B636" s="57"/>
      <c r="C636" s="60"/>
      <c r="D636" s="60"/>
      <c r="E636" s="60"/>
      <c r="F636" s="60"/>
      <c r="G636" s="60"/>
      <c r="J636" s="99"/>
      <c r="K636" s="99"/>
      <c r="L636" s="99"/>
      <c r="M636" s="99"/>
      <c r="N636" s="43">
        <f t="shared" si="9"/>
        <v>0</v>
      </c>
    </row>
    <row r="637" spans="2:14" ht="1.5" customHeight="1">
      <c r="B637" s="57"/>
      <c r="C637" s="60"/>
      <c r="D637" s="60"/>
      <c r="E637" s="60"/>
      <c r="F637" s="60"/>
      <c r="G637" s="60"/>
      <c r="J637" s="99"/>
      <c r="K637" s="99"/>
      <c r="L637" s="99"/>
      <c r="M637" s="99"/>
      <c r="N637" s="43">
        <f t="shared" si="9"/>
        <v>0</v>
      </c>
    </row>
    <row r="638" spans="2:14" ht="1.5" customHeight="1">
      <c r="B638" s="57"/>
      <c r="C638" s="60"/>
      <c r="D638" s="60"/>
      <c r="E638" s="60"/>
      <c r="F638" s="60"/>
      <c r="G638" s="60"/>
      <c r="J638" s="99"/>
      <c r="K638" s="99"/>
      <c r="L638" s="99"/>
      <c r="M638" s="99"/>
      <c r="N638" s="43">
        <f t="shared" si="9"/>
        <v>0</v>
      </c>
    </row>
    <row r="639" spans="2:14" ht="1.5" customHeight="1">
      <c r="B639" s="57"/>
      <c r="C639" s="60"/>
      <c r="D639" s="60"/>
      <c r="E639" s="60"/>
      <c r="F639" s="60"/>
      <c r="G639" s="60"/>
      <c r="J639" s="99"/>
      <c r="K639" s="99"/>
      <c r="L639" s="99"/>
      <c r="M639" s="99"/>
      <c r="N639" s="43">
        <f t="shared" si="9"/>
        <v>0</v>
      </c>
    </row>
    <row r="640" spans="2:14" ht="1.5" customHeight="1">
      <c r="B640" s="57"/>
      <c r="C640" s="60"/>
      <c r="D640" s="60"/>
      <c r="E640" s="60"/>
      <c r="F640" s="60"/>
      <c r="G640" s="60"/>
      <c r="J640" s="99"/>
      <c r="K640" s="99"/>
      <c r="L640" s="99"/>
      <c r="M640" s="99"/>
      <c r="N640" s="43">
        <f t="shared" si="9"/>
        <v>0</v>
      </c>
    </row>
    <row r="641" spans="2:14" ht="1.5" customHeight="1">
      <c r="B641" s="57"/>
      <c r="C641" s="60"/>
      <c r="D641" s="60"/>
      <c r="E641" s="60"/>
      <c r="F641" s="60"/>
      <c r="G641" s="60"/>
      <c r="J641" s="99"/>
      <c r="K641" s="99"/>
      <c r="L641" s="99"/>
      <c r="M641" s="99"/>
      <c r="N641" s="43">
        <f t="shared" si="9"/>
        <v>0</v>
      </c>
    </row>
    <row r="642" spans="2:14" ht="1.5" customHeight="1">
      <c r="B642" s="57"/>
      <c r="C642" s="60"/>
      <c r="D642" s="60"/>
      <c r="E642" s="60"/>
      <c r="F642" s="60"/>
      <c r="G642" s="60"/>
      <c r="J642" s="99"/>
      <c r="K642" s="99"/>
      <c r="L642" s="99"/>
      <c r="M642" s="99"/>
      <c r="N642" s="43">
        <f t="shared" si="9"/>
        <v>0</v>
      </c>
    </row>
    <row r="643" spans="2:14" ht="1.5" customHeight="1">
      <c r="B643" s="57"/>
      <c r="C643" s="60"/>
      <c r="D643" s="60"/>
      <c r="E643" s="60"/>
      <c r="F643" s="60"/>
      <c r="G643" s="60"/>
      <c r="J643" s="99"/>
      <c r="K643" s="99"/>
      <c r="L643" s="99"/>
      <c r="M643" s="99"/>
      <c r="N643" s="43">
        <f t="shared" si="9"/>
        <v>0</v>
      </c>
    </row>
    <row r="644" spans="2:14" ht="1.5" customHeight="1">
      <c r="B644" s="57"/>
      <c r="C644" s="60"/>
      <c r="D644" s="60"/>
      <c r="E644" s="60"/>
      <c r="F644" s="60"/>
      <c r="G644" s="60"/>
      <c r="J644" s="99"/>
      <c r="K644" s="99"/>
      <c r="L644" s="99"/>
      <c r="M644" s="99"/>
      <c r="N644" s="43">
        <f t="shared" si="9"/>
        <v>0</v>
      </c>
    </row>
    <row r="645" spans="2:14" ht="1.5" customHeight="1">
      <c r="B645" s="57"/>
      <c r="C645" s="60"/>
      <c r="D645" s="60"/>
      <c r="E645" s="60"/>
      <c r="F645" s="60"/>
      <c r="G645" s="60"/>
      <c r="J645" s="99"/>
      <c r="K645" s="99"/>
      <c r="L645" s="99"/>
      <c r="M645" s="99"/>
      <c r="N645" s="43">
        <f t="shared" si="9"/>
        <v>0</v>
      </c>
    </row>
    <row r="646" spans="2:14" ht="1.5" customHeight="1">
      <c r="B646" s="57"/>
      <c r="C646" s="60"/>
      <c r="D646" s="60"/>
      <c r="E646" s="60"/>
      <c r="F646" s="60"/>
      <c r="G646" s="60"/>
      <c r="J646" s="99"/>
      <c r="K646" s="99"/>
      <c r="L646" s="99"/>
      <c r="M646" s="99"/>
      <c r="N646" s="43">
        <f t="shared" si="9"/>
        <v>0</v>
      </c>
    </row>
    <row r="647" spans="2:14" ht="1.5" customHeight="1">
      <c r="B647" s="57"/>
      <c r="C647" s="60"/>
      <c r="D647" s="60"/>
      <c r="E647" s="60"/>
      <c r="F647" s="60"/>
      <c r="G647" s="60"/>
      <c r="J647" s="99"/>
      <c r="K647" s="99"/>
      <c r="L647" s="99"/>
      <c r="M647" s="99"/>
      <c r="N647" s="43">
        <f t="shared" si="9"/>
        <v>0</v>
      </c>
    </row>
    <row r="648" spans="2:14" ht="1.5" customHeight="1">
      <c r="B648" s="57"/>
      <c r="C648" s="60"/>
      <c r="D648" s="60"/>
      <c r="E648" s="60"/>
      <c r="F648" s="60"/>
      <c r="G648" s="60"/>
      <c r="J648" s="99"/>
      <c r="K648" s="99"/>
      <c r="L648" s="99"/>
      <c r="M648" s="99"/>
      <c r="N648" s="43">
        <f t="shared" si="9"/>
        <v>0</v>
      </c>
    </row>
    <row r="649" spans="2:14" ht="1.5" customHeight="1">
      <c r="B649" s="57"/>
      <c r="C649" s="60"/>
      <c r="D649" s="60"/>
      <c r="E649" s="60"/>
      <c r="F649" s="60"/>
      <c r="G649" s="60"/>
      <c r="J649" s="99"/>
      <c r="K649" s="99"/>
      <c r="L649" s="99"/>
      <c r="M649" s="99"/>
      <c r="N649" s="43">
        <f t="shared" si="9"/>
        <v>0</v>
      </c>
    </row>
    <row r="650" spans="2:14" ht="1.5" customHeight="1">
      <c r="B650" s="57"/>
      <c r="C650" s="60"/>
      <c r="D650" s="60"/>
      <c r="E650" s="60"/>
      <c r="F650" s="60"/>
      <c r="G650" s="60"/>
      <c r="J650" s="99"/>
      <c r="K650" s="99"/>
      <c r="L650" s="99"/>
      <c r="M650" s="99"/>
      <c r="N650" s="43">
        <f t="shared" si="9"/>
        <v>0</v>
      </c>
    </row>
    <row r="651" spans="2:14" ht="1.5" customHeight="1">
      <c r="B651" s="57"/>
      <c r="C651" s="60"/>
      <c r="D651" s="60"/>
      <c r="E651" s="60"/>
      <c r="F651" s="60"/>
      <c r="G651" s="60"/>
      <c r="J651" s="99"/>
      <c r="K651" s="99"/>
      <c r="L651" s="99"/>
      <c r="M651" s="99"/>
      <c r="N651" s="43">
        <f t="shared" ref="N651:N714" si="10">IF($L$4=$C$10,C651,IF(D651="","",B651))</f>
        <v>0</v>
      </c>
    </row>
    <row r="652" spans="2:14" ht="1.5" customHeight="1">
      <c r="B652" s="57"/>
      <c r="C652" s="60"/>
      <c r="D652" s="60"/>
      <c r="E652" s="60"/>
      <c r="F652" s="60"/>
      <c r="G652" s="60"/>
      <c r="J652" s="99"/>
      <c r="K652" s="99"/>
      <c r="L652" s="99"/>
      <c r="M652" s="99"/>
      <c r="N652" s="43">
        <f t="shared" si="10"/>
        <v>0</v>
      </c>
    </row>
    <row r="653" spans="2:14" ht="1.5" customHeight="1">
      <c r="B653" s="57"/>
      <c r="C653" s="60"/>
      <c r="D653" s="60"/>
      <c r="E653" s="60"/>
      <c r="F653" s="60"/>
      <c r="G653" s="60"/>
      <c r="J653" s="99"/>
      <c r="K653" s="99"/>
      <c r="L653" s="99"/>
      <c r="M653" s="99"/>
      <c r="N653" s="43">
        <f t="shared" si="10"/>
        <v>0</v>
      </c>
    </row>
    <row r="654" spans="2:14" ht="1.5" customHeight="1">
      <c r="B654" s="57"/>
      <c r="C654" s="60"/>
      <c r="D654" s="60"/>
      <c r="E654" s="60"/>
      <c r="F654" s="60"/>
      <c r="G654" s="60"/>
      <c r="J654" s="99"/>
      <c r="K654" s="99"/>
      <c r="L654" s="99"/>
      <c r="M654" s="99"/>
      <c r="N654" s="43">
        <f t="shared" si="10"/>
        <v>0</v>
      </c>
    </row>
    <row r="655" spans="2:14" ht="1.5" customHeight="1">
      <c r="B655" s="57"/>
      <c r="C655" s="60"/>
      <c r="D655" s="60"/>
      <c r="E655" s="60"/>
      <c r="F655" s="60"/>
      <c r="G655" s="60"/>
      <c r="J655" s="99"/>
      <c r="K655" s="99"/>
      <c r="L655" s="99"/>
      <c r="M655" s="99"/>
      <c r="N655" s="43">
        <f t="shared" si="10"/>
        <v>0</v>
      </c>
    </row>
    <row r="656" spans="2:14" ht="1.5" customHeight="1">
      <c r="B656" s="57"/>
      <c r="C656" s="60"/>
      <c r="D656" s="60"/>
      <c r="E656" s="60"/>
      <c r="F656" s="60"/>
      <c r="G656" s="60"/>
      <c r="J656" s="99"/>
      <c r="K656" s="99"/>
      <c r="L656" s="99"/>
      <c r="M656" s="99"/>
      <c r="N656" s="43">
        <f t="shared" si="10"/>
        <v>0</v>
      </c>
    </row>
    <row r="657" spans="2:14" ht="1.5" customHeight="1">
      <c r="B657" s="57"/>
      <c r="C657" s="60"/>
      <c r="D657" s="60"/>
      <c r="E657" s="60"/>
      <c r="F657" s="60"/>
      <c r="G657" s="60"/>
      <c r="J657" s="99"/>
      <c r="K657" s="99"/>
      <c r="L657" s="99"/>
      <c r="M657" s="99"/>
      <c r="N657" s="43">
        <f t="shared" si="10"/>
        <v>0</v>
      </c>
    </row>
    <row r="658" spans="2:14" ht="1.5" customHeight="1">
      <c r="B658" s="57"/>
      <c r="C658" s="60"/>
      <c r="D658" s="60"/>
      <c r="E658" s="60"/>
      <c r="F658" s="60"/>
      <c r="G658" s="60"/>
      <c r="J658" s="99"/>
      <c r="K658" s="99"/>
      <c r="L658" s="99"/>
      <c r="M658" s="99"/>
      <c r="N658" s="43">
        <f t="shared" si="10"/>
        <v>0</v>
      </c>
    </row>
    <row r="659" spans="2:14" ht="1.5" customHeight="1">
      <c r="B659" s="57"/>
      <c r="C659" s="60"/>
      <c r="D659" s="60"/>
      <c r="E659" s="60"/>
      <c r="F659" s="60"/>
      <c r="G659" s="60"/>
      <c r="J659" s="99"/>
      <c r="K659" s="99"/>
      <c r="L659" s="99"/>
      <c r="M659" s="99"/>
      <c r="N659" s="43">
        <f t="shared" si="10"/>
        <v>0</v>
      </c>
    </row>
    <row r="660" spans="2:14" ht="1.5" customHeight="1">
      <c r="B660" s="57"/>
      <c r="C660" s="60"/>
      <c r="D660" s="60"/>
      <c r="E660" s="60"/>
      <c r="F660" s="60"/>
      <c r="G660" s="60"/>
      <c r="J660" s="99"/>
      <c r="K660" s="99"/>
      <c r="L660" s="99"/>
      <c r="M660" s="99"/>
      <c r="N660" s="43">
        <f t="shared" si="10"/>
        <v>0</v>
      </c>
    </row>
    <row r="661" spans="2:14" ht="1.5" customHeight="1">
      <c r="B661" s="57"/>
      <c r="C661" s="60"/>
      <c r="D661" s="60"/>
      <c r="E661" s="60"/>
      <c r="F661" s="60"/>
      <c r="G661" s="60"/>
      <c r="J661" s="99"/>
      <c r="K661" s="99"/>
      <c r="L661" s="99"/>
      <c r="M661" s="99"/>
      <c r="N661" s="43">
        <f t="shared" si="10"/>
        <v>0</v>
      </c>
    </row>
    <row r="662" spans="2:14" ht="1.5" customHeight="1">
      <c r="B662" s="57"/>
      <c r="C662" s="60"/>
      <c r="D662" s="60"/>
      <c r="E662" s="60"/>
      <c r="F662" s="60"/>
      <c r="G662" s="60"/>
      <c r="J662" s="99"/>
      <c r="K662" s="99"/>
      <c r="L662" s="99"/>
      <c r="M662" s="99"/>
      <c r="N662" s="43">
        <f t="shared" si="10"/>
        <v>0</v>
      </c>
    </row>
    <row r="663" spans="2:14" ht="1.5" customHeight="1">
      <c r="B663" s="57"/>
      <c r="C663" s="60"/>
      <c r="D663" s="60"/>
      <c r="E663" s="60"/>
      <c r="F663" s="60"/>
      <c r="G663" s="60"/>
      <c r="J663" s="99"/>
      <c r="K663" s="99"/>
      <c r="L663" s="99"/>
      <c r="M663" s="99"/>
      <c r="N663" s="43">
        <f t="shared" si="10"/>
        <v>0</v>
      </c>
    </row>
    <row r="664" spans="2:14" ht="1.5" customHeight="1">
      <c r="B664" s="57"/>
      <c r="C664" s="60"/>
      <c r="D664" s="60"/>
      <c r="E664" s="60"/>
      <c r="F664" s="60"/>
      <c r="G664" s="60"/>
      <c r="J664" s="99"/>
      <c r="K664" s="99"/>
      <c r="L664" s="99"/>
      <c r="M664" s="99"/>
      <c r="N664" s="43">
        <f t="shared" si="10"/>
        <v>0</v>
      </c>
    </row>
    <row r="665" spans="2:14" ht="1.5" customHeight="1">
      <c r="B665" s="57"/>
      <c r="C665" s="60"/>
      <c r="D665" s="60"/>
      <c r="E665" s="60"/>
      <c r="F665" s="60"/>
      <c r="G665" s="60"/>
      <c r="J665" s="99"/>
      <c r="K665" s="99"/>
      <c r="L665" s="99"/>
      <c r="M665" s="99"/>
      <c r="N665" s="43">
        <f t="shared" si="10"/>
        <v>0</v>
      </c>
    </row>
    <row r="666" spans="2:14" ht="1.5" customHeight="1">
      <c r="B666" s="57"/>
      <c r="C666" s="60"/>
      <c r="D666" s="60"/>
      <c r="E666" s="60"/>
      <c r="F666" s="60"/>
      <c r="G666" s="60"/>
      <c r="J666" s="99"/>
      <c r="K666" s="99"/>
      <c r="L666" s="99"/>
      <c r="M666" s="99"/>
      <c r="N666" s="43">
        <f t="shared" si="10"/>
        <v>0</v>
      </c>
    </row>
    <row r="667" spans="2:14" ht="1.5" customHeight="1">
      <c r="B667" s="57"/>
      <c r="C667" s="60"/>
      <c r="D667" s="60"/>
      <c r="E667" s="60"/>
      <c r="F667" s="60"/>
      <c r="G667" s="60"/>
      <c r="J667" s="99"/>
      <c r="K667" s="99"/>
      <c r="L667" s="99"/>
      <c r="M667" s="99"/>
      <c r="N667" s="43">
        <f t="shared" si="10"/>
        <v>0</v>
      </c>
    </row>
    <row r="668" spans="2:14" ht="1.5" customHeight="1">
      <c r="B668" s="57"/>
      <c r="C668" s="60"/>
      <c r="D668" s="60"/>
      <c r="E668" s="60"/>
      <c r="F668" s="60"/>
      <c r="G668" s="60"/>
      <c r="J668" s="99"/>
      <c r="K668" s="99"/>
      <c r="L668" s="99"/>
      <c r="M668" s="99"/>
      <c r="N668" s="43">
        <f t="shared" si="10"/>
        <v>0</v>
      </c>
    </row>
    <row r="669" spans="2:14" ht="1.5" customHeight="1">
      <c r="B669" s="57"/>
      <c r="C669" s="60"/>
      <c r="D669" s="60"/>
      <c r="E669" s="60"/>
      <c r="F669" s="60"/>
      <c r="G669" s="60"/>
      <c r="J669" s="99"/>
      <c r="K669" s="99"/>
      <c r="L669" s="99"/>
      <c r="M669" s="99"/>
      <c r="N669" s="43">
        <f t="shared" si="10"/>
        <v>0</v>
      </c>
    </row>
    <row r="670" spans="2:14" ht="1.5" customHeight="1">
      <c r="B670" s="57"/>
      <c r="C670" s="60"/>
      <c r="D670" s="60"/>
      <c r="E670" s="60"/>
      <c r="F670" s="60"/>
      <c r="G670" s="60"/>
      <c r="J670" s="99"/>
      <c r="K670" s="99"/>
      <c r="L670" s="99"/>
      <c r="M670" s="99"/>
      <c r="N670" s="43">
        <f t="shared" si="10"/>
        <v>0</v>
      </c>
    </row>
    <row r="671" spans="2:14" ht="1.5" customHeight="1">
      <c r="B671" s="57"/>
      <c r="C671" s="60"/>
      <c r="D671" s="60"/>
      <c r="E671" s="60"/>
      <c r="F671" s="60"/>
      <c r="G671" s="60"/>
      <c r="J671" s="99"/>
      <c r="K671" s="99"/>
      <c r="L671" s="99"/>
      <c r="M671" s="99"/>
      <c r="N671" s="43">
        <f t="shared" si="10"/>
        <v>0</v>
      </c>
    </row>
    <row r="672" spans="2:14" ht="1.5" customHeight="1">
      <c r="B672" s="57"/>
      <c r="C672" s="60"/>
      <c r="D672" s="60"/>
      <c r="E672" s="60"/>
      <c r="F672" s="60"/>
      <c r="G672" s="60"/>
      <c r="J672" s="99"/>
      <c r="K672" s="99"/>
      <c r="L672" s="99"/>
      <c r="M672" s="99"/>
      <c r="N672" s="43">
        <f t="shared" si="10"/>
        <v>0</v>
      </c>
    </row>
    <row r="673" spans="2:14" ht="1.5" customHeight="1">
      <c r="B673" s="57"/>
      <c r="C673" s="60"/>
      <c r="D673" s="60"/>
      <c r="E673" s="60"/>
      <c r="F673" s="60"/>
      <c r="G673" s="60"/>
      <c r="J673" s="99"/>
      <c r="K673" s="99"/>
      <c r="L673" s="99"/>
      <c r="M673" s="99"/>
      <c r="N673" s="43">
        <f t="shared" si="10"/>
        <v>0</v>
      </c>
    </row>
    <row r="674" spans="2:14" ht="1.5" customHeight="1">
      <c r="B674" s="57"/>
      <c r="C674" s="60"/>
      <c r="D674" s="60"/>
      <c r="E674" s="60"/>
      <c r="F674" s="60"/>
      <c r="G674" s="60"/>
      <c r="J674" s="99"/>
      <c r="K674" s="99"/>
      <c r="L674" s="99"/>
      <c r="M674" s="99"/>
      <c r="N674" s="43">
        <f t="shared" si="10"/>
        <v>0</v>
      </c>
    </row>
    <row r="675" spans="2:14" ht="1.5" customHeight="1">
      <c r="B675" s="57"/>
      <c r="C675" s="60"/>
      <c r="D675" s="60"/>
      <c r="E675" s="60"/>
      <c r="F675" s="60"/>
      <c r="G675" s="60"/>
      <c r="J675" s="99"/>
      <c r="K675" s="99"/>
      <c r="L675" s="99"/>
      <c r="M675" s="99"/>
      <c r="N675" s="43">
        <f t="shared" si="10"/>
        <v>0</v>
      </c>
    </row>
    <row r="676" spans="2:14" ht="1.5" customHeight="1">
      <c r="B676" s="57"/>
      <c r="C676" s="60"/>
      <c r="D676" s="60"/>
      <c r="E676" s="60"/>
      <c r="F676" s="60"/>
      <c r="G676" s="60"/>
      <c r="J676" s="99"/>
      <c r="K676" s="99"/>
      <c r="L676" s="99"/>
      <c r="M676" s="99"/>
      <c r="N676" s="43">
        <f t="shared" si="10"/>
        <v>0</v>
      </c>
    </row>
    <row r="677" spans="2:14" ht="1.5" customHeight="1">
      <c r="B677" s="57"/>
      <c r="C677" s="60"/>
      <c r="D677" s="60"/>
      <c r="E677" s="60"/>
      <c r="F677" s="60"/>
      <c r="G677" s="60"/>
      <c r="J677" s="99"/>
      <c r="K677" s="99"/>
      <c r="L677" s="99"/>
      <c r="M677" s="99"/>
      <c r="N677" s="43">
        <f t="shared" si="10"/>
        <v>0</v>
      </c>
    </row>
    <row r="678" spans="2:14" ht="1.5" customHeight="1">
      <c r="B678" s="57"/>
      <c r="C678" s="60"/>
      <c r="D678" s="60"/>
      <c r="E678" s="60"/>
      <c r="F678" s="60"/>
      <c r="G678" s="60"/>
      <c r="J678" s="99"/>
      <c r="K678" s="99"/>
      <c r="L678" s="99"/>
      <c r="M678" s="99"/>
      <c r="N678" s="43">
        <f t="shared" si="10"/>
        <v>0</v>
      </c>
    </row>
    <row r="679" spans="2:14" ht="1.5" customHeight="1">
      <c r="B679" s="57"/>
      <c r="C679" s="60"/>
      <c r="D679" s="60"/>
      <c r="E679" s="60"/>
      <c r="F679" s="60"/>
      <c r="G679" s="60"/>
      <c r="J679" s="99"/>
      <c r="K679" s="99"/>
      <c r="L679" s="99"/>
      <c r="M679" s="99"/>
      <c r="N679" s="43">
        <f t="shared" si="10"/>
        <v>0</v>
      </c>
    </row>
    <row r="680" spans="2:14" ht="1.5" customHeight="1">
      <c r="B680" s="57"/>
      <c r="C680" s="60"/>
      <c r="D680" s="60"/>
      <c r="E680" s="60"/>
      <c r="F680" s="60"/>
      <c r="G680" s="60"/>
      <c r="J680" s="99"/>
      <c r="K680" s="99"/>
      <c r="L680" s="99"/>
      <c r="M680" s="99"/>
      <c r="N680" s="43">
        <f t="shared" si="10"/>
        <v>0</v>
      </c>
    </row>
    <row r="681" spans="2:14" ht="1.5" customHeight="1">
      <c r="B681" s="57"/>
      <c r="C681" s="60"/>
      <c r="D681" s="60"/>
      <c r="E681" s="60"/>
      <c r="F681" s="60"/>
      <c r="G681" s="60"/>
      <c r="J681" s="99"/>
      <c r="K681" s="99"/>
      <c r="L681" s="99"/>
      <c r="M681" s="99"/>
      <c r="N681" s="43">
        <f t="shared" si="10"/>
        <v>0</v>
      </c>
    </row>
    <row r="682" spans="2:14" ht="1.5" customHeight="1">
      <c r="B682" s="57"/>
      <c r="C682" s="60"/>
      <c r="D682" s="60"/>
      <c r="E682" s="60"/>
      <c r="F682" s="60"/>
      <c r="G682" s="60"/>
      <c r="J682" s="99"/>
      <c r="K682" s="99"/>
      <c r="L682" s="99"/>
      <c r="M682" s="99"/>
      <c r="N682" s="43">
        <f t="shared" si="10"/>
        <v>0</v>
      </c>
    </row>
    <row r="683" spans="2:14" ht="1.5" customHeight="1">
      <c r="B683" s="57"/>
      <c r="C683" s="60"/>
      <c r="D683" s="60"/>
      <c r="E683" s="60"/>
      <c r="F683" s="60"/>
      <c r="G683" s="60"/>
      <c r="J683" s="99"/>
      <c r="K683" s="99"/>
      <c r="L683" s="99"/>
      <c r="M683" s="99"/>
      <c r="N683" s="43">
        <f t="shared" si="10"/>
        <v>0</v>
      </c>
    </row>
    <row r="684" spans="2:14" ht="1.5" customHeight="1">
      <c r="B684" s="57"/>
      <c r="C684" s="60"/>
      <c r="D684" s="60"/>
      <c r="E684" s="60"/>
      <c r="F684" s="60"/>
      <c r="G684" s="60"/>
      <c r="J684" s="99"/>
      <c r="K684" s="99"/>
      <c r="L684" s="99"/>
      <c r="M684" s="99"/>
      <c r="N684" s="43">
        <f t="shared" si="10"/>
        <v>0</v>
      </c>
    </row>
    <row r="685" spans="2:14" ht="1.5" customHeight="1">
      <c r="B685" s="57"/>
      <c r="C685" s="60"/>
      <c r="D685" s="60"/>
      <c r="E685" s="60"/>
      <c r="F685" s="60"/>
      <c r="G685" s="60"/>
      <c r="J685" s="99"/>
      <c r="K685" s="99"/>
      <c r="L685" s="99"/>
      <c r="M685" s="99"/>
      <c r="N685" s="43">
        <f t="shared" si="10"/>
        <v>0</v>
      </c>
    </row>
    <row r="686" spans="2:14" ht="1.5" customHeight="1">
      <c r="B686" s="57"/>
      <c r="C686" s="60"/>
      <c r="D686" s="60"/>
      <c r="E686" s="60"/>
      <c r="F686" s="60"/>
      <c r="G686" s="60"/>
      <c r="J686" s="99"/>
      <c r="K686" s="99"/>
      <c r="L686" s="99"/>
      <c r="M686" s="99"/>
      <c r="N686" s="43">
        <f t="shared" si="10"/>
        <v>0</v>
      </c>
    </row>
    <row r="687" spans="2:14" ht="1.5" customHeight="1">
      <c r="B687" s="57"/>
      <c r="C687" s="60"/>
      <c r="D687" s="60"/>
      <c r="E687" s="60"/>
      <c r="F687" s="60"/>
      <c r="G687" s="60"/>
      <c r="J687" s="99"/>
      <c r="K687" s="99"/>
      <c r="L687" s="99"/>
      <c r="M687" s="99"/>
      <c r="N687" s="43">
        <f t="shared" si="10"/>
        <v>0</v>
      </c>
    </row>
    <row r="688" spans="2:14" ht="1.5" customHeight="1">
      <c r="B688" s="57"/>
      <c r="C688" s="60"/>
      <c r="D688" s="60"/>
      <c r="E688" s="60"/>
      <c r="F688" s="60"/>
      <c r="G688" s="60"/>
      <c r="J688" s="99"/>
      <c r="K688" s="99"/>
      <c r="L688" s="99"/>
      <c r="M688" s="99"/>
      <c r="N688" s="43">
        <f t="shared" si="10"/>
        <v>0</v>
      </c>
    </row>
    <row r="689" spans="2:14" ht="1.5" customHeight="1">
      <c r="B689" s="57"/>
      <c r="C689" s="60"/>
      <c r="D689" s="60"/>
      <c r="E689" s="60"/>
      <c r="F689" s="60"/>
      <c r="G689" s="60"/>
      <c r="J689" s="99"/>
      <c r="K689" s="99"/>
      <c r="L689" s="99"/>
      <c r="M689" s="99"/>
      <c r="N689" s="43">
        <f t="shared" si="10"/>
        <v>0</v>
      </c>
    </row>
    <row r="690" spans="2:14" ht="1.5" customHeight="1">
      <c r="B690" s="57"/>
      <c r="C690" s="60"/>
      <c r="D690" s="60"/>
      <c r="E690" s="60"/>
      <c r="F690" s="60"/>
      <c r="G690" s="60"/>
      <c r="J690" s="99"/>
      <c r="K690" s="99"/>
      <c r="L690" s="99"/>
      <c r="M690" s="99"/>
      <c r="N690" s="43">
        <f t="shared" si="10"/>
        <v>0</v>
      </c>
    </row>
    <row r="691" spans="2:14" ht="1.5" customHeight="1">
      <c r="B691" s="57"/>
      <c r="C691" s="60"/>
      <c r="D691" s="60"/>
      <c r="E691" s="60"/>
      <c r="F691" s="60"/>
      <c r="G691" s="60"/>
      <c r="J691" s="99"/>
      <c r="K691" s="99"/>
      <c r="L691" s="99"/>
      <c r="M691" s="99"/>
      <c r="N691" s="43">
        <f t="shared" si="10"/>
        <v>0</v>
      </c>
    </row>
    <row r="692" spans="2:14" ht="1.5" customHeight="1">
      <c r="B692" s="57"/>
      <c r="C692" s="60"/>
      <c r="D692" s="60"/>
      <c r="E692" s="60"/>
      <c r="F692" s="60"/>
      <c r="G692" s="60"/>
      <c r="J692" s="99"/>
      <c r="K692" s="99"/>
      <c r="L692" s="99"/>
      <c r="M692" s="99"/>
      <c r="N692" s="43">
        <f t="shared" si="10"/>
        <v>0</v>
      </c>
    </row>
    <row r="693" spans="2:14" ht="1.5" customHeight="1">
      <c r="B693" s="57"/>
      <c r="C693" s="60"/>
      <c r="D693" s="60"/>
      <c r="E693" s="60"/>
      <c r="F693" s="60"/>
      <c r="G693" s="60"/>
      <c r="J693" s="99"/>
      <c r="K693" s="99"/>
      <c r="L693" s="99"/>
      <c r="M693" s="99"/>
      <c r="N693" s="43">
        <f t="shared" si="10"/>
        <v>0</v>
      </c>
    </row>
    <row r="694" spans="2:14" ht="1.5" customHeight="1">
      <c r="B694" s="57"/>
      <c r="C694" s="60"/>
      <c r="D694" s="60"/>
      <c r="E694" s="60"/>
      <c r="F694" s="60"/>
      <c r="G694" s="60"/>
      <c r="J694" s="99"/>
      <c r="K694" s="99"/>
      <c r="L694" s="99"/>
      <c r="M694" s="99"/>
      <c r="N694" s="43">
        <f t="shared" si="10"/>
        <v>0</v>
      </c>
    </row>
    <row r="695" spans="2:14" ht="1.5" customHeight="1">
      <c r="B695" s="57"/>
      <c r="C695" s="60"/>
      <c r="D695" s="60"/>
      <c r="E695" s="60"/>
      <c r="F695" s="60"/>
      <c r="G695" s="60"/>
      <c r="J695" s="99"/>
      <c r="K695" s="99"/>
      <c r="L695" s="99"/>
      <c r="M695" s="99"/>
      <c r="N695" s="43">
        <f t="shared" si="10"/>
        <v>0</v>
      </c>
    </row>
    <row r="696" spans="2:14" ht="1.5" customHeight="1">
      <c r="B696" s="57"/>
      <c r="C696" s="60"/>
      <c r="D696" s="60"/>
      <c r="E696" s="60"/>
      <c r="F696" s="60"/>
      <c r="G696" s="60"/>
      <c r="J696" s="99"/>
      <c r="K696" s="99"/>
      <c r="L696" s="99"/>
      <c r="M696" s="99"/>
      <c r="N696" s="43">
        <f t="shared" si="10"/>
        <v>0</v>
      </c>
    </row>
    <row r="697" spans="2:14" ht="1.5" customHeight="1">
      <c r="B697" s="57"/>
      <c r="C697" s="60"/>
      <c r="D697" s="60"/>
      <c r="E697" s="60"/>
      <c r="F697" s="60"/>
      <c r="G697" s="60"/>
      <c r="J697" s="99"/>
      <c r="K697" s="99"/>
      <c r="L697" s="99"/>
      <c r="M697" s="99"/>
      <c r="N697" s="43">
        <f t="shared" si="10"/>
        <v>0</v>
      </c>
    </row>
    <row r="698" spans="2:14" ht="1.5" customHeight="1">
      <c r="B698" s="57"/>
      <c r="C698" s="60"/>
      <c r="D698" s="60"/>
      <c r="E698" s="60"/>
      <c r="F698" s="60"/>
      <c r="G698" s="60"/>
      <c r="J698" s="99"/>
      <c r="K698" s="99"/>
      <c r="L698" s="99"/>
      <c r="M698" s="99"/>
      <c r="N698" s="43">
        <f t="shared" si="10"/>
        <v>0</v>
      </c>
    </row>
    <row r="699" spans="2:14" ht="1.5" customHeight="1">
      <c r="B699" s="57"/>
      <c r="C699" s="60"/>
      <c r="D699" s="60"/>
      <c r="E699" s="60"/>
      <c r="F699" s="60"/>
      <c r="G699" s="60"/>
      <c r="J699" s="99"/>
      <c r="K699" s="99"/>
      <c r="L699" s="99"/>
      <c r="M699" s="99"/>
      <c r="N699" s="43">
        <f t="shared" si="10"/>
        <v>0</v>
      </c>
    </row>
    <row r="700" spans="2:14" ht="1.5" customHeight="1">
      <c r="B700" s="57"/>
      <c r="C700" s="60"/>
      <c r="D700" s="60"/>
      <c r="E700" s="60"/>
      <c r="F700" s="60"/>
      <c r="G700" s="60"/>
      <c r="J700" s="99"/>
      <c r="K700" s="99"/>
      <c r="L700" s="99"/>
      <c r="M700" s="99"/>
      <c r="N700" s="43">
        <f t="shared" si="10"/>
        <v>0</v>
      </c>
    </row>
    <row r="701" spans="2:14" ht="1.5" customHeight="1">
      <c r="B701" s="57"/>
      <c r="C701" s="60"/>
      <c r="D701" s="60"/>
      <c r="E701" s="60"/>
      <c r="F701" s="60"/>
      <c r="G701" s="60"/>
      <c r="J701" s="99"/>
      <c r="K701" s="99"/>
      <c r="L701" s="99"/>
      <c r="M701" s="99"/>
      <c r="N701" s="43">
        <f t="shared" si="10"/>
        <v>0</v>
      </c>
    </row>
    <row r="702" spans="2:14" ht="1.5" customHeight="1">
      <c r="B702" s="57"/>
      <c r="C702" s="60"/>
      <c r="D702" s="60"/>
      <c r="E702" s="60"/>
      <c r="F702" s="60"/>
      <c r="G702" s="60"/>
      <c r="J702" s="99"/>
      <c r="K702" s="99"/>
      <c r="L702" s="99"/>
      <c r="M702" s="99"/>
      <c r="N702" s="43">
        <f t="shared" si="10"/>
        <v>0</v>
      </c>
    </row>
    <row r="703" spans="2:14" ht="1.5" customHeight="1">
      <c r="B703" s="57"/>
      <c r="C703" s="60"/>
      <c r="D703" s="60"/>
      <c r="E703" s="60"/>
      <c r="F703" s="60"/>
      <c r="G703" s="60"/>
      <c r="J703" s="99"/>
      <c r="K703" s="99"/>
      <c r="L703" s="99"/>
      <c r="M703" s="99"/>
      <c r="N703" s="43">
        <f t="shared" si="10"/>
        <v>0</v>
      </c>
    </row>
    <row r="704" spans="2:14" ht="1.5" customHeight="1">
      <c r="B704" s="57"/>
      <c r="C704" s="60"/>
      <c r="D704" s="60"/>
      <c r="E704" s="60"/>
      <c r="F704" s="60"/>
      <c r="G704" s="60"/>
      <c r="J704" s="99"/>
      <c r="K704" s="99"/>
      <c r="L704" s="99"/>
      <c r="M704" s="99"/>
      <c r="N704" s="43">
        <f t="shared" si="10"/>
        <v>0</v>
      </c>
    </row>
    <row r="705" spans="2:14" ht="1.5" customHeight="1">
      <c r="B705" s="57"/>
      <c r="C705" s="60"/>
      <c r="D705" s="60"/>
      <c r="E705" s="60"/>
      <c r="F705" s="60"/>
      <c r="G705" s="60"/>
      <c r="J705" s="99"/>
      <c r="K705" s="99"/>
      <c r="L705" s="99"/>
      <c r="M705" s="99"/>
      <c r="N705" s="43">
        <f t="shared" si="10"/>
        <v>0</v>
      </c>
    </row>
    <row r="706" spans="2:14" ht="1.5" customHeight="1">
      <c r="B706" s="57"/>
      <c r="C706" s="60"/>
      <c r="D706" s="60"/>
      <c r="E706" s="60"/>
      <c r="F706" s="60"/>
      <c r="G706" s="60"/>
      <c r="J706" s="99"/>
      <c r="K706" s="99"/>
      <c r="L706" s="99"/>
      <c r="M706" s="99"/>
      <c r="N706" s="43">
        <f t="shared" si="10"/>
        <v>0</v>
      </c>
    </row>
    <row r="707" spans="2:14" ht="1.5" customHeight="1">
      <c r="B707" s="57"/>
      <c r="C707" s="60"/>
      <c r="D707" s="60"/>
      <c r="E707" s="60"/>
      <c r="F707" s="60"/>
      <c r="G707" s="60"/>
      <c r="J707" s="99"/>
      <c r="K707" s="99"/>
      <c r="L707" s="99"/>
      <c r="M707" s="99"/>
      <c r="N707" s="43">
        <f t="shared" si="10"/>
        <v>0</v>
      </c>
    </row>
    <row r="708" spans="2:14" ht="1.5" customHeight="1">
      <c r="B708" s="57"/>
      <c r="C708" s="60"/>
      <c r="D708" s="60"/>
      <c r="E708" s="60"/>
      <c r="F708" s="60"/>
      <c r="G708" s="60"/>
      <c r="J708" s="99"/>
      <c r="K708" s="99"/>
      <c r="L708" s="99"/>
      <c r="M708" s="99"/>
      <c r="N708" s="43">
        <f t="shared" si="10"/>
        <v>0</v>
      </c>
    </row>
    <row r="709" spans="2:14" ht="1.5" customHeight="1">
      <c r="B709" s="57"/>
      <c r="C709" s="60"/>
      <c r="D709" s="60"/>
      <c r="E709" s="60"/>
      <c r="F709" s="60"/>
      <c r="G709" s="60"/>
      <c r="J709" s="99"/>
      <c r="K709" s="99"/>
      <c r="L709" s="99"/>
      <c r="M709" s="99"/>
      <c r="N709" s="43">
        <f t="shared" si="10"/>
        <v>0</v>
      </c>
    </row>
    <row r="710" spans="2:14" ht="1.5" customHeight="1">
      <c r="B710" s="57"/>
      <c r="C710" s="60"/>
      <c r="D710" s="60"/>
      <c r="E710" s="60"/>
      <c r="F710" s="60"/>
      <c r="G710" s="60"/>
      <c r="J710" s="99"/>
      <c r="K710" s="99"/>
      <c r="L710" s="99"/>
      <c r="M710" s="99"/>
      <c r="N710" s="43">
        <f t="shared" si="10"/>
        <v>0</v>
      </c>
    </row>
    <row r="711" spans="2:14" ht="1.5" customHeight="1">
      <c r="B711" s="57"/>
      <c r="C711" s="60"/>
      <c r="D711" s="60"/>
      <c r="E711" s="60"/>
      <c r="F711" s="60"/>
      <c r="G711" s="60"/>
      <c r="J711" s="99"/>
      <c r="K711" s="99"/>
      <c r="L711" s="99"/>
      <c r="M711" s="99"/>
      <c r="N711" s="43">
        <f t="shared" si="10"/>
        <v>0</v>
      </c>
    </row>
    <row r="712" spans="2:14" ht="1.5" customHeight="1">
      <c r="B712" s="57"/>
      <c r="C712" s="60"/>
      <c r="D712" s="60"/>
      <c r="E712" s="60"/>
      <c r="F712" s="60"/>
      <c r="G712" s="60"/>
      <c r="J712" s="99"/>
      <c r="K712" s="99"/>
      <c r="L712" s="99"/>
      <c r="M712" s="99"/>
      <c r="N712" s="43">
        <f t="shared" si="10"/>
        <v>0</v>
      </c>
    </row>
    <row r="713" spans="2:14" ht="1.5" customHeight="1">
      <c r="B713" s="57"/>
      <c r="C713" s="60"/>
      <c r="D713" s="60"/>
      <c r="E713" s="60"/>
      <c r="F713" s="60"/>
      <c r="G713" s="60"/>
      <c r="J713" s="99"/>
      <c r="K713" s="99"/>
      <c r="L713" s="99"/>
      <c r="M713" s="99"/>
      <c r="N713" s="43">
        <f t="shared" si="10"/>
        <v>0</v>
      </c>
    </row>
    <row r="714" spans="2:14" ht="1.5" customHeight="1">
      <c r="B714" s="57"/>
      <c r="C714" s="60"/>
      <c r="D714" s="60"/>
      <c r="E714" s="60"/>
      <c r="F714" s="60"/>
      <c r="G714" s="60"/>
      <c r="J714" s="99"/>
      <c r="K714" s="99"/>
      <c r="L714" s="99"/>
      <c r="M714" s="99"/>
      <c r="N714" s="43">
        <f t="shared" si="10"/>
        <v>0</v>
      </c>
    </row>
    <row r="715" spans="2:14" ht="1.5" customHeight="1">
      <c r="B715" s="57"/>
      <c r="C715" s="60"/>
      <c r="D715" s="60"/>
      <c r="E715" s="60"/>
      <c r="F715" s="60"/>
      <c r="G715" s="60"/>
      <c r="J715" s="99"/>
      <c r="K715" s="99"/>
      <c r="L715" s="99"/>
      <c r="M715" s="99"/>
      <c r="N715" s="43">
        <f t="shared" ref="N715:N778" si="11">IF($L$4=$C$10,C715,IF(D715="","",B715))</f>
        <v>0</v>
      </c>
    </row>
    <row r="716" spans="2:14" ht="1.5" customHeight="1">
      <c r="B716" s="57"/>
      <c r="C716" s="60"/>
      <c r="D716" s="60"/>
      <c r="E716" s="60"/>
      <c r="F716" s="60"/>
      <c r="G716" s="60"/>
      <c r="J716" s="99"/>
      <c r="K716" s="99"/>
      <c r="L716" s="99"/>
      <c r="M716" s="99"/>
      <c r="N716" s="43">
        <f t="shared" si="11"/>
        <v>0</v>
      </c>
    </row>
    <row r="717" spans="2:14" ht="1.5" customHeight="1">
      <c r="B717" s="57"/>
      <c r="C717" s="60"/>
      <c r="D717" s="60"/>
      <c r="E717" s="60"/>
      <c r="F717" s="60"/>
      <c r="G717" s="60"/>
      <c r="J717" s="99"/>
      <c r="K717" s="99"/>
      <c r="L717" s="99"/>
      <c r="M717" s="99"/>
      <c r="N717" s="43">
        <f t="shared" si="11"/>
        <v>0</v>
      </c>
    </row>
    <row r="718" spans="2:14" ht="1.5" customHeight="1">
      <c r="B718" s="57"/>
      <c r="C718" s="60"/>
      <c r="D718" s="60"/>
      <c r="E718" s="60"/>
      <c r="F718" s="60"/>
      <c r="G718" s="60"/>
      <c r="J718" s="99"/>
      <c r="K718" s="99"/>
      <c r="L718" s="99"/>
      <c r="M718" s="99"/>
      <c r="N718" s="43">
        <f t="shared" si="11"/>
        <v>0</v>
      </c>
    </row>
    <row r="719" spans="2:14" ht="1.5" customHeight="1">
      <c r="B719" s="57"/>
      <c r="C719" s="60"/>
      <c r="D719" s="60"/>
      <c r="E719" s="60"/>
      <c r="F719" s="60"/>
      <c r="G719" s="60"/>
      <c r="J719" s="99"/>
      <c r="K719" s="99"/>
      <c r="L719" s="99"/>
      <c r="M719" s="99"/>
      <c r="N719" s="43">
        <f t="shared" si="11"/>
        <v>0</v>
      </c>
    </row>
    <row r="720" spans="2:14" ht="1.5" customHeight="1">
      <c r="B720" s="57"/>
      <c r="C720" s="60"/>
      <c r="D720" s="60"/>
      <c r="E720" s="60"/>
      <c r="F720" s="60"/>
      <c r="G720" s="60"/>
      <c r="J720" s="99"/>
      <c r="K720" s="99"/>
      <c r="L720" s="99"/>
      <c r="M720" s="99"/>
      <c r="N720" s="43">
        <f t="shared" si="11"/>
        <v>0</v>
      </c>
    </row>
    <row r="721" spans="2:14" ht="1.5" customHeight="1">
      <c r="B721" s="57"/>
      <c r="C721" s="60"/>
      <c r="D721" s="60"/>
      <c r="E721" s="60"/>
      <c r="F721" s="60"/>
      <c r="G721" s="60"/>
      <c r="J721" s="99"/>
      <c r="K721" s="99"/>
      <c r="L721" s="99"/>
      <c r="M721" s="99"/>
      <c r="N721" s="43">
        <f t="shared" si="11"/>
        <v>0</v>
      </c>
    </row>
    <row r="722" spans="2:14" ht="1.5" customHeight="1">
      <c r="B722" s="57"/>
      <c r="C722" s="60"/>
      <c r="D722" s="60"/>
      <c r="E722" s="60"/>
      <c r="F722" s="60"/>
      <c r="G722" s="60"/>
      <c r="J722" s="99"/>
      <c r="K722" s="99"/>
      <c r="L722" s="99"/>
      <c r="M722" s="99"/>
      <c r="N722" s="43">
        <f t="shared" si="11"/>
        <v>0</v>
      </c>
    </row>
    <row r="723" spans="2:14" ht="1.5" customHeight="1">
      <c r="B723" s="57"/>
      <c r="C723" s="60"/>
      <c r="D723" s="60"/>
      <c r="E723" s="60"/>
      <c r="F723" s="60"/>
      <c r="G723" s="60"/>
      <c r="J723" s="99"/>
      <c r="K723" s="99"/>
      <c r="L723" s="99"/>
      <c r="M723" s="99"/>
      <c r="N723" s="43">
        <f t="shared" si="11"/>
        <v>0</v>
      </c>
    </row>
    <row r="724" spans="2:14" ht="1.5" customHeight="1">
      <c r="B724" s="57"/>
      <c r="C724" s="60"/>
      <c r="D724" s="60"/>
      <c r="E724" s="60"/>
      <c r="F724" s="60"/>
      <c r="G724" s="60"/>
      <c r="J724" s="99"/>
      <c r="K724" s="99"/>
      <c r="L724" s="99"/>
      <c r="M724" s="99"/>
      <c r="N724" s="43">
        <f t="shared" si="11"/>
        <v>0</v>
      </c>
    </row>
    <row r="725" spans="2:14" ht="1.5" customHeight="1">
      <c r="B725" s="57"/>
      <c r="C725" s="60"/>
      <c r="D725" s="60"/>
      <c r="E725" s="60"/>
      <c r="F725" s="60"/>
      <c r="G725" s="60"/>
      <c r="J725" s="99"/>
      <c r="K725" s="99"/>
      <c r="L725" s="99"/>
      <c r="M725" s="99"/>
      <c r="N725" s="43">
        <f t="shared" si="11"/>
        <v>0</v>
      </c>
    </row>
    <row r="726" spans="2:14" ht="1.5" customHeight="1">
      <c r="B726" s="57"/>
      <c r="C726" s="60"/>
      <c r="D726" s="60"/>
      <c r="E726" s="60"/>
      <c r="F726" s="60"/>
      <c r="G726" s="60"/>
      <c r="J726" s="99"/>
      <c r="K726" s="99"/>
      <c r="L726" s="99"/>
      <c r="M726" s="99"/>
      <c r="N726" s="43">
        <f t="shared" si="11"/>
        <v>0</v>
      </c>
    </row>
    <row r="727" spans="2:14" ht="1.5" customHeight="1">
      <c r="B727" s="57"/>
      <c r="C727" s="60"/>
      <c r="D727" s="60"/>
      <c r="E727" s="60"/>
      <c r="F727" s="60"/>
      <c r="G727" s="60"/>
      <c r="J727" s="99"/>
      <c r="K727" s="99"/>
      <c r="L727" s="99"/>
      <c r="M727" s="99"/>
      <c r="N727" s="43">
        <f t="shared" si="11"/>
        <v>0</v>
      </c>
    </row>
    <row r="728" spans="2:14" ht="1.5" customHeight="1">
      <c r="B728" s="57"/>
      <c r="C728" s="60"/>
      <c r="D728" s="60"/>
      <c r="E728" s="60"/>
      <c r="F728" s="60"/>
      <c r="G728" s="60"/>
      <c r="J728" s="99"/>
      <c r="K728" s="99"/>
      <c r="L728" s="99"/>
      <c r="M728" s="99"/>
      <c r="N728" s="43">
        <f t="shared" si="11"/>
        <v>0</v>
      </c>
    </row>
    <row r="729" spans="2:14" ht="1.5" customHeight="1">
      <c r="B729" s="57"/>
      <c r="C729" s="60"/>
      <c r="D729" s="60"/>
      <c r="E729" s="60"/>
      <c r="F729" s="60"/>
      <c r="G729" s="60"/>
      <c r="J729" s="99"/>
      <c r="K729" s="99"/>
      <c r="L729" s="99"/>
      <c r="M729" s="99"/>
      <c r="N729" s="43">
        <f t="shared" si="11"/>
        <v>0</v>
      </c>
    </row>
    <row r="730" spans="2:14" ht="1.5" customHeight="1">
      <c r="B730" s="57"/>
      <c r="C730" s="60"/>
      <c r="D730" s="60"/>
      <c r="E730" s="60"/>
      <c r="F730" s="60"/>
      <c r="G730" s="60"/>
      <c r="J730" s="99"/>
      <c r="K730" s="99"/>
      <c r="L730" s="99"/>
      <c r="M730" s="99"/>
      <c r="N730" s="43">
        <f t="shared" si="11"/>
        <v>0</v>
      </c>
    </row>
    <row r="731" spans="2:14" ht="1.5" customHeight="1">
      <c r="B731" s="57"/>
      <c r="C731" s="60"/>
      <c r="D731" s="60"/>
      <c r="E731" s="60"/>
      <c r="F731" s="60"/>
      <c r="G731" s="60"/>
      <c r="J731" s="99"/>
      <c r="K731" s="99"/>
      <c r="L731" s="99"/>
      <c r="M731" s="99"/>
      <c r="N731" s="43">
        <f t="shared" si="11"/>
        <v>0</v>
      </c>
    </row>
    <row r="732" spans="2:14" ht="1.5" customHeight="1">
      <c r="B732" s="57"/>
      <c r="C732" s="60"/>
      <c r="D732" s="60"/>
      <c r="E732" s="60"/>
      <c r="F732" s="60"/>
      <c r="G732" s="60"/>
      <c r="J732" s="99"/>
      <c r="K732" s="99"/>
      <c r="L732" s="99"/>
      <c r="M732" s="99"/>
      <c r="N732" s="43">
        <f t="shared" si="11"/>
        <v>0</v>
      </c>
    </row>
    <row r="733" spans="2:14" ht="1.5" customHeight="1">
      <c r="B733" s="57"/>
      <c r="C733" s="60"/>
      <c r="D733" s="60"/>
      <c r="E733" s="60"/>
      <c r="F733" s="60"/>
      <c r="G733" s="60"/>
      <c r="J733" s="99"/>
      <c r="K733" s="99"/>
      <c r="L733" s="99"/>
      <c r="M733" s="99"/>
      <c r="N733" s="43">
        <f t="shared" si="11"/>
        <v>0</v>
      </c>
    </row>
    <row r="734" spans="2:14" ht="1.5" customHeight="1">
      <c r="B734" s="57"/>
      <c r="C734" s="60"/>
      <c r="D734" s="60"/>
      <c r="E734" s="60"/>
      <c r="F734" s="60"/>
      <c r="G734" s="60"/>
      <c r="J734" s="99"/>
      <c r="K734" s="99"/>
      <c r="L734" s="99"/>
      <c r="M734" s="99"/>
      <c r="N734" s="43">
        <f t="shared" si="11"/>
        <v>0</v>
      </c>
    </row>
    <row r="735" spans="2:14" ht="1.5" customHeight="1">
      <c r="B735" s="57"/>
      <c r="C735" s="60"/>
      <c r="D735" s="60"/>
      <c r="E735" s="60"/>
      <c r="F735" s="60"/>
      <c r="G735" s="60"/>
      <c r="J735" s="99"/>
      <c r="K735" s="99"/>
      <c r="L735" s="99"/>
      <c r="M735" s="99"/>
      <c r="N735" s="43">
        <f t="shared" si="11"/>
        <v>0</v>
      </c>
    </row>
    <row r="736" spans="2:14" ht="1.5" customHeight="1">
      <c r="B736" s="57"/>
      <c r="C736" s="60"/>
      <c r="D736" s="60"/>
      <c r="E736" s="60"/>
      <c r="F736" s="60"/>
      <c r="G736" s="60"/>
      <c r="J736" s="99"/>
      <c r="K736" s="99"/>
      <c r="L736" s="99"/>
      <c r="M736" s="99"/>
      <c r="N736" s="43">
        <f t="shared" si="11"/>
        <v>0</v>
      </c>
    </row>
    <row r="737" spans="2:14" ht="1.5" customHeight="1">
      <c r="B737" s="57"/>
      <c r="C737" s="60"/>
      <c r="D737" s="60"/>
      <c r="E737" s="60"/>
      <c r="F737" s="60"/>
      <c r="G737" s="60"/>
      <c r="J737" s="99"/>
      <c r="K737" s="99"/>
      <c r="L737" s="99"/>
      <c r="M737" s="99"/>
      <c r="N737" s="43">
        <f t="shared" si="11"/>
        <v>0</v>
      </c>
    </row>
    <row r="738" spans="2:14" ht="1.5" customHeight="1">
      <c r="B738" s="57"/>
      <c r="C738" s="60"/>
      <c r="D738" s="60"/>
      <c r="E738" s="60"/>
      <c r="F738" s="60"/>
      <c r="G738" s="60"/>
      <c r="J738" s="99"/>
      <c r="K738" s="99"/>
      <c r="L738" s="99"/>
      <c r="M738" s="99"/>
      <c r="N738" s="43">
        <f t="shared" si="11"/>
        <v>0</v>
      </c>
    </row>
    <row r="739" spans="2:14" ht="1.5" customHeight="1">
      <c r="B739" s="57"/>
      <c r="C739" s="60"/>
      <c r="D739" s="60"/>
      <c r="E739" s="60"/>
      <c r="F739" s="60"/>
      <c r="G739" s="60"/>
      <c r="J739" s="99"/>
      <c r="K739" s="99"/>
      <c r="L739" s="99"/>
      <c r="M739" s="99"/>
      <c r="N739" s="43">
        <f t="shared" si="11"/>
        <v>0</v>
      </c>
    </row>
    <row r="740" spans="2:14" ht="1.5" customHeight="1">
      <c r="B740" s="57"/>
      <c r="C740" s="60"/>
      <c r="D740" s="60"/>
      <c r="E740" s="60"/>
      <c r="F740" s="60"/>
      <c r="G740" s="60"/>
      <c r="J740" s="99"/>
      <c r="K740" s="99"/>
      <c r="L740" s="99"/>
      <c r="M740" s="99"/>
      <c r="N740" s="43">
        <f t="shared" si="11"/>
        <v>0</v>
      </c>
    </row>
    <row r="741" spans="2:14" ht="1.5" customHeight="1">
      <c r="B741" s="57"/>
      <c r="C741" s="60"/>
      <c r="D741" s="60"/>
      <c r="E741" s="60"/>
      <c r="F741" s="60"/>
      <c r="G741" s="60"/>
      <c r="J741" s="99"/>
      <c r="K741" s="99"/>
      <c r="L741" s="99"/>
      <c r="M741" s="99"/>
      <c r="N741" s="43">
        <f t="shared" si="11"/>
        <v>0</v>
      </c>
    </row>
    <row r="742" spans="2:14" ht="1.5" customHeight="1">
      <c r="B742" s="57"/>
      <c r="C742" s="60"/>
      <c r="D742" s="60"/>
      <c r="E742" s="60"/>
      <c r="F742" s="60"/>
      <c r="G742" s="60"/>
      <c r="J742" s="99"/>
      <c r="K742" s="99"/>
      <c r="L742" s="99"/>
      <c r="M742" s="99"/>
      <c r="N742" s="43">
        <f t="shared" si="11"/>
        <v>0</v>
      </c>
    </row>
    <row r="743" spans="2:14" ht="1.5" customHeight="1">
      <c r="B743" s="57"/>
      <c r="C743" s="60"/>
      <c r="D743" s="60"/>
      <c r="E743" s="60"/>
      <c r="F743" s="60"/>
      <c r="G743" s="60"/>
      <c r="J743" s="99"/>
      <c r="K743" s="99"/>
      <c r="L743" s="99"/>
      <c r="M743" s="99"/>
      <c r="N743" s="43">
        <f t="shared" si="11"/>
        <v>0</v>
      </c>
    </row>
    <row r="744" spans="2:14" ht="1.5" customHeight="1">
      <c r="B744" s="57"/>
      <c r="C744" s="60"/>
      <c r="D744" s="60"/>
      <c r="E744" s="60"/>
      <c r="F744" s="60"/>
      <c r="G744" s="60"/>
      <c r="J744" s="99"/>
      <c r="K744" s="99"/>
      <c r="L744" s="99"/>
      <c r="M744" s="99"/>
      <c r="N744" s="43">
        <f t="shared" si="11"/>
        <v>0</v>
      </c>
    </row>
    <row r="745" spans="2:14" ht="1.5" customHeight="1">
      <c r="B745" s="57"/>
      <c r="C745" s="60"/>
      <c r="D745" s="60"/>
      <c r="E745" s="60"/>
      <c r="F745" s="60"/>
      <c r="G745" s="60"/>
      <c r="J745" s="99"/>
      <c r="K745" s="99"/>
      <c r="L745" s="99"/>
      <c r="M745" s="99"/>
      <c r="N745" s="43">
        <f t="shared" si="11"/>
        <v>0</v>
      </c>
    </row>
    <row r="746" spans="2:14" ht="1.5" customHeight="1">
      <c r="B746" s="57"/>
      <c r="C746" s="60"/>
      <c r="D746" s="60"/>
      <c r="E746" s="60"/>
      <c r="F746" s="60"/>
      <c r="G746" s="60"/>
      <c r="J746" s="99"/>
      <c r="K746" s="99"/>
      <c r="L746" s="99"/>
      <c r="M746" s="99"/>
      <c r="N746" s="43">
        <f t="shared" si="11"/>
        <v>0</v>
      </c>
    </row>
    <row r="747" spans="2:14" ht="1.5" customHeight="1">
      <c r="B747" s="57"/>
      <c r="C747" s="60"/>
      <c r="D747" s="60"/>
      <c r="E747" s="60"/>
      <c r="F747" s="60"/>
      <c r="G747" s="60"/>
      <c r="J747" s="99"/>
      <c r="K747" s="99"/>
      <c r="L747" s="99"/>
      <c r="M747" s="99"/>
      <c r="N747" s="43">
        <f t="shared" si="11"/>
        <v>0</v>
      </c>
    </row>
    <row r="748" spans="2:14" ht="1.5" customHeight="1">
      <c r="B748" s="57"/>
      <c r="C748" s="60"/>
      <c r="D748" s="60"/>
      <c r="E748" s="60"/>
      <c r="F748" s="60"/>
      <c r="G748" s="60"/>
      <c r="J748" s="99"/>
      <c r="K748" s="99"/>
      <c r="L748" s="99"/>
      <c r="M748" s="99"/>
      <c r="N748" s="43">
        <f t="shared" si="11"/>
        <v>0</v>
      </c>
    </row>
    <row r="749" spans="2:14" ht="1.5" customHeight="1">
      <c r="B749" s="57"/>
      <c r="C749" s="60"/>
      <c r="D749" s="60"/>
      <c r="E749" s="60"/>
      <c r="F749" s="60"/>
      <c r="G749" s="60"/>
      <c r="J749" s="99"/>
      <c r="K749" s="99"/>
      <c r="L749" s="99"/>
      <c r="M749" s="99"/>
      <c r="N749" s="43">
        <f t="shared" si="11"/>
        <v>0</v>
      </c>
    </row>
    <row r="750" spans="2:14" ht="1.5" customHeight="1">
      <c r="B750" s="57"/>
      <c r="C750" s="60"/>
      <c r="D750" s="60"/>
      <c r="E750" s="60"/>
      <c r="F750" s="60"/>
      <c r="G750" s="60"/>
      <c r="J750" s="99"/>
      <c r="K750" s="99"/>
      <c r="L750" s="99"/>
      <c r="M750" s="99"/>
      <c r="N750" s="43">
        <f t="shared" si="11"/>
        <v>0</v>
      </c>
    </row>
    <row r="751" spans="2:14" ht="1.5" customHeight="1">
      <c r="B751" s="57"/>
      <c r="C751" s="60"/>
      <c r="D751" s="60"/>
      <c r="E751" s="60"/>
      <c r="F751" s="60"/>
      <c r="G751" s="60"/>
      <c r="J751" s="99"/>
      <c r="K751" s="99"/>
      <c r="L751" s="99"/>
      <c r="M751" s="99"/>
      <c r="N751" s="43">
        <f t="shared" si="11"/>
        <v>0</v>
      </c>
    </row>
    <row r="752" spans="2:14" ht="1.5" customHeight="1">
      <c r="B752" s="57"/>
      <c r="C752" s="60"/>
      <c r="D752" s="60"/>
      <c r="E752" s="60"/>
      <c r="F752" s="60"/>
      <c r="G752" s="60"/>
      <c r="J752" s="99"/>
      <c r="K752" s="99"/>
      <c r="L752" s="99"/>
      <c r="M752" s="99"/>
      <c r="N752" s="43">
        <f t="shared" si="11"/>
        <v>0</v>
      </c>
    </row>
    <row r="753" spans="2:14" ht="1.5" customHeight="1">
      <c r="B753" s="57"/>
      <c r="C753" s="60"/>
      <c r="D753" s="60"/>
      <c r="E753" s="60"/>
      <c r="F753" s="60"/>
      <c r="G753" s="60"/>
      <c r="J753" s="99"/>
      <c r="K753" s="99"/>
      <c r="L753" s="99"/>
      <c r="M753" s="99"/>
      <c r="N753" s="43">
        <f t="shared" si="11"/>
        <v>0</v>
      </c>
    </row>
    <row r="754" spans="2:14" ht="1.5" customHeight="1">
      <c r="B754" s="57"/>
      <c r="C754" s="60"/>
      <c r="D754" s="60"/>
      <c r="E754" s="60"/>
      <c r="F754" s="60"/>
      <c r="G754" s="60"/>
      <c r="J754" s="99"/>
      <c r="K754" s="99"/>
      <c r="L754" s="99"/>
      <c r="M754" s="99"/>
      <c r="N754" s="43">
        <f t="shared" si="11"/>
        <v>0</v>
      </c>
    </row>
    <row r="755" spans="2:14" ht="1.5" customHeight="1">
      <c r="B755" s="57"/>
      <c r="C755" s="60"/>
      <c r="D755" s="60"/>
      <c r="E755" s="60"/>
      <c r="F755" s="60"/>
      <c r="G755" s="60"/>
      <c r="J755" s="99"/>
      <c r="K755" s="99"/>
      <c r="L755" s="99"/>
      <c r="M755" s="99"/>
      <c r="N755" s="43">
        <f t="shared" si="11"/>
        <v>0</v>
      </c>
    </row>
    <row r="756" spans="2:14" ht="1.5" customHeight="1">
      <c r="B756" s="57"/>
      <c r="C756" s="60"/>
      <c r="D756" s="60"/>
      <c r="E756" s="60"/>
      <c r="F756" s="60"/>
      <c r="G756" s="60"/>
      <c r="J756" s="99"/>
      <c r="K756" s="99"/>
      <c r="L756" s="99"/>
      <c r="M756" s="99"/>
      <c r="N756" s="43">
        <f t="shared" si="11"/>
        <v>0</v>
      </c>
    </row>
    <row r="757" spans="2:14" ht="1.5" customHeight="1">
      <c r="B757" s="57"/>
      <c r="C757" s="60"/>
      <c r="D757" s="60"/>
      <c r="E757" s="60"/>
      <c r="F757" s="60"/>
      <c r="G757" s="60"/>
      <c r="J757" s="99"/>
      <c r="K757" s="99"/>
      <c r="L757" s="99"/>
      <c r="M757" s="99"/>
      <c r="N757" s="43">
        <f t="shared" si="11"/>
        <v>0</v>
      </c>
    </row>
    <row r="758" spans="2:14" ht="1.5" customHeight="1">
      <c r="B758" s="57"/>
      <c r="C758" s="60"/>
      <c r="D758" s="60"/>
      <c r="E758" s="60"/>
      <c r="F758" s="60"/>
      <c r="G758" s="60"/>
      <c r="J758" s="99"/>
      <c r="K758" s="99"/>
      <c r="L758" s="99"/>
      <c r="M758" s="99"/>
      <c r="N758" s="43">
        <f t="shared" si="11"/>
        <v>0</v>
      </c>
    </row>
    <row r="759" spans="2:14" ht="1.5" customHeight="1">
      <c r="B759" s="57"/>
      <c r="C759" s="60"/>
      <c r="D759" s="60"/>
      <c r="E759" s="60"/>
      <c r="F759" s="60"/>
      <c r="G759" s="60"/>
      <c r="J759" s="99"/>
      <c r="K759" s="99"/>
      <c r="L759" s="99"/>
      <c r="M759" s="99"/>
      <c r="N759" s="43">
        <f t="shared" si="11"/>
        <v>0</v>
      </c>
    </row>
    <row r="760" spans="2:14" ht="1.5" customHeight="1">
      <c r="B760" s="57"/>
      <c r="C760" s="60"/>
      <c r="D760" s="60"/>
      <c r="E760" s="60"/>
      <c r="F760" s="60"/>
      <c r="G760" s="60"/>
      <c r="J760" s="99"/>
      <c r="K760" s="99"/>
      <c r="L760" s="99"/>
      <c r="M760" s="99"/>
      <c r="N760" s="43">
        <f t="shared" si="11"/>
        <v>0</v>
      </c>
    </row>
    <row r="761" spans="2:14" ht="1.5" customHeight="1">
      <c r="B761" s="57"/>
      <c r="C761" s="60"/>
      <c r="D761" s="60"/>
      <c r="E761" s="60"/>
      <c r="F761" s="60"/>
      <c r="G761" s="60"/>
      <c r="J761" s="99"/>
      <c r="K761" s="99"/>
      <c r="L761" s="99"/>
      <c r="M761" s="99"/>
      <c r="N761" s="43">
        <f t="shared" si="11"/>
        <v>0</v>
      </c>
    </row>
    <row r="762" spans="2:14" ht="1.5" customHeight="1">
      <c r="B762" s="57"/>
      <c r="C762" s="60"/>
      <c r="D762" s="60"/>
      <c r="E762" s="60"/>
      <c r="F762" s="60"/>
      <c r="G762" s="60"/>
      <c r="J762" s="99"/>
      <c r="K762" s="99"/>
      <c r="L762" s="99"/>
      <c r="M762" s="99"/>
      <c r="N762" s="43">
        <f t="shared" si="11"/>
        <v>0</v>
      </c>
    </row>
    <row r="763" spans="2:14" ht="1.5" customHeight="1">
      <c r="B763" s="57"/>
      <c r="C763" s="60"/>
      <c r="D763" s="60"/>
      <c r="E763" s="60"/>
      <c r="F763" s="60"/>
      <c r="G763" s="60"/>
      <c r="J763" s="99"/>
      <c r="K763" s="99"/>
      <c r="L763" s="99"/>
      <c r="M763" s="99"/>
      <c r="N763" s="43">
        <f t="shared" si="11"/>
        <v>0</v>
      </c>
    </row>
    <row r="764" spans="2:14" ht="1.5" customHeight="1">
      <c r="B764" s="57"/>
      <c r="C764" s="60"/>
      <c r="D764" s="60"/>
      <c r="E764" s="60"/>
      <c r="F764" s="60"/>
      <c r="G764" s="60"/>
      <c r="J764" s="99"/>
      <c r="K764" s="99"/>
      <c r="L764" s="99"/>
      <c r="M764" s="99"/>
      <c r="N764" s="43">
        <f t="shared" si="11"/>
        <v>0</v>
      </c>
    </row>
    <row r="765" spans="2:14" ht="1.5" customHeight="1">
      <c r="B765" s="57"/>
      <c r="C765" s="60"/>
      <c r="D765" s="60"/>
      <c r="E765" s="60"/>
      <c r="F765" s="60"/>
      <c r="G765" s="60"/>
      <c r="J765" s="99"/>
      <c r="K765" s="99"/>
      <c r="L765" s="99"/>
      <c r="M765" s="99"/>
      <c r="N765" s="43">
        <f t="shared" si="11"/>
        <v>0</v>
      </c>
    </row>
    <row r="766" spans="2:14" ht="1.5" customHeight="1">
      <c r="B766" s="57"/>
      <c r="C766" s="60"/>
      <c r="D766" s="60"/>
      <c r="E766" s="60"/>
      <c r="F766" s="60"/>
      <c r="G766" s="60"/>
      <c r="J766" s="99"/>
      <c r="K766" s="99"/>
      <c r="L766" s="99"/>
      <c r="M766" s="99"/>
      <c r="N766" s="43">
        <f t="shared" si="11"/>
        <v>0</v>
      </c>
    </row>
    <row r="767" spans="2:14" ht="1.5" customHeight="1">
      <c r="B767" s="57"/>
      <c r="C767" s="60"/>
      <c r="D767" s="60"/>
      <c r="E767" s="60"/>
      <c r="F767" s="60"/>
      <c r="G767" s="60"/>
      <c r="J767" s="99"/>
      <c r="K767" s="99"/>
      <c r="L767" s="99"/>
      <c r="M767" s="99"/>
      <c r="N767" s="43">
        <f t="shared" si="11"/>
        <v>0</v>
      </c>
    </row>
    <row r="768" spans="2:14" ht="1.5" customHeight="1">
      <c r="B768" s="57"/>
      <c r="C768" s="60"/>
      <c r="D768" s="60"/>
      <c r="E768" s="60"/>
      <c r="F768" s="60"/>
      <c r="G768" s="60"/>
      <c r="J768" s="99"/>
      <c r="K768" s="99"/>
      <c r="L768" s="99"/>
      <c r="M768" s="99"/>
      <c r="N768" s="43">
        <f t="shared" si="11"/>
        <v>0</v>
      </c>
    </row>
    <row r="769" spans="2:14" ht="1.5" customHeight="1">
      <c r="B769" s="57"/>
      <c r="C769" s="60"/>
      <c r="D769" s="60"/>
      <c r="E769" s="60"/>
      <c r="F769" s="60"/>
      <c r="G769" s="60"/>
      <c r="J769" s="99"/>
      <c r="K769" s="99"/>
      <c r="L769" s="99"/>
      <c r="M769" s="99"/>
      <c r="N769" s="43">
        <f t="shared" si="11"/>
        <v>0</v>
      </c>
    </row>
    <row r="770" spans="2:14" ht="1.5" customHeight="1">
      <c r="B770" s="57"/>
      <c r="C770" s="60"/>
      <c r="D770" s="60"/>
      <c r="E770" s="60"/>
      <c r="F770" s="60"/>
      <c r="G770" s="60"/>
      <c r="J770" s="99"/>
      <c r="K770" s="99"/>
      <c r="L770" s="99"/>
      <c r="M770" s="99"/>
      <c r="N770" s="43">
        <f t="shared" si="11"/>
        <v>0</v>
      </c>
    </row>
    <row r="771" spans="2:14" ht="1.5" customHeight="1">
      <c r="B771" s="57"/>
      <c r="C771" s="60"/>
      <c r="D771" s="60"/>
      <c r="E771" s="60"/>
      <c r="F771" s="60"/>
      <c r="G771" s="60"/>
      <c r="J771" s="99"/>
      <c r="K771" s="99"/>
      <c r="L771" s="99"/>
      <c r="M771" s="99"/>
      <c r="N771" s="43">
        <f t="shared" si="11"/>
        <v>0</v>
      </c>
    </row>
    <row r="772" spans="2:14" ht="1.5" customHeight="1">
      <c r="B772" s="57"/>
      <c r="C772" s="60"/>
      <c r="D772" s="60"/>
      <c r="E772" s="60"/>
      <c r="F772" s="60"/>
      <c r="G772" s="60"/>
      <c r="J772" s="99"/>
      <c r="K772" s="99"/>
      <c r="L772" s="99"/>
      <c r="M772" s="99"/>
      <c r="N772" s="43">
        <f t="shared" si="11"/>
        <v>0</v>
      </c>
    </row>
    <row r="773" spans="2:14" ht="1.5" customHeight="1">
      <c r="B773" s="57"/>
      <c r="C773" s="60"/>
      <c r="D773" s="60"/>
      <c r="E773" s="60"/>
      <c r="F773" s="60"/>
      <c r="G773" s="60"/>
      <c r="J773" s="99"/>
      <c r="K773" s="99"/>
      <c r="L773" s="99"/>
      <c r="M773" s="99"/>
      <c r="N773" s="43">
        <f t="shared" si="11"/>
        <v>0</v>
      </c>
    </row>
    <row r="774" spans="2:14" ht="1.5" customHeight="1">
      <c r="B774" s="57"/>
      <c r="C774" s="60"/>
      <c r="D774" s="60"/>
      <c r="E774" s="60"/>
      <c r="F774" s="60"/>
      <c r="G774" s="60"/>
      <c r="J774" s="99"/>
      <c r="K774" s="99"/>
      <c r="L774" s="99"/>
      <c r="M774" s="99"/>
      <c r="N774" s="43">
        <f t="shared" si="11"/>
        <v>0</v>
      </c>
    </row>
    <row r="775" spans="2:14" ht="1.5" customHeight="1">
      <c r="B775" s="57"/>
      <c r="C775" s="60"/>
      <c r="D775" s="60"/>
      <c r="E775" s="60"/>
      <c r="F775" s="60"/>
      <c r="G775" s="60"/>
      <c r="J775" s="99"/>
      <c r="K775" s="99"/>
      <c r="L775" s="99"/>
      <c r="M775" s="99"/>
      <c r="N775" s="43">
        <f t="shared" si="11"/>
        <v>0</v>
      </c>
    </row>
    <row r="776" spans="2:14" ht="1.5" customHeight="1">
      <c r="B776" s="57"/>
      <c r="C776" s="60"/>
      <c r="D776" s="60"/>
      <c r="E776" s="60"/>
      <c r="F776" s="60"/>
      <c r="G776" s="60"/>
      <c r="J776" s="99"/>
      <c r="K776" s="99"/>
      <c r="L776" s="99"/>
      <c r="M776" s="99"/>
      <c r="N776" s="43">
        <f t="shared" si="11"/>
        <v>0</v>
      </c>
    </row>
    <row r="777" spans="2:14" ht="1.5" customHeight="1">
      <c r="B777" s="57"/>
      <c r="C777" s="60"/>
      <c r="D777" s="60"/>
      <c r="E777" s="60"/>
      <c r="F777" s="60"/>
      <c r="G777" s="60"/>
      <c r="J777" s="99"/>
      <c r="K777" s="99"/>
      <c r="L777" s="99"/>
      <c r="M777" s="99"/>
      <c r="N777" s="43">
        <f t="shared" si="11"/>
        <v>0</v>
      </c>
    </row>
    <row r="778" spans="2:14" ht="1.5" customHeight="1">
      <c r="B778" s="57"/>
      <c r="C778" s="60"/>
      <c r="D778" s="60"/>
      <c r="E778" s="60"/>
      <c r="F778" s="60"/>
      <c r="G778" s="60"/>
      <c r="J778" s="99"/>
      <c r="K778" s="99"/>
      <c r="L778" s="99"/>
      <c r="M778" s="99"/>
      <c r="N778" s="43">
        <f t="shared" si="11"/>
        <v>0</v>
      </c>
    </row>
    <row r="779" spans="2:14" ht="1.5" customHeight="1">
      <c r="B779" s="57"/>
      <c r="C779" s="60"/>
      <c r="D779" s="60"/>
      <c r="E779" s="60"/>
      <c r="F779" s="60"/>
      <c r="G779" s="60"/>
      <c r="J779" s="99"/>
      <c r="K779" s="99"/>
      <c r="L779" s="99"/>
      <c r="M779" s="99"/>
      <c r="N779" s="43">
        <f t="shared" ref="N779:N811" si="12">IF($L$4=$C$10,C779,IF(D779="","",B779))</f>
        <v>0</v>
      </c>
    </row>
    <row r="780" spans="2:14" ht="1.5" customHeight="1">
      <c r="B780" s="57"/>
      <c r="C780" s="60"/>
      <c r="D780" s="60"/>
      <c r="E780" s="60"/>
      <c r="F780" s="60"/>
      <c r="G780" s="60"/>
      <c r="J780" s="99"/>
      <c r="K780" s="99"/>
      <c r="L780" s="99"/>
      <c r="M780" s="99"/>
      <c r="N780" s="43">
        <f t="shared" si="12"/>
        <v>0</v>
      </c>
    </row>
    <row r="781" spans="2:14" ht="1.5" customHeight="1">
      <c r="B781" s="57"/>
      <c r="C781" s="60"/>
      <c r="D781" s="60"/>
      <c r="E781" s="60"/>
      <c r="F781" s="60"/>
      <c r="G781" s="60"/>
      <c r="J781" s="99"/>
      <c r="K781" s="99"/>
      <c r="L781" s="99"/>
      <c r="M781" s="99"/>
      <c r="N781" s="43">
        <f t="shared" si="12"/>
        <v>0</v>
      </c>
    </row>
    <row r="782" spans="2:14" ht="1.5" customHeight="1">
      <c r="B782" s="57"/>
      <c r="C782" s="60"/>
      <c r="D782" s="60"/>
      <c r="E782" s="60"/>
      <c r="F782" s="60"/>
      <c r="G782" s="60"/>
      <c r="J782" s="99"/>
      <c r="K782" s="99"/>
      <c r="L782" s="99"/>
      <c r="M782" s="99"/>
      <c r="N782" s="43">
        <f t="shared" si="12"/>
        <v>0</v>
      </c>
    </row>
    <row r="783" spans="2:14" ht="1.5" customHeight="1">
      <c r="B783" s="57"/>
      <c r="C783" s="60"/>
      <c r="D783" s="60"/>
      <c r="E783" s="60"/>
      <c r="F783" s="60"/>
      <c r="G783" s="60"/>
      <c r="J783" s="99"/>
      <c r="K783" s="99"/>
      <c r="L783" s="99"/>
      <c r="M783" s="99"/>
      <c r="N783" s="43">
        <f t="shared" si="12"/>
        <v>0</v>
      </c>
    </row>
    <row r="784" spans="2:14" ht="1.5" customHeight="1">
      <c r="B784" s="57"/>
      <c r="C784" s="60"/>
      <c r="D784" s="60"/>
      <c r="E784" s="60"/>
      <c r="F784" s="60"/>
      <c r="G784" s="60"/>
      <c r="J784" s="99"/>
      <c r="K784" s="99"/>
      <c r="L784" s="99"/>
      <c r="M784" s="99"/>
      <c r="N784" s="43">
        <f t="shared" si="12"/>
        <v>0</v>
      </c>
    </row>
    <row r="785" spans="2:14" ht="1.5" customHeight="1">
      <c r="B785" s="57"/>
      <c r="C785" s="60"/>
      <c r="D785" s="60"/>
      <c r="E785" s="60"/>
      <c r="F785" s="60"/>
      <c r="G785" s="60"/>
      <c r="J785" s="99"/>
      <c r="K785" s="99"/>
      <c r="L785" s="99"/>
      <c r="M785" s="99"/>
      <c r="N785" s="43">
        <f t="shared" si="12"/>
        <v>0</v>
      </c>
    </row>
    <row r="786" spans="2:14" ht="1.5" customHeight="1">
      <c r="B786" s="57"/>
      <c r="C786" s="60"/>
      <c r="D786" s="60"/>
      <c r="E786" s="60"/>
      <c r="F786" s="60"/>
      <c r="G786" s="60"/>
      <c r="J786" s="99"/>
      <c r="K786" s="99"/>
      <c r="L786" s="99"/>
      <c r="M786" s="99"/>
      <c r="N786" s="43">
        <f t="shared" si="12"/>
        <v>0</v>
      </c>
    </row>
    <row r="787" spans="2:14" ht="1.5" customHeight="1">
      <c r="B787" s="57"/>
      <c r="C787" s="60"/>
      <c r="D787" s="60"/>
      <c r="E787" s="60"/>
      <c r="F787" s="60"/>
      <c r="G787" s="60"/>
      <c r="J787" s="99"/>
      <c r="K787" s="99"/>
      <c r="L787" s="99"/>
      <c r="M787" s="99"/>
      <c r="N787" s="43">
        <f t="shared" si="12"/>
        <v>0</v>
      </c>
    </row>
    <row r="788" spans="2:14" ht="1.5" customHeight="1">
      <c r="B788" s="57"/>
      <c r="C788" s="60"/>
      <c r="D788" s="60"/>
      <c r="E788" s="60"/>
      <c r="F788" s="60"/>
      <c r="G788" s="60"/>
      <c r="J788" s="99"/>
      <c r="K788" s="99"/>
      <c r="L788" s="99"/>
      <c r="M788" s="99"/>
      <c r="N788" s="43">
        <f t="shared" si="12"/>
        <v>0</v>
      </c>
    </row>
    <row r="789" spans="2:14" ht="1.5" customHeight="1">
      <c r="B789" s="57"/>
      <c r="C789" s="60"/>
      <c r="D789" s="60"/>
      <c r="E789" s="60"/>
      <c r="F789" s="60"/>
      <c r="G789" s="60"/>
      <c r="J789" s="99"/>
      <c r="K789" s="99"/>
      <c r="L789" s="99"/>
      <c r="M789" s="99"/>
      <c r="N789" s="43">
        <f t="shared" si="12"/>
        <v>0</v>
      </c>
    </row>
    <row r="790" spans="2:14" ht="1.5" customHeight="1">
      <c r="B790" s="57"/>
      <c r="C790" s="60"/>
      <c r="D790" s="60"/>
      <c r="E790" s="60"/>
      <c r="F790" s="60"/>
      <c r="G790" s="60"/>
      <c r="J790" s="99"/>
      <c r="K790" s="99"/>
      <c r="L790" s="99"/>
      <c r="M790" s="99"/>
      <c r="N790" s="43">
        <f t="shared" si="12"/>
        <v>0</v>
      </c>
    </row>
    <row r="791" spans="2:14" ht="1.5" customHeight="1">
      <c r="B791" s="57"/>
      <c r="C791" s="60"/>
      <c r="D791" s="60"/>
      <c r="E791" s="60"/>
      <c r="F791" s="60"/>
      <c r="G791" s="60"/>
      <c r="J791" s="99"/>
      <c r="K791" s="99"/>
      <c r="L791" s="99"/>
      <c r="M791" s="99"/>
      <c r="N791" s="43">
        <f t="shared" si="12"/>
        <v>0</v>
      </c>
    </row>
    <row r="792" spans="2:14" ht="1.5" customHeight="1">
      <c r="B792" s="57"/>
      <c r="C792" s="60"/>
      <c r="D792" s="60"/>
      <c r="E792" s="60"/>
      <c r="F792" s="60"/>
      <c r="G792" s="60"/>
      <c r="J792" s="99"/>
      <c r="K792" s="99"/>
      <c r="L792" s="99"/>
      <c r="M792" s="99"/>
      <c r="N792" s="43">
        <f t="shared" si="12"/>
        <v>0</v>
      </c>
    </row>
    <row r="793" spans="2:14" ht="1.5" customHeight="1">
      <c r="B793" s="57"/>
      <c r="C793" s="60"/>
      <c r="D793" s="60"/>
      <c r="E793" s="60"/>
      <c r="F793" s="60"/>
      <c r="G793" s="60"/>
      <c r="J793" s="99"/>
      <c r="K793" s="99"/>
      <c r="L793" s="99"/>
      <c r="M793" s="99"/>
      <c r="N793" s="43">
        <f t="shared" si="12"/>
        <v>0</v>
      </c>
    </row>
    <row r="794" spans="2:14" ht="1.5" customHeight="1">
      <c r="B794" s="57"/>
      <c r="C794" s="60"/>
      <c r="D794" s="60"/>
      <c r="E794" s="60"/>
      <c r="F794" s="60"/>
      <c r="G794" s="60"/>
      <c r="J794" s="99"/>
      <c r="K794" s="99"/>
      <c r="L794" s="99"/>
      <c r="M794" s="99"/>
      <c r="N794" s="43">
        <f t="shared" si="12"/>
        <v>0</v>
      </c>
    </row>
    <row r="795" spans="2:14" ht="1.5" customHeight="1">
      <c r="B795" s="57"/>
      <c r="C795" s="60"/>
      <c r="D795" s="60"/>
      <c r="E795" s="60"/>
      <c r="F795" s="60"/>
      <c r="G795" s="60"/>
      <c r="J795" s="99"/>
      <c r="K795" s="99"/>
      <c r="L795" s="99"/>
      <c r="M795" s="99"/>
      <c r="N795" s="43">
        <f t="shared" si="12"/>
        <v>0</v>
      </c>
    </row>
    <row r="796" spans="2:14" ht="1.5" customHeight="1">
      <c r="B796" s="57"/>
      <c r="C796" s="60"/>
      <c r="D796" s="60"/>
      <c r="E796" s="60"/>
      <c r="F796" s="60"/>
      <c r="G796" s="60"/>
      <c r="J796" s="99"/>
      <c r="K796" s="99"/>
      <c r="L796" s="99"/>
      <c r="M796" s="99"/>
      <c r="N796" s="43">
        <f t="shared" si="12"/>
        <v>0</v>
      </c>
    </row>
    <row r="797" spans="2:14" ht="1.5" customHeight="1">
      <c r="B797" s="57"/>
      <c r="C797" s="60"/>
      <c r="D797" s="60"/>
      <c r="E797" s="60"/>
      <c r="F797" s="60"/>
      <c r="G797" s="60"/>
      <c r="J797" s="99"/>
      <c r="K797" s="99"/>
      <c r="L797" s="99"/>
      <c r="M797" s="99"/>
      <c r="N797" s="43">
        <f t="shared" si="12"/>
        <v>0</v>
      </c>
    </row>
    <row r="798" spans="2:14" ht="1.5" customHeight="1">
      <c r="B798" s="57"/>
      <c r="C798" s="60"/>
      <c r="D798" s="60"/>
      <c r="E798" s="60"/>
      <c r="F798" s="60"/>
      <c r="G798" s="60"/>
      <c r="J798" s="99"/>
      <c r="K798" s="99"/>
      <c r="L798" s="99"/>
      <c r="M798" s="99"/>
      <c r="N798" s="43">
        <f t="shared" si="12"/>
        <v>0</v>
      </c>
    </row>
    <row r="799" spans="2:14" ht="1.5" customHeight="1">
      <c r="B799" s="57"/>
      <c r="C799" s="60"/>
      <c r="D799" s="60"/>
      <c r="E799" s="60"/>
      <c r="F799" s="60"/>
      <c r="G799" s="60"/>
      <c r="J799" s="99"/>
      <c r="K799" s="99"/>
      <c r="L799" s="99"/>
      <c r="M799" s="99"/>
      <c r="N799" s="43">
        <f t="shared" si="12"/>
        <v>0</v>
      </c>
    </row>
    <row r="800" spans="2:14" ht="1.5" customHeight="1">
      <c r="B800" s="57"/>
      <c r="C800" s="60"/>
      <c r="D800" s="60"/>
      <c r="E800" s="60"/>
      <c r="F800" s="60"/>
      <c r="G800" s="60"/>
      <c r="J800" s="99"/>
      <c r="K800" s="99"/>
      <c r="L800" s="99"/>
      <c r="M800" s="99"/>
      <c r="N800" s="43">
        <f t="shared" si="12"/>
        <v>0</v>
      </c>
    </row>
    <row r="801" spans="2:14" ht="1.5" customHeight="1">
      <c r="B801" s="57"/>
      <c r="C801" s="60"/>
      <c r="D801" s="60"/>
      <c r="E801" s="60"/>
      <c r="F801" s="60"/>
      <c r="G801" s="60"/>
      <c r="J801" s="99"/>
      <c r="K801" s="99"/>
      <c r="L801" s="99"/>
      <c r="M801" s="99"/>
      <c r="N801" s="43">
        <f t="shared" si="12"/>
        <v>0</v>
      </c>
    </row>
    <row r="802" spans="2:14" ht="1.5" customHeight="1">
      <c r="B802" s="57"/>
      <c r="C802" s="60"/>
      <c r="D802" s="60"/>
      <c r="E802" s="60"/>
      <c r="F802" s="60"/>
      <c r="G802" s="60"/>
      <c r="J802" s="99"/>
      <c r="K802" s="99"/>
      <c r="L802" s="99"/>
      <c r="M802" s="99"/>
      <c r="N802" s="43">
        <f t="shared" si="12"/>
        <v>0</v>
      </c>
    </row>
    <row r="803" spans="2:14" ht="1.5" customHeight="1">
      <c r="B803" s="57"/>
      <c r="C803" s="60"/>
      <c r="D803" s="60"/>
      <c r="E803" s="60"/>
      <c r="F803" s="60"/>
      <c r="G803" s="60"/>
      <c r="J803" s="99"/>
      <c r="K803" s="99"/>
      <c r="L803" s="99"/>
      <c r="M803" s="99"/>
      <c r="N803" s="43">
        <f t="shared" si="12"/>
        <v>0</v>
      </c>
    </row>
    <row r="804" spans="2:14" ht="1.5" customHeight="1">
      <c r="B804" s="57"/>
      <c r="C804" s="60"/>
      <c r="D804" s="60"/>
      <c r="E804" s="60"/>
      <c r="F804" s="60"/>
      <c r="G804" s="60"/>
      <c r="J804" s="99"/>
      <c r="K804" s="99"/>
      <c r="L804" s="99"/>
      <c r="M804" s="99"/>
      <c r="N804" s="43">
        <f t="shared" si="12"/>
        <v>0</v>
      </c>
    </row>
    <row r="805" spans="2:14" ht="1.5" customHeight="1">
      <c r="B805" s="57"/>
      <c r="C805" s="60"/>
      <c r="D805" s="60"/>
      <c r="E805" s="60"/>
      <c r="F805" s="60"/>
      <c r="G805" s="60"/>
      <c r="J805" s="99"/>
      <c r="K805" s="99"/>
      <c r="L805" s="99"/>
      <c r="M805" s="99"/>
      <c r="N805" s="43">
        <f t="shared" si="12"/>
        <v>0</v>
      </c>
    </row>
    <row r="806" spans="2:14" ht="1.5" customHeight="1">
      <c r="B806" s="57"/>
      <c r="C806" s="60"/>
      <c r="D806" s="60"/>
      <c r="E806" s="60"/>
      <c r="F806" s="60"/>
      <c r="G806" s="60"/>
      <c r="J806" s="99"/>
      <c r="K806" s="99"/>
      <c r="L806" s="99"/>
      <c r="M806" s="99"/>
      <c r="N806" s="43">
        <f t="shared" si="12"/>
        <v>0</v>
      </c>
    </row>
    <row r="807" spans="2:14" ht="1.5" customHeight="1">
      <c r="B807" s="57"/>
      <c r="C807" s="60"/>
      <c r="D807" s="60"/>
      <c r="E807" s="60"/>
      <c r="F807" s="60"/>
      <c r="G807" s="60"/>
      <c r="J807" s="99"/>
      <c r="K807" s="99"/>
      <c r="L807" s="99"/>
      <c r="M807" s="99"/>
      <c r="N807" s="43">
        <f t="shared" si="12"/>
        <v>0</v>
      </c>
    </row>
    <row r="808" spans="2:14" ht="1.5" customHeight="1">
      <c r="B808" s="57"/>
      <c r="C808" s="60"/>
      <c r="D808" s="60"/>
      <c r="E808" s="60"/>
      <c r="F808" s="60"/>
      <c r="G808" s="60"/>
      <c r="J808" s="99"/>
      <c r="K808" s="99"/>
      <c r="L808" s="99"/>
      <c r="M808" s="99"/>
      <c r="N808" s="43">
        <f t="shared" si="12"/>
        <v>0</v>
      </c>
    </row>
    <row r="809" spans="2:14" ht="1.5" customHeight="1">
      <c r="B809" s="57"/>
      <c r="C809" s="60"/>
      <c r="D809" s="60"/>
      <c r="E809" s="60"/>
      <c r="F809" s="60"/>
      <c r="G809" s="60"/>
      <c r="J809" s="99"/>
      <c r="K809" s="99"/>
      <c r="L809" s="99"/>
      <c r="M809" s="99"/>
      <c r="N809" s="43">
        <f t="shared" si="12"/>
        <v>0</v>
      </c>
    </row>
    <row r="810" spans="2:14" ht="1.5" customHeight="1">
      <c r="B810" s="57"/>
      <c r="C810" s="60"/>
      <c r="D810" s="60"/>
      <c r="E810" s="60"/>
      <c r="F810" s="60"/>
      <c r="G810" s="60"/>
      <c r="J810" s="99"/>
      <c r="K810" s="99"/>
      <c r="L810" s="99"/>
      <c r="M810" s="99"/>
      <c r="N810" s="43">
        <f t="shared" si="12"/>
        <v>0</v>
      </c>
    </row>
    <row r="811" spans="2:14" ht="1.5" customHeight="1">
      <c r="B811" s="57"/>
      <c r="C811" s="60"/>
      <c r="D811" s="60"/>
      <c r="E811" s="60"/>
      <c r="F811" s="60"/>
      <c r="G811" s="60"/>
      <c r="J811" s="99"/>
      <c r="K811" s="99"/>
      <c r="L811" s="99"/>
      <c r="M811" s="99"/>
      <c r="N811" s="43">
        <f t="shared" si="12"/>
        <v>0</v>
      </c>
    </row>
    <row r="812" spans="2:14" ht="12.6" customHeight="1">
      <c r="B812" s="57"/>
      <c r="C812" s="60"/>
      <c r="D812" s="60"/>
      <c r="E812" s="60"/>
      <c r="F812" s="60"/>
      <c r="G812" s="60"/>
      <c r="J812" s="99"/>
      <c r="K812" s="99"/>
      <c r="L812" s="99"/>
      <c r="M812" s="99"/>
      <c r="N812" s="43"/>
    </row>
    <row r="813" spans="2:14" ht="12.6" customHeight="1"/>
  </sheetData>
  <mergeCells count="1641">
    <mergeCell ref="J811:K811"/>
    <mergeCell ref="L811:M811"/>
    <mergeCell ref="J812:K812"/>
    <mergeCell ref="L812:M812"/>
    <mergeCell ref="J808:K808"/>
    <mergeCell ref="L808:M808"/>
    <mergeCell ref="J809:K809"/>
    <mergeCell ref="L809:M809"/>
    <mergeCell ref="J810:K810"/>
    <mergeCell ref="L810:M810"/>
    <mergeCell ref="J805:K805"/>
    <mergeCell ref="L805:M805"/>
    <mergeCell ref="J806:K806"/>
    <mergeCell ref="L806:M806"/>
    <mergeCell ref="J807:K807"/>
    <mergeCell ref="L807:M807"/>
    <mergeCell ref="J802:K802"/>
    <mergeCell ref="L802:M802"/>
    <mergeCell ref="J803:K803"/>
    <mergeCell ref="L803:M803"/>
    <mergeCell ref="J804:K804"/>
    <mergeCell ref="L804:M804"/>
    <mergeCell ref="J799:K799"/>
    <mergeCell ref="L799:M799"/>
    <mergeCell ref="J800:K800"/>
    <mergeCell ref="L800:M800"/>
    <mergeCell ref="J801:K801"/>
    <mergeCell ref="L801:M801"/>
    <mergeCell ref="J796:K796"/>
    <mergeCell ref="L796:M796"/>
    <mergeCell ref="J797:K797"/>
    <mergeCell ref="L797:M797"/>
    <mergeCell ref="J798:K798"/>
    <mergeCell ref="L798:M798"/>
    <mergeCell ref="J793:K793"/>
    <mergeCell ref="L793:M793"/>
    <mergeCell ref="J794:K794"/>
    <mergeCell ref="L794:M794"/>
    <mergeCell ref="J795:K795"/>
    <mergeCell ref="L795:M795"/>
    <mergeCell ref="J790:K790"/>
    <mergeCell ref="L790:M790"/>
    <mergeCell ref="J791:K791"/>
    <mergeCell ref="L791:M791"/>
    <mergeCell ref="J792:K792"/>
    <mergeCell ref="L792:M792"/>
    <mergeCell ref="J787:K787"/>
    <mergeCell ref="L787:M787"/>
    <mergeCell ref="J788:K788"/>
    <mergeCell ref="L788:M788"/>
    <mergeCell ref="J789:K789"/>
    <mergeCell ref="L789:M789"/>
    <mergeCell ref="J784:K784"/>
    <mergeCell ref="L784:M784"/>
    <mergeCell ref="J785:K785"/>
    <mergeCell ref="L785:M785"/>
    <mergeCell ref="J786:K786"/>
    <mergeCell ref="L786:M786"/>
    <mergeCell ref="J781:K781"/>
    <mergeCell ref="L781:M781"/>
    <mergeCell ref="J782:K782"/>
    <mergeCell ref="L782:M782"/>
    <mergeCell ref="J783:K783"/>
    <mergeCell ref="L783:M783"/>
    <mergeCell ref="J778:K778"/>
    <mergeCell ref="L778:M778"/>
    <mergeCell ref="J779:K779"/>
    <mergeCell ref="L779:M779"/>
    <mergeCell ref="J780:K780"/>
    <mergeCell ref="L780:M780"/>
    <mergeCell ref="J775:K775"/>
    <mergeCell ref="L775:M775"/>
    <mergeCell ref="J776:K776"/>
    <mergeCell ref="L776:M776"/>
    <mergeCell ref="J777:K777"/>
    <mergeCell ref="L777:M777"/>
    <mergeCell ref="J772:K772"/>
    <mergeCell ref="L772:M772"/>
    <mergeCell ref="J773:K773"/>
    <mergeCell ref="L773:M773"/>
    <mergeCell ref="J774:K774"/>
    <mergeCell ref="L774:M774"/>
    <mergeCell ref="J769:K769"/>
    <mergeCell ref="L769:M769"/>
    <mergeCell ref="J770:K770"/>
    <mergeCell ref="L770:M770"/>
    <mergeCell ref="J771:K771"/>
    <mergeCell ref="L771:M771"/>
    <mergeCell ref="J766:K766"/>
    <mergeCell ref="L766:M766"/>
    <mergeCell ref="J767:K767"/>
    <mergeCell ref="L767:M767"/>
    <mergeCell ref="J768:K768"/>
    <mergeCell ref="L768:M768"/>
    <mergeCell ref="J763:K763"/>
    <mergeCell ref="L763:M763"/>
    <mergeCell ref="J764:K764"/>
    <mergeCell ref="L764:M764"/>
    <mergeCell ref="J765:K765"/>
    <mergeCell ref="L765:M765"/>
    <mergeCell ref="J760:K760"/>
    <mergeCell ref="L760:M760"/>
    <mergeCell ref="J761:K761"/>
    <mergeCell ref="L761:M761"/>
    <mergeCell ref="J762:K762"/>
    <mergeCell ref="L762:M762"/>
    <mergeCell ref="J757:K757"/>
    <mergeCell ref="L757:M757"/>
    <mergeCell ref="J758:K758"/>
    <mergeCell ref="L758:M758"/>
    <mergeCell ref="J759:K759"/>
    <mergeCell ref="L759:M759"/>
    <mergeCell ref="J754:K754"/>
    <mergeCell ref="L754:M754"/>
    <mergeCell ref="J755:K755"/>
    <mergeCell ref="L755:M755"/>
    <mergeCell ref="J756:K756"/>
    <mergeCell ref="L756:M756"/>
    <mergeCell ref="J751:K751"/>
    <mergeCell ref="L751:M751"/>
    <mergeCell ref="J752:K752"/>
    <mergeCell ref="L752:M752"/>
    <mergeCell ref="J753:K753"/>
    <mergeCell ref="L753:M753"/>
    <mergeCell ref="J748:K748"/>
    <mergeCell ref="L748:M748"/>
    <mergeCell ref="J749:K749"/>
    <mergeCell ref="L749:M749"/>
    <mergeCell ref="J750:K750"/>
    <mergeCell ref="L750:M750"/>
    <mergeCell ref="J745:K745"/>
    <mergeCell ref="L745:M745"/>
    <mergeCell ref="J746:K746"/>
    <mergeCell ref="L746:M746"/>
    <mergeCell ref="J747:K747"/>
    <mergeCell ref="L747:M747"/>
    <mergeCell ref="J742:K742"/>
    <mergeCell ref="L742:M742"/>
    <mergeCell ref="J743:K743"/>
    <mergeCell ref="L743:M743"/>
    <mergeCell ref="J744:K744"/>
    <mergeCell ref="L744:M744"/>
    <mergeCell ref="J739:K739"/>
    <mergeCell ref="L739:M739"/>
    <mergeCell ref="J740:K740"/>
    <mergeCell ref="L740:M740"/>
    <mergeCell ref="J741:K741"/>
    <mergeCell ref="L741:M741"/>
    <mergeCell ref="J736:K736"/>
    <mergeCell ref="L736:M736"/>
    <mergeCell ref="J737:K737"/>
    <mergeCell ref="L737:M737"/>
    <mergeCell ref="J738:K738"/>
    <mergeCell ref="L738:M738"/>
    <mergeCell ref="J733:K733"/>
    <mergeCell ref="L733:M733"/>
    <mergeCell ref="J734:K734"/>
    <mergeCell ref="L734:M734"/>
    <mergeCell ref="J735:K735"/>
    <mergeCell ref="L735:M735"/>
    <mergeCell ref="J730:K730"/>
    <mergeCell ref="L730:M730"/>
    <mergeCell ref="J731:K731"/>
    <mergeCell ref="L731:M731"/>
    <mergeCell ref="J732:K732"/>
    <mergeCell ref="L732:M732"/>
    <mergeCell ref="J727:K727"/>
    <mergeCell ref="L727:M727"/>
    <mergeCell ref="J728:K728"/>
    <mergeCell ref="L728:M728"/>
    <mergeCell ref="J729:K729"/>
    <mergeCell ref="L729:M729"/>
    <mergeCell ref="J724:K724"/>
    <mergeCell ref="L724:M724"/>
    <mergeCell ref="J725:K725"/>
    <mergeCell ref="L725:M725"/>
    <mergeCell ref="J726:K726"/>
    <mergeCell ref="L726:M726"/>
    <mergeCell ref="J721:K721"/>
    <mergeCell ref="L721:M721"/>
    <mergeCell ref="J722:K722"/>
    <mergeCell ref="L722:M722"/>
    <mergeCell ref="J723:K723"/>
    <mergeCell ref="L723:M723"/>
    <mergeCell ref="J718:K718"/>
    <mergeCell ref="L718:M718"/>
    <mergeCell ref="J719:K719"/>
    <mergeCell ref="L719:M719"/>
    <mergeCell ref="J720:K720"/>
    <mergeCell ref="L720:M720"/>
    <mergeCell ref="J715:K715"/>
    <mergeCell ref="L715:M715"/>
    <mergeCell ref="J716:K716"/>
    <mergeCell ref="L716:M716"/>
    <mergeCell ref="J717:K717"/>
    <mergeCell ref="L717:M717"/>
    <mergeCell ref="J712:K712"/>
    <mergeCell ref="L712:M712"/>
    <mergeCell ref="J713:K713"/>
    <mergeCell ref="L713:M713"/>
    <mergeCell ref="J714:K714"/>
    <mergeCell ref="L714:M714"/>
    <mergeCell ref="J709:K709"/>
    <mergeCell ref="L709:M709"/>
    <mergeCell ref="J710:K710"/>
    <mergeCell ref="L710:M710"/>
    <mergeCell ref="J711:K711"/>
    <mergeCell ref="L711:M711"/>
    <mergeCell ref="J706:K706"/>
    <mergeCell ref="L706:M706"/>
    <mergeCell ref="J707:K707"/>
    <mergeCell ref="L707:M707"/>
    <mergeCell ref="J708:K708"/>
    <mergeCell ref="L708:M708"/>
    <mergeCell ref="J703:K703"/>
    <mergeCell ref="L703:M703"/>
    <mergeCell ref="J704:K704"/>
    <mergeCell ref="L704:M704"/>
    <mergeCell ref="J705:K705"/>
    <mergeCell ref="L705:M705"/>
    <mergeCell ref="J700:K700"/>
    <mergeCell ref="L700:M700"/>
    <mergeCell ref="J701:K701"/>
    <mergeCell ref="L701:M701"/>
    <mergeCell ref="J702:K702"/>
    <mergeCell ref="L702:M702"/>
    <mergeCell ref="J697:K697"/>
    <mergeCell ref="L697:M697"/>
    <mergeCell ref="J698:K698"/>
    <mergeCell ref="L698:M698"/>
    <mergeCell ref="J699:K699"/>
    <mergeCell ref="L699:M699"/>
    <mergeCell ref="J694:K694"/>
    <mergeCell ref="L694:M694"/>
    <mergeCell ref="J695:K695"/>
    <mergeCell ref="L695:M695"/>
    <mergeCell ref="J696:K696"/>
    <mergeCell ref="L696:M696"/>
    <mergeCell ref="J691:K691"/>
    <mergeCell ref="L691:M691"/>
    <mergeCell ref="J692:K692"/>
    <mergeCell ref="L692:M692"/>
    <mergeCell ref="J693:K693"/>
    <mergeCell ref="L693:M693"/>
    <mergeCell ref="J688:K688"/>
    <mergeCell ref="L688:M688"/>
    <mergeCell ref="J689:K689"/>
    <mergeCell ref="L689:M689"/>
    <mergeCell ref="J690:K690"/>
    <mergeCell ref="L690:M690"/>
    <mergeCell ref="J685:K685"/>
    <mergeCell ref="L685:M685"/>
    <mergeCell ref="J686:K686"/>
    <mergeCell ref="L686:M686"/>
    <mergeCell ref="J687:K687"/>
    <mergeCell ref="L687:M687"/>
    <mergeCell ref="J682:K682"/>
    <mergeCell ref="L682:M682"/>
    <mergeCell ref="J683:K683"/>
    <mergeCell ref="L683:M683"/>
    <mergeCell ref="J684:K684"/>
    <mergeCell ref="L684:M684"/>
    <mergeCell ref="J679:K679"/>
    <mergeCell ref="L679:M679"/>
    <mergeCell ref="J680:K680"/>
    <mergeCell ref="L680:M680"/>
    <mergeCell ref="J681:K681"/>
    <mergeCell ref="L681:M681"/>
    <mergeCell ref="J676:K676"/>
    <mergeCell ref="L676:M676"/>
    <mergeCell ref="J677:K677"/>
    <mergeCell ref="L677:M677"/>
    <mergeCell ref="J678:K678"/>
    <mergeCell ref="L678:M678"/>
    <mergeCell ref="J673:K673"/>
    <mergeCell ref="L673:M673"/>
    <mergeCell ref="J674:K674"/>
    <mergeCell ref="L674:M674"/>
    <mergeCell ref="J675:K675"/>
    <mergeCell ref="L675:M675"/>
    <mergeCell ref="J670:K670"/>
    <mergeCell ref="L670:M670"/>
    <mergeCell ref="J671:K671"/>
    <mergeCell ref="L671:M671"/>
    <mergeCell ref="J672:K672"/>
    <mergeCell ref="L672:M672"/>
    <mergeCell ref="J667:K667"/>
    <mergeCell ref="L667:M667"/>
    <mergeCell ref="J668:K668"/>
    <mergeCell ref="L668:M668"/>
    <mergeCell ref="J669:K669"/>
    <mergeCell ref="L669:M669"/>
    <mergeCell ref="J664:K664"/>
    <mergeCell ref="L664:M664"/>
    <mergeCell ref="J665:K665"/>
    <mergeCell ref="L665:M665"/>
    <mergeCell ref="J666:K666"/>
    <mergeCell ref="L666:M666"/>
    <mergeCell ref="J661:K661"/>
    <mergeCell ref="L661:M661"/>
    <mergeCell ref="J662:K662"/>
    <mergeCell ref="L662:M662"/>
    <mergeCell ref="J663:K663"/>
    <mergeCell ref="L663:M663"/>
    <mergeCell ref="J658:K658"/>
    <mergeCell ref="L658:M658"/>
    <mergeCell ref="J659:K659"/>
    <mergeCell ref="L659:M659"/>
    <mergeCell ref="J660:K660"/>
    <mergeCell ref="L660:M660"/>
    <mergeCell ref="J655:K655"/>
    <mergeCell ref="L655:M655"/>
    <mergeCell ref="J656:K656"/>
    <mergeCell ref="L656:M656"/>
    <mergeCell ref="J657:K657"/>
    <mergeCell ref="L657:M657"/>
    <mergeCell ref="J652:K652"/>
    <mergeCell ref="L652:M652"/>
    <mergeCell ref="J653:K653"/>
    <mergeCell ref="L653:M653"/>
    <mergeCell ref="J654:K654"/>
    <mergeCell ref="L654:M654"/>
    <mergeCell ref="J649:K649"/>
    <mergeCell ref="L649:M649"/>
    <mergeCell ref="J650:K650"/>
    <mergeCell ref="L650:M650"/>
    <mergeCell ref="J651:K651"/>
    <mergeCell ref="L651:M651"/>
    <mergeCell ref="J646:K646"/>
    <mergeCell ref="L646:M646"/>
    <mergeCell ref="J647:K647"/>
    <mergeCell ref="L647:M647"/>
    <mergeCell ref="J648:K648"/>
    <mergeCell ref="L648:M648"/>
    <mergeCell ref="J643:K643"/>
    <mergeCell ref="L643:M643"/>
    <mergeCell ref="J644:K644"/>
    <mergeCell ref="L644:M644"/>
    <mergeCell ref="J645:K645"/>
    <mergeCell ref="L645:M645"/>
    <mergeCell ref="J640:K640"/>
    <mergeCell ref="L640:M640"/>
    <mergeCell ref="J641:K641"/>
    <mergeCell ref="L641:M641"/>
    <mergeCell ref="J642:K642"/>
    <mergeCell ref="L642:M642"/>
    <mergeCell ref="J637:K637"/>
    <mergeCell ref="L637:M637"/>
    <mergeCell ref="J638:K638"/>
    <mergeCell ref="L638:M638"/>
    <mergeCell ref="J639:K639"/>
    <mergeCell ref="L639:M639"/>
    <mergeCell ref="J634:K634"/>
    <mergeCell ref="L634:M634"/>
    <mergeCell ref="J635:K635"/>
    <mergeCell ref="L635:M635"/>
    <mergeCell ref="J636:K636"/>
    <mergeCell ref="L636:M636"/>
    <mergeCell ref="J631:K631"/>
    <mergeCell ref="L631:M631"/>
    <mergeCell ref="J632:K632"/>
    <mergeCell ref="L632:M632"/>
    <mergeCell ref="J633:K633"/>
    <mergeCell ref="L633:M633"/>
    <mergeCell ref="J628:K628"/>
    <mergeCell ref="L628:M628"/>
    <mergeCell ref="J629:K629"/>
    <mergeCell ref="L629:M629"/>
    <mergeCell ref="J630:K630"/>
    <mergeCell ref="L630:M630"/>
    <mergeCell ref="J625:K625"/>
    <mergeCell ref="L625:M625"/>
    <mergeCell ref="J626:K626"/>
    <mergeCell ref="L626:M626"/>
    <mergeCell ref="J627:K627"/>
    <mergeCell ref="L627:M627"/>
    <mergeCell ref="J622:K622"/>
    <mergeCell ref="L622:M622"/>
    <mergeCell ref="J623:K623"/>
    <mergeCell ref="L623:M623"/>
    <mergeCell ref="J624:K624"/>
    <mergeCell ref="L624:M624"/>
    <mergeCell ref="J619:K619"/>
    <mergeCell ref="L619:M619"/>
    <mergeCell ref="J620:K620"/>
    <mergeCell ref="L620:M620"/>
    <mergeCell ref="J621:K621"/>
    <mergeCell ref="L621:M621"/>
    <mergeCell ref="J616:K616"/>
    <mergeCell ref="L616:M616"/>
    <mergeCell ref="J617:K617"/>
    <mergeCell ref="L617:M617"/>
    <mergeCell ref="J618:K618"/>
    <mergeCell ref="L618:M618"/>
    <mergeCell ref="J613:K613"/>
    <mergeCell ref="L613:M613"/>
    <mergeCell ref="J614:K614"/>
    <mergeCell ref="L614:M614"/>
    <mergeCell ref="J615:K615"/>
    <mergeCell ref="L615:M615"/>
    <mergeCell ref="J610:K610"/>
    <mergeCell ref="L610:M610"/>
    <mergeCell ref="J611:K611"/>
    <mergeCell ref="L611:M611"/>
    <mergeCell ref="J612:K612"/>
    <mergeCell ref="L612:M612"/>
    <mergeCell ref="J607:K607"/>
    <mergeCell ref="L607:M607"/>
    <mergeCell ref="J608:K608"/>
    <mergeCell ref="L608:M608"/>
    <mergeCell ref="J609:K609"/>
    <mergeCell ref="L609:M609"/>
    <mergeCell ref="J604:K604"/>
    <mergeCell ref="L604:M604"/>
    <mergeCell ref="J605:K605"/>
    <mergeCell ref="L605:M605"/>
    <mergeCell ref="J606:K606"/>
    <mergeCell ref="L606:M606"/>
    <mergeCell ref="J601:K601"/>
    <mergeCell ref="L601:M601"/>
    <mergeCell ref="J602:K602"/>
    <mergeCell ref="L602:M602"/>
    <mergeCell ref="J603:K603"/>
    <mergeCell ref="L603:M603"/>
    <mergeCell ref="J598:K598"/>
    <mergeCell ref="L598:M598"/>
    <mergeCell ref="J599:K599"/>
    <mergeCell ref="L599:M599"/>
    <mergeCell ref="J600:K600"/>
    <mergeCell ref="L600:M600"/>
    <mergeCell ref="J595:K595"/>
    <mergeCell ref="L595:M595"/>
    <mergeCell ref="J596:K596"/>
    <mergeCell ref="L596:M596"/>
    <mergeCell ref="J597:K597"/>
    <mergeCell ref="L597:M597"/>
    <mergeCell ref="J592:K592"/>
    <mergeCell ref="L592:M592"/>
    <mergeCell ref="J593:K593"/>
    <mergeCell ref="L593:M593"/>
    <mergeCell ref="J594:K594"/>
    <mergeCell ref="L594:M594"/>
    <mergeCell ref="J589:K589"/>
    <mergeCell ref="L589:M589"/>
    <mergeCell ref="J590:K590"/>
    <mergeCell ref="L590:M590"/>
    <mergeCell ref="J591:K591"/>
    <mergeCell ref="L591:M591"/>
    <mergeCell ref="J586:K586"/>
    <mergeCell ref="L586:M586"/>
    <mergeCell ref="J587:K587"/>
    <mergeCell ref="L587:M587"/>
    <mergeCell ref="J588:K588"/>
    <mergeCell ref="L588:M588"/>
    <mergeCell ref="J583:K583"/>
    <mergeCell ref="L583:M583"/>
    <mergeCell ref="J584:K584"/>
    <mergeCell ref="L584:M584"/>
    <mergeCell ref="J585:K585"/>
    <mergeCell ref="L585:M585"/>
    <mergeCell ref="J580:K580"/>
    <mergeCell ref="L580:M580"/>
    <mergeCell ref="J581:K581"/>
    <mergeCell ref="L581:M581"/>
    <mergeCell ref="J582:K582"/>
    <mergeCell ref="L582:M582"/>
    <mergeCell ref="J577:K577"/>
    <mergeCell ref="L577:M577"/>
    <mergeCell ref="J578:K578"/>
    <mergeCell ref="L578:M578"/>
    <mergeCell ref="J579:K579"/>
    <mergeCell ref="L579:M579"/>
    <mergeCell ref="J574:K574"/>
    <mergeCell ref="L574:M574"/>
    <mergeCell ref="J575:K575"/>
    <mergeCell ref="L575:M575"/>
    <mergeCell ref="J576:K576"/>
    <mergeCell ref="L576:M576"/>
    <mergeCell ref="J571:K571"/>
    <mergeCell ref="L571:M571"/>
    <mergeCell ref="J572:K572"/>
    <mergeCell ref="L572:M572"/>
    <mergeCell ref="J573:K573"/>
    <mergeCell ref="L573:M573"/>
    <mergeCell ref="J568:K568"/>
    <mergeCell ref="L568:M568"/>
    <mergeCell ref="J569:K569"/>
    <mergeCell ref="L569:M569"/>
    <mergeCell ref="J570:K570"/>
    <mergeCell ref="L570:M570"/>
    <mergeCell ref="J565:K565"/>
    <mergeCell ref="L565:M565"/>
    <mergeCell ref="J566:K566"/>
    <mergeCell ref="L566:M566"/>
    <mergeCell ref="J567:K567"/>
    <mergeCell ref="L567:M567"/>
    <mergeCell ref="J562:K562"/>
    <mergeCell ref="L562:M562"/>
    <mergeCell ref="J563:K563"/>
    <mergeCell ref="L563:M563"/>
    <mergeCell ref="J564:K564"/>
    <mergeCell ref="L564:M564"/>
    <mergeCell ref="J559:K559"/>
    <mergeCell ref="L559:M559"/>
    <mergeCell ref="J560:K560"/>
    <mergeCell ref="L560:M560"/>
    <mergeCell ref="J561:K561"/>
    <mergeCell ref="L561:M561"/>
    <mergeCell ref="J556:K556"/>
    <mergeCell ref="L556:M556"/>
    <mergeCell ref="J557:K557"/>
    <mergeCell ref="L557:M557"/>
    <mergeCell ref="J558:K558"/>
    <mergeCell ref="L558:M558"/>
    <mergeCell ref="J553:K553"/>
    <mergeCell ref="L553:M553"/>
    <mergeCell ref="J554:K554"/>
    <mergeCell ref="L554:M554"/>
    <mergeCell ref="J555:K555"/>
    <mergeCell ref="L555:M555"/>
    <mergeCell ref="J550:K550"/>
    <mergeCell ref="L550:M550"/>
    <mergeCell ref="J551:K551"/>
    <mergeCell ref="L551:M551"/>
    <mergeCell ref="J552:K552"/>
    <mergeCell ref="L552:M552"/>
    <mergeCell ref="J547:K547"/>
    <mergeCell ref="L547:M547"/>
    <mergeCell ref="J548:K548"/>
    <mergeCell ref="L548:M548"/>
    <mergeCell ref="J549:K549"/>
    <mergeCell ref="L549:M549"/>
    <mergeCell ref="J544:K544"/>
    <mergeCell ref="L544:M544"/>
    <mergeCell ref="J545:K545"/>
    <mergeCell ref="L545:M545"/>
    <mergeCell ref="J546:K546"/>
    <mergeCell ref="L546:M546"/>
    <mergeCell ref="J541:K541"/>
    <mergeCell ref="L541:M541"/>
    <mergeCell ref="J542:K542"/>
    <mergeCell ref="L542:M542"/>
    <mergeCell ref="J543:K543"/>
    <mergeCell ref="L543:M543"/>
    <mergeCell ref="J538:K538"/>
    <mergeCell ref="L538:M538"/>
    <mergeCell ref="J539:K539"/>
    <mergeCell ref="L539:M539"/>
    <mergeCell ref="J540:K540"/>
    <mergeCell ref="L540:M540"/>
    <mergeCell ref="J535:K535"/>
    <mergeCell ref="L535:M535"/>
    <mergeCell ref="J536:K536"/>
    <mergeCell ref="L536:M536"/>
    <mergeCell ref="J537:K537"/>
    <mergeCell ref="L537:M537"/>
    <mergeCell ref="J532:K532"/>
    <mergeCell ref="L532:M532"/>
    <mergeCell ref="J533:K533"/>
    <mergeCell ref="L533:M533"/>
    <mergeCell ref="J534:K534"/>
    <mergeCell ref="L534:M534"/>
    <mergeCell ref="J529:K529"/>
    <mergeCell ref="L529:M529"/>
    <mergeCell ref="J530:K530"/>
    <mergeCell ref="L530:M530"/>
    <mergeCell ref="J531:K531"/>
    <mergeCell ref="L531:M531"/>
    <mergeCell ref="J526:K526"/>
    <mergeCell ref="L526:M526"/>
    <mergeCell ref="J527:K527"/>
    <mergeCell ref="L527:M527"/>
    <mergeCell ref="J528:K528"/>
    <mergeCell ref="L528:M528"/>
    <mergeCell ref="J523:K523"/>
    <mergeCell ref="L523:M523"/>
    <mergeCell ref="J524:K524"/>
    <mergeCell ref="L524:M524"/>
    <mergeCell ref="J525:K525"/>
    <mergeCell ref="L525:M525"/>
    <mergeCell ref="J520:K520"/>
    <mergeCell ref="L520:M520"/>
    <mergeCell ref="J521:K521"/>
    <mergeCell ref="L521:M521"/>
    <mergeCell ref="J522:K522"/>
    <mergeCell ref="L522:M522"/>
    <mergeCell ref="J517:K517"/>
    <mergeCell ref="L517:M517"/>
    <mergeCell ref="J518:K518"/>
    <mergeCell ref="L518:M518"/>
    <mergeCell ref="J519:K519"/>
    <mergeCell ref="L519:M519"/>
    <mergeCell ref="J514:K514"/>
    <mergeCell ref="L514:M514"/>
    <mergeCell ref="J515:K515"/>
    <mergeCell ref="L515:M515"/>
    <mergeCell ref="J516:K516"/>
    <mergeCell ref="L516:M516"/>
    <mergeCell ref="J511:K511"/>
    <mergeCell ref="L511:M511"/>
    <mergeCell ref="J512:K512"/>
    <mergeCell ref="L512:M512"/>
    <mergeCell ref="J513:K513"/>
    <mergeCell ref="L513:M513"/>
    <mergeCell ref="J508:K508"/>
    <mergeCell ref="L508:M508"/>
    <mergeCell ref="J509:K509"/>
    <mergeCell ref="L509:M509"/>
    <mergeCell ref="J510:K510"/>
    <mergeCell ref="L510:M510"/>
    <mergeCell ref="J505:K505"/>
    <mergeCell ref="L505:M505"/>
    <mergeCell ref="J506:K506"/>
    <mergeCell ref="L506:M506"/>
    <mergeCell ref="J507:K507"/>
    <mergeCell ref="L507:M507"/>
    <mergeCell ref="J502:K502"/>
    <mergeCell ref="L502:M502"/>
    <mergeCell ref="J503:K503"/>
    <mergeCell ref="L503:M503"/>
    <mergeCell ref="J504:K504"/>
    <mergeCell ref="L504:M504"/>
    <mergeCell ref="J499:K499"/>
    <mergeCell ref="L499:M499"/>
    <mergeCell ref="J500:K500"/>
    <mergeCell ref="L500:M500"/>
    <mergeCell ref="J501:K501"/>
    <mergeCell ref="L501:M501"/>
    <mergeCell ref="J496:K496"/>
    <mergeCell ref="L496:M496"/>
    <mergeCell ref="J497:K497"/>
    <mergeCell ref="L497:M497"/>
    <mergeCell ref="J498:K498"/>
    <mergeCell ref="L498:M498"/>
    <mergeCell ref="J493:K493"/>
    <mergeCell ref="L493:M493"/>
    <mergeCell ref="J494:K494"/>
    <mergeCell ref="L494:M494"/>
    <mergeCell ref="J495:K495"/>
    <mergeCell ref="L495:M495"/>
    <mergeCell ref="J490:K490"/>
    <mergeCell ref="L490:M490"/>
    <mergeCell ref="J491:K491"/>
    <mergeCell ref="L491:M491"/>
    <mergeCell ref="J492:K492"/>
    <mergeCell ref="L492:M492"/>
    <mergeCell ref="J487:K487"/>
    <mergeCell ref="L487:M487"/>
    <mergeCell ref="J488:K488"/>
    <mergeCell ref="L488:M488"/>
    <mergeCell ref="J489:K489"/>
    <mergeCell ref="L489:M489"/>
    <mergeCell ref="J484:K484"/>
    <mergeCell ref="L484:M484"/>
    <mergeCell ref="J485:K485"/>
    <mergeCell ref="L485:M485"/>
    <mergeCell ref="J486:K486"/>
    <mergeCell ref="L486:M486"/>
    <mergeCell ref="J481:K481"/>
    <mergeCell ref="L481:M481"/>
    <mergeCell ref="J482:K482"/>
    <mergeCell ref="L482:M482"/>
    <mergeCell ref="J483:K483"/>
    <mergeCell ref="L483:M483"/>
    <mergeCell ref="J478:K478"/>
    <mergeCell ref="L478:M478"/>
    <mergeCell ref="J479:K479"/>
    <mergeCell ref="L479:M479"/>
    <mergeCell ref="J480:K480"/>
    <mergeCell ref="L480:M480"/>
    <mergeCell ref="J475:K475"/>
    <mergeCell ref="L475:M475"/>
    <mergeCell ref="J476:K476"/>
    <mergeCell ref="L476:M476"/>
    <mergeCell ref="J477:K477"/>
    <mergeCell ref="L477:M477"/>
    <mergeCell ref="J472:K472"/>
    <mergeCell ref="L472:M472"/>
    <mergeCell ref="J473:K473"/>
    <mergeCell ref="L473:M473"/>
    <mergeCell ref="J474:K474"/>
    <mergeCell ref="L474:M474"/>
    <mergeCell ref="J469:K469"/>
    <mergeCell ref="L469:M469"/>
    <mergeCell ref="J470:K470"/>
    <mergeCell ref="L470:M470"/>
    <mergeCell ref="J471:K471"/>
    <mergeCell ref="L471:M471"/>
    <mergeCell ref="J466:K466"/>
    <mergeCell ref="L466:M466"/>
    <mergeCell ref="J467:K467"/>
    <mergeCell ref="L467:M467"/>
    <mergeCell ref="J468:K468"/>
    <mergeCell ref="L468:M468"/>
    <mergeCell ref="J463:K463"/>
    <mergeCell ref="L463:M463"/>
    <mergeCell ref="J464:K464"/>
    <mergeCell ref="L464:M464"/>
    <mergeCell ref="J465:K465"/>
    <mergeCell ref="L465:M465"/>
    <mergeCell ref="J460:K460"/>
    <mergeCell ref="L460:M460"/>
    <mergeCell ref="J461:K461"/>
    <mergeCell ref="L461:M461"/>
    <mergeCell ref="J462:K462"/>
    <mergeCell ref="L462:M462"/>
    <mergeCell ref="J457:K457"/>
    <mergeCell ref="L457:M457"/>
    <mergeCell ref="J458:K458"/>
    <mergeCell ref="L458:M458"/>
    <mergeCell ref="J459:K459"/>
    <mergeCell ref="L459:M459"/>
    <mergeCell ref="J454:K454"/>
    <mergeCell ref="L454:M454"/>
    <mergeCell ref="J455:K455"/>
    <mergeCell ref="L455:M455"/>
    <mergeCell ref="J456:K456"/>
    <mergeCell ref="L456:M456"/>
    <mergeCell ref="J451:K451"/>
    <mergeCell ref="L451:M451"/>
    <mergeCell ref="J452:K452"/>
    <mergeCell ref="L452:M452"/>
    <mergeCell ref="J453:K453"/>
    <mergeCell ref="L453:M453"/>
    <mergeCell ref="J448:K448"/>
    <mergeCell ref="L448:M448"/>
    <mergeCell ref="J449:K449"/>
    <mergeCell ref="L449:M449"/>
    <mergeCell ref="J450:K450"/>
    <mergeCell ref="L450:M450"/>
    <mergeCell ref="J445:K445"/>
    <mergeCell ref="L445:M445"/>
    <mergeCell ref="J446:K446"/>
    <mergeCell ref="L446:M446"/>
    <mergeCell ref="J447:K447"/>
    <mergeCell ref="L447:M447"/>
    <mergeCell ref="J442:K442"/>
    <mergeCell ref="L442:M442"/>
    <mergeCell ref="J443:K443"/>
    <mergeCell ref="L443:M443"/>
    <mergeCell ref="J444:K444"/>
    <mergeCell ref="L444:M444"/>
    <mergeCell ref="J439:K439"/>
    <mergeCell ref="L439:M439"/>
    <mergeCell ref="J440:K440"/>
    <mergeCell ref="L440:M440"/>
    <mergeCell ref="J441:K441"/>
    <mergeCell ref="L441:M441"/>
    <mergeCell ref="J436:K436"/>
    <mergeCell ref="L436:M436"/>
    <mergeCell ref="J437:K437"/>
    <mergeCell ref="L437:M437"/>
    <mergeCell ref="J438:K438"/>
    <mergeCell ref="L438:M438"/>
    <mergeCell ref="J433:K433"/>
    <mergeCell ref="L433:M433"/>
    <mergeCell ref="J434:K434"/>
    <mergeCell ref="L434:M434"/>
    <mergeCell ref="J435:K435"/>
    <mergeCell ref="L435:M435"/>
    <mergeCell ref="J430:K430"/>
    <mergeCell ref="L430:M430"/>
    <mergeCell ref="J431:K431"/>
    <mergeCell ref="L431:M431"/>
    <mergeCell ref="J432:K432"/>
    <mergeCell ref="L432:M432"/>
    <mergeCell ref="J427:K427"/>
    <mergeCell ref="L427:M427"/>
    <mergeCell ref="J428:K428"/>
    <mergeCell ref="L428:M428"/>
    <mergeCell ref="J429:K429"/>
    <mergeCell ref="L429:M429"/>
    <mergeCell ref="J424:K424"/>
    <mergeCell ref="L424:M424"/>
    <mergeCell ref="J425:K425"/>
    <mergeCell ref="L425:M425"/>
    <mergeCell ref="J426:K426"/>
    <mergeCell ref="L426:M426"/>
    <mergeCell ref="J421:K421"/>
    <mergeCell ref="L421:M421"/>
    <mergeCell ref="J422:K422"/>
    <mergeCell ref="L422:M422"/>
    <mergeCell ref="J423:K423"/>
    <mergeCell ref="L423:M423"/>
    <mergeCell ref="J418:K418"/>
    <mergeCell ref="L418:M418"/>
    <mergeCell ref="J419:K419"/>
    <mergeCell ref="L419:M419"/>
    <mergeCell ref="J420:K420"/>
    <mergeCell ref="L420:M420"/>
    <mergeCell ref="J415:K415"/>
    <mergeCell ref="L415:M415"/>
    <mergeCell ref="J416:K416"/>
    <mergeCell ref="L416:M416"/>
    <mergeCell ref="J417:K417"/>
    <mergeCell ref="L417:M417"/>
    <mergeCell ref="J412:K412"/>
    <mergeCell ref="L412:M412"/>
    <mergeCell ref="J413:K413"/>
    <mergeCell ref="L413:M413"/>
    <mergeCell ref="J414:K414"/>
    <mergeCell ref="L414:M414"/>
    <mergeCell ref="J409:K409"/>
    <mergeCell ref="L409:M409"/>
    <mergeCell ref="J410:K410"/>
    <mergeCell ref="L410:M410"/>
    <mergeCell ref="J411:K411"/>
    <mergeCell ref="L411:M411"/>
    <mergeCell ref="J406:K406"/>
    <mergeCell ref="L406:M406"/>
    <mergeCell ref="J407:K407"/>
    <mergeCell ref="L407:M407"/>
    <mergeCell ref="J408:K408"/>
    <mergeCell ref="L408:M408"/>
    <mergeCell ref="J403:K403"/>
    <mergeCell ref="L403:M403"/>
    <mergeCell ref="J404:K404"/>
    <mergeCell ref="L404:M404"/>
    <mergeCell ref="J405:K405"/>
    <mergeCell ref="L405:M405"/>
    <mergeCell ref="J400:K400"/>
    <mergeCell ref="L400:M400"/>
    <mergeCell ref="J401:K401"/>
    <mergeCell ref="L401:M401"/>
    <mergeCell ref="J402:K402"/>
    <mergeCell ref="L402:M402"/>
    <mergeCell ref="J397:K397"/>
    <mergeCell ref="L397:M397"/>
    <mergeCell ref="J398:K398"/>
    <mergeCell ref="L398:M398"/>
    <mergeCell ref="J399:K399"/>
    <mergeCell ref="L399:M399"/>
    <mergeCell ref="J394:K394"/>
    <mergeCell ref="L394:M394"/>
    <mergeCell ref="J395:K395"/>
    <mergeCell ref="L395:M395"/>
    <mergeCell ref="J396:K396"/>
    <mergeCell ref="L396:M396"/>
    <mergeCell ref="J391:K391"/>
    <mergeCell ref="L391:M391"/>
    <mergeCell ref="J392:K392"/>
    <mergeCell ref="L392:M392"/>
    <mergeCell ref="J393:K393"/>
    <mergeCell ref="L393:M393"/>
    <mergeCell ref="J388:K388"/>
    <mergeCell ref="L388:M388"/>
    <mergeCell ref="J389:K389"/>
    <mergeCell ref="L389:M389"/>
    <mergeCell ref="J390:K390"/>
    <mergeCell ref="L390:M390"/>
    <mergeCell ref="J385:K385"/>
    <mergeCell ref="L385:M385"/>
    <mergeCell ref="J386:K386"/>
    <mergeCell ref="L386:M386"/>
    <mergeCell ref="J387:K387"/>
    <mergeCell ref="L387:M387"/>
    <mergeCell ref="J382:K382"/>
    <mergeCell ref="L382:M382"/>
    <mergeCell ref="J383:K383"/>
    <mergeCell ref="L383:M383"/>
    <mergeCell ref="J384:K384"/>
    <mergeCell ref="L384:M384"/>
    <mergeCell ref="J379:K379"/>
    <mergeCell ref="L379:M379"/>
    <mergeCell ref="J380:K380"/>
    <mergeCell ref="L380:M380"/>
    <mergeCell ref="J381:K381"/>
    <mergeCell ref="L381:M381"/>
    <mergeCell ref="J376:K376"/>
    <mergeCell ref="L376:M376"/>
    <mergeCell ref="J377:K377"/>
    <mergeCell ref="L377:M377"/>
    <mergeCell ref="J378:K378"/>
    <mergeCell ref="L378:M378"/>
    <mergeCell ref="J373:K373"/>
    <mergeCell ref="L373:M373"/>
    <mergeCell ref="J374:K374"/>
    <mergeCell ref="L374:M374"/>
    <mergeCell ref="J375:K375"/>
    <mergeCell ref="L375:M375"/>
    <mergeCell ref="J370:K370"/>
    <mergeCell ref="L370:M370"/>
    <mergeCell ref="J371:K371"/>
    <mergeCell ref="L371:M371"/>
    <mergeCell ref="J372:K372"/>
    <mergeCell ref="L372:M372"/>
    <mergeCell ref="J367:K367"/>
    <mergeCell ref="L367:M367"/>
    <mergeCell ref="J368:K368"/>
    <mergeCell ref="L368:M368"/>
    <mergeCell ref="J369:K369"/>
    <mergeCell ref="L369:M369"/>
    <mergeCell ref="J364:K364"/>
    <mergeCell ref="L364:M364"/>
    <mergeCell ref="J365:K365"/>
    <mergeCell ref="L365:M365"/>
    <mergeCell ref="J366:K366"/>
    <mergeCell ref="L366:M366"/>
    <mergeCell ref="J361:K361"/>
    <mergeCell ref="L361:M361"/>
    <mergeCell ref="J362:K362"/>
    <mergeCell ref="L362:M362"/>
    <mergeCell ref="J363:K363"/>
    <mergeCell ref="L363:M363"/>
    <mergeCell ref="J358:K358"/>
    <mergeCell ref="L358:M358"/>
    <mergeCell ref="J359:K359"/>
    <mergeCell ref="L359:M359"/>
    <mergeCell ref="J360:K360"/>
    <mergeCell ref="L360:M360"/>
    <mergeCell ref="J355:K355"/>
    <mergeCell ref="L355:M355"/>
    <mergeCell ref="J356:K356"/>
    <mergeCell ref="L356:M356"/>
    <mergeCell ref="J357:K357"/>
    <mergeCell ref="L357:M357"/>
    <mergeCell ref="J352:K352"/>
    <mergeCell ref="L352:M352"/>
    <mergeCell ref="J353:K353"/>
    <mergeCell ref="L353:M353"/>
    <mergeCell ref="J354:K354"/>
    <mergeCell ref="L354:M354"/>
    <mergeCell ref="J349:K349"/>
    <mergeCell ref="L349:M349"/>
    <mergeCell ref="J350:K350"/>
    <mergeCell ref="L350:M350"/>
    <mergeCell ref="J351:K351"/>
    <mergeCell ref="L351:M351"/>
    <mergeCell ref="J346:K346"/>
    <mergeCell ref="L346:M346"/>
    <mergeCell ref="J347:K347"/>
    <mergeCell ref="L347:M347"/>
    <mergeCell ref="J348:K348"/>
    <mergeCell ref="L348:M348"/>
    <mergeCell ref="J343:K343"/>
    <mergeCell ref="L343:M343"/>
    <mergeCell ref="J344:K344"/>
    <mergeCell ref="L344:M344"/>
    <mergeCell ref="J345:K345"/>
    <mergeCell ref="L345:M345"/>
    <mergeCell ref="J340:K340"/>
    <mergeCell ref="L340:M340"/>
    <mergeCell ref="J341:K341"/>
    <mergeCell ref="L341:M341"/>
    <mergeCell ref="J342:K342"/>
    <mergeCell ref="L342:M342"/>
    <mergeCell ref="J337:K337"/>
    <mergeCell ref="L337:M337"/>
    <mergeCell ref="J338:K338"/>
    <mergeCell ref="L338:M338"/>
    <mergeCell ref="J339:K339"/>
    <mergeCell ref="L339:M339"/>
    <mergeCell ref="J334:K334"/>
    <mergeCell ref="L334:M334"/>
    <mergeCell ref="J335:K335"/>
    <mergeCell ref="L335:M335"/>
    <mergeCell ref="J336:K336"/>
    <mergeCell ref="L336:M336"/>
    <mergeCell ref="J331:K331"/>
    <mergeCell ref="L331:M331"/>
    <mergeCell ref="J332:K332"/>
    <mergeCell ref="L332:M332"/>
    <mergeCell ref="J333:K333"/>
    <mergeCell ref="L333:M333"/>
    <mergeCell ref="J328:K328"/>
    <mergeCell ref="L328:M328"/>
    <mergeCell ref="J329:K329"/>
    <mergeCell ref="L329:M329"/>
    <mergeCell ref="J330:K330"/>
    <mergeCell ref="L330:M330"/>
    <mergeCell ref="J325:K325"/>
    <mergeCell ref="L325:M325"/>
    <mergeCell ref="J326:K326"/>
    <mergeCell ref="L326:M326"/>
    <mergeCell ref="J327:K327"/>
    <mergeCell ref="L327:M327"/>
    <mergeCell ref="J322:K322"/>
    <mergeCell ref="L322:M322"/>
    <mergeCell ref="J323:K323"/>
    <mergeCell ref="L323:M323"/>
    <mergeCell ref="J324:K324"/>
    <mergeCell ref="L324:M324"/>
    <mergeCell ref="J319:K319"/>
    <mergeCell ref="L319:M319"/>
    <mergeCell ref="J320:K320"/>
    <mergeCell ref="L320:M320"/>
    <mergeCell ref="J321:K321"/>
    <mergeCell ref="L321:M321"/>
    <mergeCell ref="J316:K316"/>
    <mergeCell ref="L316:M316"/>
    <mergeCell ref="J317:K317"/>
    <mergeCell ref="L317:M317"/>
    <mergeCell ref="J318:K318"/>
    <mergeCell ref="L318:M318"/>
    <mergeCell ref="J313:K313"/>
    <mergeCell ref="L313:M313"/>
    <mergeCell ref="J314:K314"/>
    <mergeCell ref="L314:M314"/>
    <mergeCell ref="J315:K315"/>
    <mergeCell ref="L315:M315"/>
    <mergeCell ref="J310:K310"/>
    <mergeCell ref="L310:M310"/>
    <mergeCell ref="J311:K311"/>
    <mergeCell ref="L311:M311"/>
    <mergeCell ref="J312:K312"/>
    <mergeCell ref="L312:M312"/>
    <mergeCell ref="J307:K307"/>
    <mergeCell ref="L307:M307"/>
    <mergeCell ref="J308:K308"/>
    <mergeCell ref="L308:M308"/>
    <mergeCell ref="J309:K309"/>
    <mergeCell ref="L309:M309"/>
    <mergeCell ref="J304:K304"/>
    <mergeCell ref="L304:M304"/>
    <mergeCell ref="J305:K305"/>
    <mergeCell ref="L305:M305"/>
    <mergeCell ref="J306:K306"/>
    <mergeCell ref="L306:M306"/>
    <mergeCell ref="J301:K301"/>
    <mergeCell ref="L301:M301"/>
    <mergeCell ref="J302:K302"/>
    <mergeCell ref="L302:M302"/>
    <mergeCell ref="J303:K303"/>
    <mergeCell ref="L303:M303"/>
    <mergeCell ref="J298:K298"/>
    <mergeCell ref="L298:M298"/>
    <mergeCell ref="J299:K299"/>
    <mergeCell ref="L299:M299"/>
    <mergeCell ref="J300:K300"/>
    <mergeCell ref="L300:M300"/>
    <mergeCell ref="J295:K295"/>
    <mergeCell ref="L295:M295"/>
    <mergeCell ref="J296:K296"/>
    <mergeCell ref="L296:M296"/>
    <mergeCell ref="J297:K297"/>
    <mergeCell ref="L297:M297"/>
    <mergeCell ref="J292:K292"/>
    <mergeCell ref="L292:M292"/>
    <mergeCell ref="J293:K293"/>
    <mergeCell ref="L293:M293"/>
    <mergeCell ref="J294:K294"/>
    <mergeCell ref="L294:M294"/>
    <mergeCell ref="J289:K289"/>
    <mergeCell ref="L289:M289"/>
    <mergeCell ref="J290:K290"/>
    <mergeCell ref="L290:M290"/>
    <mergeCell ref="J291:K291"/>
    <mergeCell ref="L291:M291"/>
    <mergeCell ref="J286:K286"/>
    <mergeCell ref="L286:M286"/>
    <mergeCell ref="J287:K287"/>
    <mergeCell ref="L287:M287"/>
    <mergeCell ref="J288:K288"/>
    <mergeCell ref="L288:M288"/>
    <mergeCell ref="J283:K283"/>
    <mergeCell ref="L283:M283"/>
    <mergeCell ref="J284:K284"/>
    <mergeCell ref="L284:M284"/>
    <mergeCell ref="J285:K285"/>
    <mergeCell ref="L285:M285"/>
    <mergeCell ref="J280:K280"/>
    <mergeCell ref="L280:M280"/>
    <mergeCell ref="J281:K281"/>
    <mergeCell ref="L281:M281"/>
    <mergeCell ref="J282:K282"/>
    <mergeCell ref="L282:M282"/>
    <mergeCell ref="J277:K277"/>
    <mergeCell ref="L277:M277"/>
    <mergeCell ref="J278:K278"/>
    <mergeCell ref="L278:M278"/>
    <mergeCell ref="J279:K279"/>
    <mergeCell ref="L279:M279"/>
    <mergeCell ref="J274:K274"/>
    <mergeCell ref="L274:M274"/>
    <mergeCell ref="J275:K275"/>
    <mergeCell ref="L275:M275"/>
    <mergeCell ref="J276:K276"/>
    <mergeCell ref="L276:M276"/>
    <mergeCell ref="J271:K271"/>
    <mergeCell ref="L271:M271"/>
    <mergeCell ref="J272:K272"/>
    <mergeCell ref="L272:M272"/>
    <mergeCell ref="J273:K273"/>
    <mergeCell ref="L273:M273"/>
    <mergeCell ref="J268:K268"/>
    <mergeCell ref="L268:M268"/>
    <mergeCell ref="J269:K269"/>
    <mergeCell ref="L269:M269"/>
    <mergeCell ref="J270:K270"/>
    <mergeCell ref="L270:M270"/>
    <mergeCell ref="J265:K265"/>
    <mergeCell ref="L265:M265"/>
    <mergeCell ref="J266:K266"/>
    <mergeCell ref="L266:M266"/>
    <mergeCell ref="J267:K267"/>
    <mergeCell ref="L267:M267"/>
    <mergeCell ref="J262:K262"/>
    <mergeCell ref="L262:M262"/>
    <mergeCell ref="J263:K263"/>
    <mergeCell ref="L263:M263"/>
    <mergeCell ref="J264:K264"/>
    <mergeCell ref="L264:M264"/>
    <mergeCell ref="J259:K259"/>
    <mergeCell ref="L259:M259"/>
    <mergeCell ref="J260:K260"/>
    <mergeCell ref="L260:M260"/>
    <mergeCell ref="J261:K261"/>
    <mergeCell ref="L261:M261"/>
    <mergeCell ref="J256:K256"/>
    <mergeCell ref="L256:M256"/>
    <mergeCell ref="J257:K257"/>
    <mergeCell ref="L257:M257"/>
    <mergeCell ref="J258:K258"/>
    <mergeCell ref="L258:M258"/>
    <mergeCell ref="J253:K253"/>
    <mergeCell ref="L253:M253"/>
    <mergeCell ref="J254:K254"/>
    <mergeCell ref="L254:M254"/>
    <mergeCell ref="J255:K255"/>
    <mergeCell ref="L255:M255"/>
    <mergeCell ref="J250:K250"/>
    <mergeCell ref="L250:M250"/>
    <mergeCell ref="J251:K251"/>
    <mergeCell ref="L251:M251"/>
    <mergeCell ref="J252:K252"/>
    <mergeCell ref="L252:M252"/>
    <mergeCell ref="J247:K247"/>
    <mergeCell ref="L247:M247"/>
    <mergeCell ref="J248:K248"/>
    <mergeCell ref="L248:M248"/>
    <mergeCell ref="J249:K249"/>
    <mergeCell ref="L249:M249"/>
    <mergeCell ref="J244:K244"/>
    <mergeCell ref="L244:M244"/>
    <mergeCell ref="J245:K245"/>
    <mergeCell ref="L245:M245"/>
    <mergeCell ref="J246:K246"/>
    <mergeCell ref="L246:M246"/>
    <mergeCell ref="J241:K241"/>
    <mergeCell ref="L241:M241"/>
    <mergeCell ref="J242:K242"/>
    <mergeCell ref="L242:M242"/>
    <mergeCell ref="J243:K243"/>
    <mergeCell ref="L243:M243"/>
    <mergeCell ref="J238:K238"/>
    <mergeCell ref="L238:M238"/>
    <mergeCell ref="J239:K239"/>
    <mergeCell ref="L239:M239"/>
    <mergeCell ref="J240:K240"/>
    <mergeCell ref="L240:M240"/>
    <mergeCell ref="J235:K235"/>
    <mergeCell ref="L235:M235"/>
    <mergeCell ref="J236:K236"/>
    <mergeCell ref="L236:M236"/>
    <mergeCell ref="J237:K237"/>
    <mergeCell ref="L237:M237"/>
    <mergeCell ref="J232:K232"/>
    <mergeCell ref="L232:M232"/>
    <mergeCell ref="J233:K233"/>
    <mergeCell ref="L233:M233"/>
    <mergeCell ref="J234:K234"/>
    <mergeCell ref="L234:M234"/>
    <mergeCell ref="J229:K229"/>
    <mergeCell ref="L229:M229"/>
    <mergeCell ref="J230:K230"/>
    <mergeCell ref="L230:M230"/>
    <mergeCell ref="J231:K231"/>
    <mergeCell ref="L231:M231"/>
    <mergeCell ref="J226:K226"/>
    <mergeCell ref="L226:M226"/>
    <mergeCell ref="J227:K227"/>
    <mergeCell ref="L227:M227"/>
    <mergeCell ref="J228:K228"/>
    <mergeCell ref="L228:M228"/>
    <mergeCell ref="J223:K223"/>
    <mergeCell ref="L223:M223"/>
    <mergeCell ref="J224:K224"/>
    <mergeCell ref="L224:M224"/>
    <mergeCell ref="J225:K225"/>
    <mergeCell ref="L225:M225"/>
    <mergeCell ref="J220:K220"/>
    <mergeCell ref="L220:M220"/>
    <mergeCell ref="J221:K221"/>
    <mergeCell ref="L221:M221"/>
    <mergeCell ref="J222:K222"/>
    <mergeCell ref="L222:M222"/>
    <mergeCell ref="J217:K217"/>
    <mergeCell ref="L217:M217"/>
    <mergeCell ref="J218:K218"/>
    <mergeCell ref="L218:M218"/>
    <mergeCell ref="J219:K219"/>
    <mergeCell ref="L219:M219"/>
    <mergeCell ref="J214:K214"/>
    <mergeCell ref="L214:M214"/>
    <mergeCell ref="J215:K215"/>
    <mergeCell ref="L215:M215"/>
    <mergeCell ref="J216:K216"/>
    <mergeCell ref="L216:M216"/>
    <mergeCell ref="J211:K211"/>
    <mergeCell ref="L211:M211"/>
    <mergeCell ref="J212:K212"/>
    <mergeCell ref="L212:M212"/>
    <mergeCell ref="J213:K213"/>
    <mergeCell ref="L213:M213"/>
    <mergeCell ref="J208:K208"/>
    <mergeCell ref="L208:M208"/>
    <mergeCell ref="J209:K209"/>
    <mergeCell ref="L209:M209"/>
    <mergeCell ref="J210:K210"/>
    <mergeCell ref="L210:M210"/>
    <mergeCell ref="J205:K205"/>
    <mergeCell ref="L205:M205"/>
    <mergeCell ref="J206:K206"/>
    <mergeCell ref="L206:M206"/>
    <mergeCell ref="J207:K207"/>
    <mergeCell ref="L207:M207"/>
    <mergeCell ref="J202:K202"/>
    <mergeCell ref="L202:M202"/>
    <mergeCell ref="J203:K203"/>
    <mergeCell ref="L203:M203"/>
    <mergeCell ref="J204:K204"/>
    <mergeCell ref="L204:M204"/>
    <mergeCell ref="J199:K199"/>
    <mergeCell ref="L199:M199"/>
    <mergeCell ref="J200:K200"/>
    <mergeCell ref="L200:M200"/>
    <mergeCell ref="J201:K201"/>
    <mergeCell ref="L201:M201"/>
    <mergeCell ref="J196:K196"/>
    <mergeCell ref="L196:M196"/>
    <mergeCell ref="J197:K197"/>
    <mergeCell ref="L197:M197"/>
    <mergeCell ref="J198:K198"/>
    <mergeCell ref="L198:M198"/>
    <mergeCell ref="J193:K193"/>
    <mergeCell ref="L193:M193"/>
    <mergeCell ref="J194:K194"/>
    <mergeCell ref="L194:M194"/>
    <mergeCell ref="J195:K195"/>
    <mergeCell ref="L195:M195"/>
    <mergeCell ref="J190:K190"/>
    <mergeCell ref="L190:M190"/>
    <mergeCell ref="J191:K191"/>
    <mergeCell ref="L191:M191"/>
    <mergeCell ref="J192:K192"/>
    <mergeCell ref="L192:M192"/>
    <mergeCell ref="J187:K187"/>
    <mergeCell ref="L187:M187"/>
    <mergeCell ref="J188:K188"/>
    <mergeCell ref="L188:M188"/>
    <mergeCell ref="J189:K189"/>
    <mergeCell ref="L189:M189"/>
    <mergeCell ref="J184:K184"/>
    <mergeCell ref="L184:M184"/>
    <mergeCell ref="J185:K185"/>
    <mergeCell ref="L185:M185"/>
    <mergeCell ref="J186:K186"/>
    <mergeCell ref="L186:M186"/>
    <mergeCell ref="J181:K181"/>
    <mergeCell ref="L181:M181"/>
    <mergeCell ref="J182:K182"/>
    <mergeCell ref="L182:M182"/>
    <mergeCell ref="J183:K183"/>
    <mergeCell ref="L183:M183"/>
    <mergeCell ref="J178:K178"/>
    <mergeCell ref="L178:M178"/>
    <mergeCell ref="J179:K179"/>
    <mergeCell ref="L179:M179"/>
    <mergeCell ref="J180:K180"/>
    <mergeCell ref="L180:M180"/>
    <mergeCell ref="J175:K175"/>
    <mergeCell ref="L175:M175"/>
    <mergeCell ref="J176:K176"/>
    <mergeCell ref="L176:M176"/>
    <mergeCell ref="J177:K177"/>
    <mergeCell ref="L177:M177"/>
    <mergeCell ref="J172:K172"/>
    <mergeCell ref="L172:M172"/>
    <mergeCell ref="J173:K173"/>
    <mergeCell ref="L173:M173"/>
    <mergeCell ref="J174:K174"/>
    <mergeCell ref="L174:M174"/>
    <mergeCell ref="J169:K169"/>
    <mergeCell ref="L169:M169"/>
    <mergeCell ref="J170:K170"/>
    <mergeCell ref="L170:M170"/>
    <mergeCell ref="J171:K171"/>
    <mergeCell ref="L171:M171"/>
    <mergeCell ref="J166:K166"/>
    <mergeCell ref="L166:M166"/>
    <mergeCell ref="J167:K167"/>
    <mergeCell ref="L167:M167"/>
    <mergeCell ref="J168:K168"/>
    <mergeCell ref="L168:M168"/>
    <mergeCell ref="J163:K163"/>
    <mergeCell ref="L163:M163"/>
    <mergeCell ref="J164:K164"/>
    <mergeCell ref="L164:M164"/>
    <mergeCell ref="J165:K165"/>
    <mergeCell ref="L165:M165"/>
    <mergeCell ref="J160:K160"/>
    <mergeCell ref="L160:M160"/>
    <mergeCell ref="J161:K161"/>
    <mergeCell ref="L161:M161"/>
    <mergeCell ref="J162:K162"/>
    <mergeCell ref="L162:M162"/>
    <mergeCell ref="J157:K157"/>
    <mergeCell ref="L157:M157"/>
    <mergeCell ref="J158:K158"/>
    <mergeCell ref="L158:M158"/>
    <mergeCell ref="J159:K159"/>
    <mergeCell ref="L159:M159"/>
    <mergeCell ref="J154:K154"/>
    <mergeCell ref="L154:M154"/>
    <mergeCell ref="J155:K155"/>
    <mergeCell ref="L155:M155"/>
    <mergeCell ref="J156:K156"/>
    <mergeCell ref="L156:M156"/>
    <mergeCell ref="J151:K151"/>
    <mergeCell ref="L151:M151"/>
    <mergeCell ref="J152:K152"/>
    <mergeCell ref="L152:M152"/>
    <mergeCell ref="J153:K153"/>
    <mergeCell ref="L153:M153"/>
    <mergeCell ref="J148:K148"/>
    <mergeCell ref="L148:M148"/>
    <mergeCell ref="J149:K149"/>
    <mergeCell ref="L149:M149"/>
    <mergeCell ref="J150:K150"/>
    <mergeCell ref="L150:M150"/>
    <mergeCell ref="J145:K145"/>
    <mergeCell ref="L145:M145"/>
    <mergeCell ref="J146:K146"/>
    <mergeCell ref="L146:M146"/>
    <mergeCell ref="J147:K147"/>
    <mergeCell ref="L147:M147"/>
    <mergeCell ref="J142:K142"/>
    <mergeCell ref="L142:M142"/>
    <mergeCell ref="J143:K143"/>
    <mergeCell ref="L143:M143"/>
    <mergeCell ref="J144:K144"/>
    <mergeCell ref="L144:M144"/>
    <mergeCell ref="J139:K139"/>
    <mergeCell ref="L139:M139"/>
    <mergeCell ref="J140:K140"/>
    <mergeCell ref="L140:M140"/>
    <mergeCell ref="J141:K141"/>
    <mergeCell ref="L141:M141"/>
    <mergeCell ref="J136:K136"/>
    <mergeCell ref="L136:M136"/>
    <mergeCell ref="J137:K137"/>
    <mergeCell ref="L137:M137"/>
    <mergeCell ref="J138:K138"/>
    <mergeCell ref="L138:M138"/>
    <mergeCell ref="J133:K133"/>
    <mergeCell ref="L133:M133"/>
    <mergeCell ref="J134:K134"/>
    <mergeCell ref="L134:M134"/>
    <mergeCell ref="J135:K135"/>
    <mergeCell ref="L135:M135"/>
    <mergeCell ref="J130:K130"/>
    <mergeCell ref="L130:M130"/>
    <mergeCell ref="J131:K131"/>
    <mergeCell ref="L131:M131"/>
    <mergeCell ref="J132:K132"/>
    <mergeCell ref="L132:M132"/>
    <mergeCell ref="J127:K127"/>
    <mergeCell ref="L127:M127"/>
    <mergeCell ref="J128:K128"/>
    <mergeCell ref="L128:M128"/>
    <mergeCell ref="J129:K129"/>
    <mergeCell ref="L129:M129"/>
    <mergeCell ref="J124:K124"/>
    <mergeCell ref="L124:M124"/>
    <mergeCell ref="J125:K125"/>
    <mergeCell ref="L125:M125"/>
    <mergeCell ref="J126:K126"/>
    <mergeCell ref="L126:M126"/>
    <mergeCell ref="J121:K121"/>
    <mergeCell ref="L121:M121"/>
    <mergeCell ref="J122:K122"/>
    <mergeCell ref="L122:M122"/>
    <mergeCell ref="J123:K123"/>
    <mergeCell ref="L123:M123"/>
    <mergeCell ref="J118:K118"/>
    <mergeCell ref="L118:M118"/>
    <mergeCell ref="J119:K119"/>
    <mergeCell ref="L119:M119"/>
    <mergeCell ref="J120:K120"/>
    <mergeCell ref="L120:M120"/>
    <mergeCell ref="J115:K115"/>
    <mergeCell ref="L115:M115"/>
    <mergeCell ref="J116:K116"/>
    <mergeCell ref="L116:M116"/>
    <mergeCell ref="J117:K117"/>
    <mergeCell ref="L117:M117"/>
    <mergeCell ref="J112:K112"/>
    <mergeCell ref="L112:M112"/>
    <mergeCell ref="J113:K113"/>
    <mergeCell ref="L113:M113"/>
    <mergeCell ref="J114:K114"/>
    <mergeCell ref="L114:M114"/>
    <mergeCell ref="J109:K109"/>
    <mergeCell ref="L109:M109"/>
    <mergeCell ref="J110:K110"/>
    <mergeCell ref="L110:M110"/>
    <mergeCell ref="J111:K111"/>
    <mergeCell ref="L111:M111"/>
    <mergeCell ref="J106:K106"/>
    <mergeCell ref="L106:M106"/>
    <mergeCell ref="J107:K107"/>
    <mergeCell ref="L107:M107"/>
    <mergeCell ref="J108:K108"/>
    <mergeCell ref="L108:M108"/>
    <mergeCell ref="J103:K103"/>
    <mergeCell ref="L103:M103"/>
    <mergeCell ref="J104:K104"/>
    <mergeCell ref="L104:M104"/>
    <mergeCell ref="J105:K105"/>
    <mergeCell ref="L105:M105"/>
    <mergeCell ref="J100:K100"/>
    <mergeCell ref="L100:M100"/>
    <mergeCell ref="J101:K101"/>
    <mergeCell ref="L101:M101"/>
    <mergeCell ref="J102:K102"/>
    <mergeCell ref="L102:M102"/>
    <mergeCell ref="J97:K97"/>
    <mergeCell ref="L97:M97"/>
    <mergeCell ref="J98:K98"/>
    <mergeCell ref="L98:M98"/>
    <mergeCell ref="J99:K99"/>
    <mergeCell ref="L99:M99"/>
    <mergeCell ref="J94:K94"/>
    <mergeCell ref="L94:M94"/>
    <mergeCell ref="J95:K95"/>
    <mergeCell ref="L95:M95"/>
    <mergeCell ref="J96:K96"/>
    <mergeCell ref="L96:M96"/>
    <mergeCell ref="J91:K91"/>
    <mergeCell ref="L91:M91"/>
    <mergeCell ref="J92:K92"/>
    <mergeCell ref="L92:M92"/>
    <mergeCell ref="J93:K93"/>
    <mergeCell ref="L93:M93"/>
    <mergeCell ref="J88:K88"/>
    <mergeCell ref="L88:M88"/>
    <mergeCell ref="J89:K89"/>
    <mergeCell ref="L89:M89"/>
    <mergeCell ref="J90:K90"/>
    <mergeCell ref="L90:M90"/>
    <mergeCell ref="J85:K85"/>
    <mergeCell ref="L85:M85"/>
    <mergeCell ref="J86:K86"/>
    <mergeCell ref="L86:M86"/>
    <mergeCell ref="J87:K87"/>
    <mergeCell ref="L87:M87"/>
    <mergeCell ref="J82:K82"/>
    <mergeCell ref="L82:M82"/>
    <mergeCell ref="J83:K83"/>
    <mergeCell ref="L83:M83"/>
    <mergeCell ref="J84:K84"/>
    <mergeCell ref="L84:M84"/>
    <mergeCell ref="J79:K79"/>
    <mergeCell ref="L79:M79"/>
    <mergeCell ref="J80:K80"/>
    <mergeCell ref="L80:M80"/>
    <mergeCell ref="J81:K81"/>
    <mergeCell ref="L81:M81"/>
    <mergeCell ref="J76:K76"/>
    <mergeCell ref="L76:M76"/>
    <mergeCell ref="J77:K77"/>
    <mergeCell ref="L77:M77"/>
    <mergeCell ref="J78:K78"/>
    <mergeCell ref="L78:M78"/>
    <mergeCell ref="J73:K73"/>
    <mergeCell ref="L73:M73"/>
    <mergeCell ref="J74:K74"/>
    <mergeCell ref="L74:M74"/>
    <mergeCell ref="J75:K75"/>
    <mergeCell ref="L75:M75"/>
    <mergeCell ref="J70:K70"/>
    <mergeCell ref="L70:M70"/>
    <mergeCell ref="J71:K71"/>
    <mergeCell ref="L71:M71"/>
    <mergeCell ref="J72:K72"/>
    <mergeCell ref="L72:M72"/>
    <mergeCell ref="J67:K67"/>
    <mergeCell ref="L67:M67"/>
    <mergeCell ref="J68:K68"/>
    <mergeCell ref="L68:M68"/>
    <mergeCell ref="J69:K69"/>
    <mergeCell ref="L69:M69"/>
    <mergeCell ref="J64:K64"/>
    <mergeCell ref="L64:M64"/>
    <mergeCell ref="J65:K65"/>
    <mergeCell ref="L65:M65"/>
    <mergeCell ref="J66:K66"/>
    <mergeCell ref="L66:M66"/>
    <mergeCell ref="J61:K61"/>
    <mergeCell ref="L61:M61"/>
    <mergeCell ref="J62:K62"/>
    <mergeCell ref="L62:M62"/>
    <mergeCell ref="J63:K63"/>
    <mergeCell ref="L63:M63"/>
    <mergeCell ref="J58:K58"/>
    <mergeCell ref="L58:M58"/>
    <mergeCell ref="J59:K59"/>
    <mergeCell ref="L59:M59"/>
    <mergeCell ref="J60:K60"/>
    <mergeCell ref="L60:M60"/>
    <mergeCell ref="J55:K55"/>
    <mergeCell ref="L55:M55"/>
    <mergeCell ref="J56:K56"/>
    <mergeCell ref="L56:M56"/>
    <mergeCell ref="J57:K57"/>
    <mergeCell ref="L57:M57"/>
    <mergeCell ref="J52:K52"/>
    <mergeCell ref="L52:M52"/>
    <mergeCell ref="J53:K53"/>
    <mergeCell ref="L53:M53"/>
    <mergeCell ref="J54:K54"/>
    <mergeCell ref="L54:M54"/>
    <mergeCell ref="J49:K49"/>
    <mergeCell ref="L49:M49"/>
    <mergeCell ref="J50:K50"/>
    <mergeCell ref="L50:M50"/>
    <mergeCell ref="J51:K51"/>
    <mergeCell ref="L51:M51"/>
    <mergeCell ref="J46:K46"/>
    <mergeCell ref="L46:M46"/>
    <mergeCell ref="J47:K47"/>
    <mergeCell ref="L47:M47"/>
    <mergeCell ref="J48:K48"/>
    <mergeCell ref="L48:M48"/>
    <mergeCell ref="J43:K43"/>
    <mergeCell ref="L43:M43"/>
    <mergeCell ref="J44:K44"/>
    <mergeCell ref="L44:M44"/>
    <mergeCell ref="J45:K45"/>
    <mergeCell ref="L45:M45"/>
    <mergeCell ref="J40:K40"/>
    <mergeCell ref="L40:M40"/>
    <mergeCell ref="J41:K41"/>
    <mergeCell ref="L41:M41"/>
    <mergeCell ref="J42:K42"/>
    <mergeCell ref="L42:M42"/>
    <mergeCell ref="J37:K37"/>
    <mergeCell ref="L37:M37"/>
    <mergeCell ref="J38:K38"/>
    <mergeCell ref="L38:M38"/>
    <mergeCell ref="J39:K39"/>
    <mergeCell ref="L39:M39"/>
    <mergeCell ref="J34:K34"/>
    <mergeCell ref="L34:M34"/>
    <mergeCell ref="J35:K35"/>
    <mergeCell ref="L35:M35"/>
    <mergeCell ref="J36:K36"/>
    <mergeCell ref="L36:M36"/>
    <mergeCell ref="J31:K31"/>
    <mergeCell ref="L31:M31"/>
    <mergeCell ref="J32:K32"/>
    <mergeCell ref="L32:M32"/>
    <mergeCell ref="J33:K33"/>
    <mergeCell ref="L33:M33"/>
    <mergeCell ref="J28:K28"/>
    <mergeCell ref="L28:M28"/>
    <mergeCell ref="J29:K29"/>
    <mergeCell ref="L29:M29"/>
    <mergeCell ref="J30:K30"/>
    <mergeCell ref="L30:M30"/>
    <mergeCell ref="J25:K25"/>
    <mergeCell ref="L25:M25"/>
    <mergeCell ref="J26:K26"/>
    <mergeCell ref="L26:M26"/>
    <mergeCell ref="J27:K27"/>
    <mergeCell ref="L27:M27"/>
    <mergeCell ref="J22:K22"/>
    <mergeCell ref="L22:M22"/>
    <mergeCell ref="J23:K23"/>
    <mergeCell ref="L23:M23"/>
    <mergeCell ref="J24:K24"/>
    <mergeCell ref="L24:M24"/>
    <mergeCell ref="J19:K19"/>
    <mergeCell ref="L19:M19"/>
    <mergeCell ref="J20:K20"/>
    <mergeCell ref="L20:M20"/>
    <mergeCell ref="J21:K21"/>
    <mergeCell ref="L21:M21"/>
    <mergeCell ref="J17:K17"/>
    <mergeCell ref="L17:M17"/>
    <mergeCell ref="J18:K18"/>
    <mergeCell ref="L18:M18"/>
    <mergeCell ref="J13:K13"/>
    <mergeCell ref="L13:M13"/>
    <mergeCell ref="J14:K14"/>
    <mergeCell ref="L14:M14"/>
    <mergeCell ref="J15:K15"/>
    <mergeCell ref="L15:M15"/>
    <mergeCell ref="T9:Y9"/>
    <mergeCell ref="J10:K10"/>
    <mergeCell ref="L10:M10"/>
    <mergeCell ref="J11:K11"/>
    <mergeCell ref="L11:M11"/>
    <mergeCell ref="J12:K12"/>
    <mergeCell ref="L12:M12"/>
    <mergeCell ref="B8:C8"/>
    <mergeCell ref="D8:E8"/>
    <mergeCell ref="F8:G8"/>
    <mergeCell ref="H8:I8"/>
    <mergeCell ref="T8:Y8"/>
    <mergeCell ref="B5:C5"/>
    <mergeCell ref="D5:E5"/>
    <mergeCell ref="F5:G5"/>
    <mergeCell ref="H5:I5"/>
    <mergeCell ref="T5:Y5"/>
    <mergeCell ref="B6:C6"/>
    <mergeCell ref="D6:E6"/>
    <mergeCell ref="F6:G6"/>
    <mergeCell ref="H6:I6"/>
    <mergeCell ref="T6:Y6"/>
    <mergeCell ref="J16:K16"/>
    <mergeCell ref="L16:M16"/>
    <mergeCell ref="K3:L3"/>
    <mergeCell ref="N3:O3"/>
    <mergeCell ref="T3:Y3"/>
    <mergeCell ref="B4:C4"/>
    <mergeCell ref="D4:E4"/>
    <mergeCell ref="F4:G4"/>
    <mergeCell ref="H4:I4"/>
    <mergeCell ref="T4:Y4"/>
    <mergeCell ref="B1:C1"/>
    <mergeCell ref="B2:C2"/>
    <mergeCell ref="B3:C3"/>
    <mergeCell ref="D3:E3"/>
    <mergeCell ref="F3:G3"/>
    <mergeCell ref="H3:I3"/>
    <mergeCell ref="B7:C7"/>
    <mergeCell ref="D7:E7"/>
    <mergeCell ref="F7:G7"/>
    <mergeCell ref="H7:I7"/>
    <mergeCell ref="T7:Y7"/>
  </mergeCells>
  <dataValidations count="1">
    <dataValidation type="list" allowBlank="1" showInputMessage="1" showErrorMessage="1" sqref="L4" xr:uid="{49038358-F472-453F-B737-511D962EED26}">
      <formula1>$O$11:$O$12</formula1>
    </dataValidation>
  </dataValidations>
  <pageMargins left="0.25" right="0.25" top="0.75" bottom="0.75" header="0.3" footer="0.3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2C7A4-5038-4E0F-8586-B051EAFF57DA}">
  <sheetPr codeName="Sheet10"/>
  <dimension ref="A1:Y813"/>
  <sheetViews>
    <sheetView showGridLines="0" zoomScaleNormal="100" workbookViewId="0">
      <selection activeCell="S6" sqref="S6"/>
    </sheetView>
  </sheetViews>
  <sheetFormatPr defaultColWidth="9" defaultRowHeight="13.8"/>
  <cols>
    <col min="1" max="1" width="1.88671875" style="24" customWidth="1"/>
    <col min="2" max="9" width="9.6640625" style="24" customWidth="1"/>
    <col min="10" max="10" width="3.6640625" style="24" customWidth="1"/>
    <col min="11" max="11" width="6.6640625" style="24" customWidth="1"/>
    <col min="12" max="12" width="7.6640625" style="24" customWidth="1"/>
    <col min="13" max="13" width="3.6640625" style="24" customWidth="1"/>
    <col min="14" max="14" width="6.6640625" style="24" bestFit="1" customWidth="1"/>
    <col min="15" max="15" width="7.21875" style="24" bestFit="1" customWidth="1"/>
    <col min="16" max="16" width="4.33203125" style="24" customWidth="1"/>
    <col min="17" max="17" width="1.88671875" style="24" customWidth="1"/>
    <col min="18" max="16384" width="9" style="24"/>
  </cols>
  <sheetData>
    <row r="1" spans="1:25">
      <c r="A1" s="23"/>
      <c r="B1" s="88">
        <v>44767.533530092594</v>
      </c>
      <c r="C1" s="88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65" t="s">
        <v>70</v>
      </c>
    </row>
    <row r="2" spans="1:25">
      <c r="A2" s="23"/>
      <c r="B2" s="95" t="s">
        <v>50</v>
      </c>
      <c r="C2" s="9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4" t="s">
        <v>71</v>
      </c>
      <c r="S2" s="24" t="s">
        <v>69</v>
      </c>
      <c r="T2" s="24" t="s">
        <v>68</v>
      </c>
    </row>
    <row r="3" spans="1:25" ht="14.25" customHeight="1">
      <c r="A3" s="23"/>
      <c r="B3" s="89" t="s">
        <v>15</v>
      </c>
      <c r="C3" s="96"/>
      <c r="D3" s="93" t="s">
        <v>64</v>
      </c>
      <c r="E3" s="90"/>
      <c r="F3" s="89" t="s">
        <v>16</v>
      </c>
      <c r="G3" s="90"/>
      <c r="H3" s="89" t="s">
        <v>61</v>
      </c>
      <c r="I3" s="90"/>
      <c r="J3" s="25"/>
      <c r="K3" s="102" t="s">
        <v>17</v>
      </c>
      <c r="L3" s="103"/>
      <c r="M3" s="23"/>
      <c r="N3" s="98"/>
      <c r="O3" s="98"/>
      <c r="P3" s="23"/>
      <c r="Q3" s="23"/>
      <c r="R3" s="66" t="s">
        <v>63</v>
      </c>
      <c r="S3" s="66" t="s">
        <v>81</v>
      </c>
      <c r="T3" s="106"/>
      <c r="U3" s="107"/>
      <c r="V3" s="107"/>
      <c r="W3" s="107"/>
      <c r="X3" s="107"/>
      <c r="Y3" s="108"/>
    </row>
    <row r="4" spans="1:25" ht="13.5" customHeight="1">
      <c r="A4" s="23"/>
      <c r="B4" s="91" t="s">
        <v>18</v>
      </c>
      <c r="C4" s="97"/>
      <c r="D4" s="94" t="s">
        <v>55</v>
      </c>
      <c r="E4" s="92"/>
      <c r="F4" s="91" t="s">
        <v>19</v>
      </c>
      <c r="G4" s="92"/>
      <c r="H4" s="91" t="s">
        <v>59</v>
      </c>
      <c r="I4" s="92"/>
      <c r="J4" s="25"/>
      <c r="K4" s="26" t="s">
        <v>20</v>
      </c>
      <c r="L4" s="27" t="str">
        <f>C10</f>
        <v>Frequency</v>
      </c>
      <c r="M4" s="23"/>
      <c r="N4" s="28"/>
      <c r="O4" s="28"/>
      <c r="P4" s="23"/>
      <c r="Q4" s="23"/>
      <c r="R4" s="66" t="s">
        <v>62</v>
      </c>
      <c r="S4" s="66" t="s">
        <v>82</v>
      </c>
      <c r="T4" s="106"/>
      <c r="U4" s="107"/>
      <c r="V4" s="107"/>
      <c r="W4" s="107"/>
      <c r="X4" s="107"/>
      <c r="Y4" s="108"/>
    </row>
    <row r="5" spans="1:25" ht="13.5" customHeight="1">
      <c r="A5" s="23"/>
      <c r="B5" s="91" t="s">
        <v>21</v>
      </c>
      <c r="C5" s="97"/>
      <c r="D5" s="94" t="s">
        <v>56</v>
      </c>
      <c r="E5" s="92"/>
      <c r="F5" s="91" t="s">
        <v>22</v>
      </c>
      <c r="G5" s="92"/>
      <c r="H5" s="91">
        <v>5</v>
      </c>
      <c r="I5" s="92"/>
      <c r="J5" s="25"/>
      <c r="K5" s="29" t="s">
        <v>23</v>
      </c>
      <c r="L5" s="30" t="s">
        <v>65</v>
      </c>
      <c r="M5" s="23"/>
      <c r="N5" s="28"/>
      <c r="O5" s="28"/>
      <c r="P5" s="23"/>
      <c r="Q5" s="23"/>
      <c r="R5" s="66"/>
      <c r="S5" s="66"/>
      <c r="T5" s="106"/>
      <c r="U5" s="107"/>
      <c r="V5" s="107"/>
      <c r="W5" s="107"/>
      <c r="X5" s="107"/>
      <c r="Y5" s="108"/>
    </row>
    <row r="6" spans="1:25" ht="13.5" customHeight="1">
      <c r="A6" s="23"/>
      <c r="B6" s="91" t="s">
        <v>24</v>
      </c>
      <c r="C6" s="97"/>
      <c r="D6" s="94">
        <v>201</v>
      </c>
      <c r="E6" s="92"/>
      <c r="F6" s="91" t="s">
        <v>25</v>
      </c>
      <c r="G6" s="92"/>
      <c r="H6" s="91" t="s">
        <v>59</v>
      </c>
      <c r="I6" s="92"/>
      <c r="J6" s="25"/>
      <c r="K6" s="31" t="s">
        <v>14</v>
      </c>
      <c r="L6" s="32" t="s">
        <v>66</v>
      </c>
      <c r="M6" s="23"/>
      <c r="N6" s="28"/>
      <c r="O6" s="28"/>
      <c r="P6" s="23"/>
      <c r="Q6" s="23"/>
      <c r="R6" s="66"/>
      <c r="S6" s="66"/>
      <c r="T6" s="106"/>
      <c r="U6" s="107"/>
      <c r="V6" s="107"/>
      <c r="W6" s="107"/>
      <c r="X6" s="107"/>
      <c r="Y6" s="108"/>
    </row>
    <row r="7" spans="1:25" ht="13.5" customHeight="1">
      <c r="A7" s="23"/>
      <c r="B7" s="91" t="s">
        <v>26</v>
      </c>
      <c r="C7" s="97"/>
      <c r="D7" s="94" t="s">
        <v>57</v>
      </c>
      <c r="E7" s="92"/>
      <c r="F7" s="91" t="s">
        <v>27</v>
      </c>
      <c r="G7" s="92"/>
      <c r="H7" s="91" t="s">
        <v>59</v>
      </c>
      <c r="I7" s="92"/>
      <c r="J7" s="25"/>
      <c r="K7" s="33"/>
      <c r="L7" s="33"/>
      <c r="M7" s="23"/>
      <c r="N7" s="28"/>
      <c r="O7" s="28"/>
      <c r="P7" s="23"/>
      <c r="Q7" s="23"/>
      <c r="R7" s="66"/>
      <c r="S7" s="66"/>
      <c r="T7" s="106"/>
      <c r="U7" s="107"/>
      <c r="V7" s="107"/>
      <c r="W7" s="107"/>
      <c r="X7" s="107"/>
      <c r="Y7" s="108"/>
    </row>
    <row r="8" spans="1:25">
      <c r="A8" s="23"/>
      <c r="B8" s="100" t="s">
        <v>28</v>
      </c>
      <c r="C8" s="101"/>
      <c r="D8" s="104" t="s">
        <v>58</v>
      </c>
      <c r="E8" s="105"/>
      <c r="F8" s="100" t="s">
        <v>67</v>
      </c>
      <c r="G8" s="105"/>
      <c r="H8" s="91" t="s">
        <v>13</v>
      </c>
      <c r="I8" s="92"/>
      <c r="J8" s="34"/>
      <c r="K8" s="33"/>
      <c r="L8" s="33"/>
      <c r="M8" s="23"/>
      <c r="N8" s="28"/>
      <c r="O8" s="28"/>
      <c r="P8" s="23"/>
      <c r="Q8" s="23"/>
      <c r="R8" s="66"/>
      <c r="S8" s="66"/>
      <c r="T8" s="106"/>
      <c r="U8" s="107"/>
      <c r="V8" s="107"/>
      <c r="W8" s="107"/>
      <c r="X8" s="107"/>
      <c r="Y8" s="108"/>
    </row>
    <row r="9" spans="1:25">
      <c r="A9" s="23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23"/>
      <c r="N9" s="23"/>
      <c r="O9" s="23"/>
      <c r="P9" s="23"/>
      <c r="Q9" s="23"/>
      <c r="R9" s="66"/>
      <c r="S9" s="66"/>
      <c r="T9" s="106"/>
      <c r="U9" s="107"/>
      <c r="V9" s="107"/>
      <c r="W9" s="107"/>
      <c r="X9" s="107"/>
      <c r="Y9" s="108"/>
    </row>
    <row r="10" spans="1:25" ht="27.75" customHeight="1" thickBot="1">
      <c r="A10" s="23"/>
      <c r="B10" s="36" t="s">
        <v>30</v>
      </c>
      <c r="C10" s="36" t="s">
        <v>60</v>
      </c>
      <c r="D10" s="51" t="s">
        <v>51</v>
      </c>
      <c r="E10" s="51" t="s">
        <v>52</v>
      </c>
      <c r="F10" s="51" t="s">
        <v>53</v>
      </c>
      <c r="G10" s="51" t="s">
        <v>54</v>
      </c>
      <c r="H10" s="37"/>
      <c r="I10" s="37"/>
      <c r="J10" s="99"/>
      <c r="K10" s="99"/>
      <c r="L10" s="99"/>
      <c r="M10" s="99"/>
      <c r="N10" s="38" t="s">
        <v>32</v>
      </c>
      <c r="O10" s="39" t="s">
        <v>33</v>
      </c>
      <c r="P10" s="23"/>
      <c r="Q10" s="23"/>
    </row>
    <row r="11" spans="1:25" ht="14.4" thickTop="1">
      <c r="A11" s="23"/>
      <c r="B11" s="53">
        <v>1</v>
      </c>
      <c r="C11" s="58">
        <v>40</v>
      </c>
      <c r="D11" s="59">
        <v>8976577</v>
      </c>
      <c r="E11" s="59">
        <v>0</v>
      </c>
      <c r="F11" s="59">
        <v>-84.53912353515625</v>
      </c>
      <c r="G11" s="42">
        <v>0</v>
      </c>
      <c r="H11" s="23"/>
      <c r="I11" s="23"/>
      <c r="J11" s="99"/>
      <c r="K11" s="99"/>
      <c r="L11" s="99"/>
      <c r="M11" s="99"/>
      <c r="N11" s="43">
        <f t="shared" ref="N11:N74" si="0">IF($L$4=$C$10,C11,IF(D11="","",B11))</f>
        <v>40</v>
      </c>
      <c r="O11" s="39" t="str">
        <f>B10</f>
        <v>Point#</v>
      </c>
      <c r="P11" s="23"/>
      <c r="Q11" s="23"/>
    </row>
    <row r="12" spans="1:25">
      <c r="A12" s="23"/>
      <c r="B12" s="53">
        <v>2</v>
      </c>
      <c r="C12" s="58">
        <v>42.759998321533203</v>
      </c>
      <c r="D12" s="59">
        <v>8422161</v>
      </c>
      <c r="E12" s="59">
        <v>0</v>
      </c>
      <c r="F12" s="59">
        <v>-85.010643005371094</v>
      </c>
      <c r="G12" s="42">
        <v>0</v>
      </c>
      <c r="H12" s="23"/>
      <c r="I12" s="23"/>
      <c r="J12" s="99"/>
      <c r="K12" s="99"/>
      <c r="L12" s="99"/>
      <c r="M12" s="99"/>
      <c r="N12" s="43">
        <f t="shared" si="0"/>
        <v>42.759998321533203</v>
      </c>
      <c r="O12" s="39" t="str">
        <f>C10</f>
        <v>Frequency</v>
      </c>
      <c r="P12" s="23"/>
      <c r="Q12" s="23"/>
    </row>
    <row r="13" spans="1:25">
      <c r="A13" s="23"/>
      <c r="B13" s="53">
        <v>3</v>
      </c>
      <c r="C13" s="58">
        <v>45.71099853515625</v>
      </c>
      <c r="D13" s="59">
        <v>7861109</v>
      </c>
      <c r="E13" s="59">
        <v>0</v>
      </c>
      <c r="F13" s="59">
        <v>-85.250152587890625</v>
      </c>
      <c r="G13" s="42">
        <v>0</v>
      </c>
      <c r="H13" s="23"/>
      <c r="I13" s="23"/>
      <c r="J13" s="99"/>
      <c r="K13" s="99"/>
      <c r="L13" s="99"/>
      <c r="M13" s="99"/>
      <c r="N13" s="43">
        <f t="shared" si="0"/>
        <v>45.71099853515625</v>
      </c>
      <c r="O13" s="43"/>
      <c r="P13" s="23"/>
      <c r="Q13" s="23"/>
    </row>
    <row r="14" spans="1:25">
      <c r="A14" s="23"/>
      <c r="B14" s="53">
        <v>4</v>
      </c>
      <c r="C14" s="58">
        <v>48.865001678466797</v>
      </c>
      <c r="D14" s="59">
        <v>7364721</v>
      </c>
      <c r="E14" s="59">
        <v>0</v>
      </c>
      <c r="F14" s="59">
        <v>-85.543052673339844</v>
      </c>
      <c r="G14" s="42">
        <v>0</v>
      </c>
      <c r="H14" s="23"/>
      <c r="I14" s="23"/>
      <c r="J14" s="99"/>
      <c r="K14" s="99"/>
      <c r="L14" s="99"/>
      <c r="M14" s="99"/>
      <c r="N14" s="43">
        <f t="shared" si="0"/>
        <v>48.865001678466797</v>
      </c>
      <c r="O14" s="43"/>
      <c r="P14" s="23"/>
      <c r="Q14" s="23"/>
    </row>
    <row r="15" spans="1:25">
      <c r="A15" s="23"/>
      <c r="B15" s="53">
        <v>5</v>
      </c>
      <c r="C15" s="58">
        <v>52.23699951171875</v>
      </c>
      <c r="D15" s="59">
        <v>6888073</v>
      </c>
      <c r="E15" s="59">
        <v>0</v>
      </c>
      <c r="F15" s="59">
        <v>-85.681938171386719</v>
      </c>
      <c r="G15" s="42">
        <v>0</v>
      </c>
      <c r="H15" s="23"/>
      <c r="I15" s="23"/>
      <c r="J15" s="99"/>
      <c r="K15" s="99"/>
      <c r="L15" s="99"/>
      <c r="M15" s="99"/>
      <c r="N15" s="43">
        <f t="shared" si="0"/>
        <v>52.23699951171875</v>
      </c>
      <c r="O15" s="43"/>
      <c r="P15" s="23"/>
      <c r="Q15" s="23"/>
    </row>
    <row r="16" spans="1:25">
      <c r="A16" s="23"/>
      <c r="B16" s="53">
        <v>6</v>
      </c>
      <c r="C16" s="58">
        <v>55.840999603271484</v>
      </c>
      <c r="D16" s="59">
        <v>6455438</v>
      </c>
      <c r="E16" s="59">
        <v>0</v>
      </c>
      <c r="F16" s="59">
        <v>-85.958839416503906</v>
      </c>
      <c r="G16" s="42">
        <v>0</v>
      </c>
      <c r="H16" s="23"/>
      <c r="I16" s="23"/>
      <c r="J16" s="99"/>
      <c r="K16" s="99"/>
      <c r="L16" s="99"/>
      <c r="M16" s="99"/>
      <c r="N16" s="43">
        <f t="shared" si="0"/>
        <v>55.840999603271484</v>
      </c>
      <c r="O16" s="43"/>
      <c r="P16" s="23"/>
      <c r="Q16" s="23"/>
    </row>
    <row r="17" spans="1:17">
      <c r="A17" s="23"/>
      <c r="B17" s="53">
        <v>7</v>
      </c>
      <c r="C17" s="58">
        <v>59.694999694824219</v>
      </c>
      <c r="D17" s="59">
        <v>6037835</v>
      </c>
      <c r="E17" s="59">
        <v>0</v>
      </c>
      <c r="F17" s="59">
        <v>-86.223587036132813</v>
      </c>
      <c r="G17" s="42">
        <v>0</v>
      </c>
      <c r="H17" s="23"/>
      <c r="I17" s="23"/>
      <c r="J17" s="99"/>
      <c r="K17" s="99"/>
      <c r="L17" s="99"/>
      <c r="M17" s="99"/>
      <c r="N17" s="43">
        <f t="shared" si="0"/>
        <v>59.694999694824219</v>
      </c>
      <c r="O17" s="43"/>
      <c r="P17" s="23"/>
      <c r="Q17" s="23"/>
    </row>
    <row r="18" spans="1:17">
      <c r="A18" s="23"/>
      <c r="B18" s="53">
        <v>8</v>
      </c>
      <c r="C18" s="58">
        <v>63.813999176025391</v>
      </c>
      <c r="D18" s="59">
        <v>5645111</v>
      </c>
      <c r="E18" s="59">
        <v>0</v>
      </c>
      <c r="F18" s="59">
        <v>-86.47442626953125</v>
      </c>
      <c r="G18" s="42">
        <v>0</v>
      </c>
      <c r="H18" s="23"/>
      <c r="I18" s="23"/>
      <c r="J18" s="99"/>
      <c r="K18" s="99"/>
      <c r="L18" s="99"/>
      <c r="M18" s="99"/>
      <c r="N18" s="43">
        <f t="shared" si="0"/>
        <v>63.813999176025391</v>
      </c>
      <c r="O18" s="43"/>
      <c r="P18" s="23"/>
      <c r="Q18" s="23"/>
    </row>
    <row r="19" spans="1:17">
      <c r="A19" s="23"/>
      <c r="B19" s="53">
        <v>9</v>
      </c>
      <c r="C19" s="58">
        <v>68.217002868652344</v>
      </c>
      <c r="D19" s="59">
        <v>5280999</v>
      </c>
      <c r="E19" s="59">
        <v>0</v>
      </c>
      <c r="F19" s="59">
        <v>-86.64642333984375</v>
      </c>
      <c r="G19" s="42">
        <v>0</v>
      </c>
      <c r="H19" s="23"/>
      <c r="I19" s="23"/>
      <c r="J19" s="99"/>
      <c r="K19" s="99"/>
      <c r="L19" s="99"/>
      <c r="M19" s="99"/>
      <c r="N19" s="43">
        <f t="shared" si="0"/>
        <v>68.217002868652344</v>
      </c>
      <c r="O19" s="43"/>
      <c r="P19" s="23"/>
      <c r="Q19" s="23"/>
    </row>
    <row r="20" spans="1:17">
      <c r="A20" s="23"/>
      <c r="B20" s="53">
        <v>10</v>
      </c>
      <c r="C20" s="58">
        <v>72.925003051757813</v>
      </c>
      <c r="D20" s="59">
        <v>4945058</v>
      </c>
      <c r="E20" s="59">
        <v>0</v>
      </c>
      <c r="F20" s="59">
        <v>-86.864730834960938</v>
      </c>
      <c r="G20" s="42">
        <v>0</v>
      </c>
      <c r="H20" s="23"/>
      <c r="I20" s="23"/>
      <c r="J20" s="99"/>
      <c r="K20" s="99"/>
      <c r="L20" s="99"/>
      <c r="M20" s="99"/>
      <c r="N20" s="43">
        <f t="shared" si="0"/>
        <v>72.925003051757813</v>
      </c>
      <c r="O20" s="43"/>
      <c r="P20" s="23"/>
      <c r="Q20" s="23"/>
    </row>
    <row r="21" spans="1:17">
      <c r="A21" s="23"/>
      <c r="B21" s="53">
        <v>11</v>
      </c>
      <c r="C21" s="58">
        <v>77.957000732421875</v>
      </c>
      <c r="D21" s="59">
        <v>4637367</v>
      </c>
      <c r="E21" s="59">
        <v>0</v>
      </c>
      <c r="F21" s="59">
        <v>-87.023948669433594</v>
      </c>
      <c r="G21" s="42">
        <v>0</v>
      </c>
      <c r="H21" s="23"/>
      <c r="I21" s="23"/>
      <c r="J21" s="99"/>
      <c r="K21" s="99"/>
      <c r="L21" s="99"/>
      <c r="M21" s="99"/>
      <c r="N21" s="43">
        <f t="shared" si="0"/>
        <v>77.957000732421875</v>
      </c>
      <c r="O21" s="43"/>
      <c r="P21" s="23"/>
      <c r="Q21" s="23"/>
    </row>
    <row r="22" spans="1:17">
      <c r="A22" s="23"/>
      <c r="B22" s="53">
        <v>12</v>
      </c>
      <c r="C22" s="58">
        <v>83.33599853515625</v>
      </c>
      <c r="D22" s="59">
        <v>4334493</v>
      </c>
      <c r="E22" s="59">
        <v>0</v>
      </c>
      <c r="F22" s="59">
        <v>-87.144271850585938</v>
      </c>
      <c r="G22" s="42">
        <v>0</v>
      </c>
      <c r="H22" s="23"/>
      <c r="I22" s="23"/>
      <c r="J22" s="99"/>
      <c r="K22" s="99"/>
      <c r="L22" s="99"/>
      <c r="M22" s="99"/>
      <c r="N22" s="43">
        <f t="shared" si="0"/>
        <v>83.33599853515625</v>
      </c>
      <c r="O22" s="43"/>
      <c r="P22" s="23"/>
      <c r="Q22" s="23"/>
    </row>
    <row r="23" spans="1:17">
      <c r="A23" s="23"/>
      <c r="B23" s="53">
        <v>13</v>
      </c>
      <c r="C23" s="58">
        <v>89.086997985839844</v>
      </c>
      <c r="D23" s="59">
        <v>4054524</v>
      </c>
      <c r="E23" s="59">
        <v>0</v>
      </c>
      <c r="F23" s="59">
        <v>-87.387351989746094</v>
      </c>
      <c r="G23" s="42">
        <v>0</v>
      </c>
      <c r="H23" s="23"/>
      <c r="I23" s="23"/>
      <c r="J23" s="99"/>
      <c r="K23" s="99"/>
      <c r="L23" s="99"/>
      <c r="M23" s="99"/>
      <c r="N23" s="43">
        <f t="shared" si="0"/>
        <v>89.086997985839844</v>
      </c>
      <c r="O23" s="43"/>
      <c r="P23" s="23"/>
      <c r="Q23" s="23"/>
    </row>
    <row r="24" spans="1:17">
      <c r="A24" s="23"/>
      <c r="B24" s="53">
        <v>14</v>
      </c>
      <c r="C24" s="58">
        <v>95.234001159667969</v>
      </c>
      <c r="D24" s="59">
        <v>3791736</v>
      </c>
      <c r="E24" s="59">
        <v>0</v>
      </c>
      <c r="F24" s="59">
        <v>-87.559967041015625</v>
      </c>
      <c r="G24" s="42">
        <v>0</v>
      </c>
      <c r="H24" s="23"/>
      <c r="I24" s="23"/>
      <c r="J24" s="99"/>
      <c r="K24" s="99"/>
      <c r="L24" s="99"/>
      <c r="M24" s="99"/>
      <c r="N24" s="43">
        <f t="shared" si="0"/>
        <v>95.234001159667969</v>
      </c>
      <c r="O24" s="43"/>
      <c r="P24" s="23"/>
      <c r="Q24" s="23"/>
    </row>
    <row r="25" spans="1:17">
      <c r="A25" s="23"/>
      <c r="B25" s="53">
        <v>15</v>
      </c>
      <c r="C25" s="58">
        <v>101.80599975585938</v>
      </c>
      <c r="D25" s="59">
        <v>3553425</v>
      </c>
      <c r="E25" s="59">
        <v>0</v>
      </c>
      <c r="F25" s="59">
        <v>-87.655097961425781</v>
      </c>
      <c r="G25" s="42">
        <v>0</v>
      </c>
      <c r="H25" s="23"/>
      <c r="I25" s="23"/>
      <c r="J25" s="99"/>
      <c r="K25" s="99"/>
      <c r="L25" s="99"/>
      <c r="M25" s="99"/>
      <c r="N25" s="43">
        <f t="shared" si="0"/>
        <v>101.80599975585938</v>
      </c>
      <c r="O25" s="43"/>
      <c r="P25" s="23"/>
      <c r="Q25" s="23"/>
    </row>
    <row r="26" spans="1:17">
      <c r="A26" s="23"/>
      <c r="B26" s="53">
        <v>16</v>
      </c>
      <c r="C26" s="58">
        <v>108.83100128173828</v>
      </c>
      <c r="D26" s="59">
        <v>3322587</v>
      </c>
      <c r="E26" s="59">
        <v>0</v>
      </c>
      <c r="F26" s="59">
        <v>-87.756301879882813</v>
      </c>
      <c r="G26" s="42">
        <v>0</v>
      </c>
      <c r="H26" s="23"/>
      <c r="I26" s="23"/>
      <c r="J26" s="99"/>
      <c r="K26" s="99"/>
      <c r="L26" s="99"/>
      <c r="M26" s="99"/>
      <c r="N26" s="43">
        <f t="shared" si="0"/>
        <v>108.83100128173828</v>
      </c>
      <c r="O26" s="43"/>
      <c r="P26" s="23"/>
      <c r="Q26" s="23"/>
    </row>
    <row r="27" spans="1:17">
      <c r="A27" s="23"/>
      <c r="B27" s="53">
        <v>17</v>
      </c>
      <c r="C27" s="58">
        <v>116.33999633789063</v>
      </c>
      <c r="D27" s="59">
        <v>3112395</v>
      </c>
      <c r="E27" s="59">
        <v>0</v>
      </c>
      <c r="F27" s="59">
        <v>-87.845382690429688</v>
      </c>
      <c r="G27" s="42">
        <v>0</v>
      </c>
      <c r="H27" s="23"/>
      <c r="I27" s="23"/>
      <c r="J27" s="99"/>
      <c r="K27" s="99"/>
      <c r="L27" s="99"/>
      <c r="M27" s="99"/>
      <c r="N27" s="43">
        <f t="shared" si="0"/>
        <v>116.33999633789063</v>
      </c>
      <c r="O27" s="43"/>
      <c r="P27" s="23"/>
      <c r="Q27" s="23"/>
    </row>
    <row r="28" spans="1:17">
      <c r="A28" s="23"/>
      <c r="B28" s="53">
        <v>18</v>
      </c>
      <c r="C28" s="58">
        <v>124.36799621582031</v>
      </c>
      <c r="D28" s="59">
        <v>2907057</v>
      </c>
      <c r="E28" s="59">
        <v>0</v>
      </c>
      <c r="F28" s="59">
        <v>-87.951812744140625</v>
      </c>
      <c r="G28" s="42">
        <v>0</v>
      </c>
      <c r="H28" s="23"/>
      <c r="I28" s="23"/>
      <c r="J28" s="99"/>
      <c r="K28" s="99"/>
      <c r="L28" s="99"/>
      <c r="M28" s="99"/>
      <c r="N28" s="43">
        <f t="shared" si="0"/>
        <v>124.36799621582031</v>
      </c>
      <c r="O28" s="43"/>
      <c r="P28" s="23"/>
      <c r="Q28" s="23"/>
    </row>
    <row r="29" spans="1:17">
      <c r="A29" s="23"/>
      <c r="B29" s="53">
        <v>19</v>
      </c>
      <c r="C29" s="58">
        <v>132.94999694824219</v>
      </c>
      <c r="D29" s="59">
        <v>2722302</v>
      </c>
      <c r="E29" s="59">
        <v>0</v>
      </c>
      <c r="F29" s="59">
        <v>-88.0972900390625</v>
      </c>
      <c r="G29" s="42">
        <v>0</v>
      </c>
      <c r="H29" s="23"/>
      <c r="I29" s="23"/>
      <c r="J29" s="99"/>
      <c r="K29" s="99"/>
      <c r="L29" s="99"/>
      <c r="M29" s="99"/>
      <c r="N29" s="43">
        <f t="shared" si="0"/>
        <v>132.94999694824219</v>
      </c>
      <c r="O29" s="43"/>
      <c r="P29" s="23"/>
      <c r="Q29" s="23"/>
    </row>
    <row r="30" spans="1:17">
      <c r="A30" s="23"/>
      <c r="B30" s="53">
        <v>20</v>
      </c>
      <c r="C30" s="58">
        <v>142.12399291992188</v>
      </c>
      <c r="D30" s="59">
        <v>2547068</v>
      </c>
      <c r="E30" s="59">
        <v>0</v>
      </c>
      <c r="F30" s="59">
        <v>-88.166656494140625</v>
      </c>
      <c r="G30" s="42">
        <v>0</v>
      </c>
      <c r="H30" s="23"/>
      <c r="I30" s="23"/>
      <c r="J30" s="99"/>
      <c r="K30" s="99"/>
      <c r="L30" s="99"/>
      <c r="M30" s="99"/>
      <c r="N30" s="43">
        <f t="shared" si="0"/>
        <v>142.12399291992188</v>
      </c>
      <c r="O30" s="43"/>
      <c r="P30" s="23"/>
      <c r="Q30" s="23"/>
    </row>
    <row r="31" spans="1:17">
      <c r="A31" s="23"/>
      <c r="B31" s="53">
        <v>21</v>
      </c>
      <c r="C31" s="58">
        <v>151.9320068359375</v>
      </c>
      <c r="D31" s="59">
        <v>2384513</v>
      </c>
      <c r="E31" s="59">
        <v>0</v>
      </c>
      <c r="F31" s="59">
        <v>-88.246810913085938</v>
      </c>
      <c r="G31" s="42">
        <v>0</v>
      </c>
      <c r="H31" s="23"/>
      <c r="I31" s="23"/>
      <c r="J31" s="99"/>
      <c r="K31" s="99"/>
      <c r="L31" s="99"/>
      <c r="M31" s="99"/>
      <c r="N31" s="43">
        <f t="shared" si="0"/>
        <v>151.9320068359375</v>
      </c>
      <c r="O31" s="43"/>
      <c r="P31" s="23"/>
      <c r="Q31" s="23"/>
    </row>
    <row r="32" spans="1:17">
      <c r="A32" s="23"/>
      <c r="B32" s="53">
        <v>22</v>
      </c>
      <c r="C32" s="58">
        <v>162.41499328613281</v>
      </c>
      <c r="D32" s="59">
        <v>2231589</v>
      </c>
      <c r="E32" s="59">
        <v>0</v>
      </c>
      <c r="F32" s="59">
        <v>-88.387603759765625</v>
      </c>
      <c r="G32" s="42">
        <v>0</v>
      </c>
      <c r="H32" s="23"/>
      <c r="I32" s="23"/>
      <c r="J32" s="99"/>
      <c r="K32" s="99"/>
      <c r="L32" s="99"/>
      <c r="M32" s="99"/>
      <c r="N32" s="43">
        <f t="shared" si="0"/>
        <v>162.41499328613281</v>
      </c>
      <c r="O32" s="43"/>
      <c r="P32" s="23"/>
      <c r="Q32" s="23"/>
    </row>
    <row r="33" spans="1:17">
      <c r="A33" s="23"/>
      <c r="B33" s="53">
        <v>23</v>
      </c>
      <c r="C33" s="58">
        <v>173.62300109863281</v>
      </c>
      <c r="D33" s="59">
        <v>2087534</v>
      </c>
      <c r="E33" s="59">
        <v>0</v>
      </c>
      <c r="F33" s="59">
        <v>-88.429069519042969</v>
      </c>
      <c r="G33" s="42">
        <v>0</v>
      </c>
      <c r="H33" s="23"/>
      <c r="I33" s="23"/>
      <c r="J33" s="99"/>
      <c r="K33" s="99"/>
      <c r="L33" s="99"/>
      <c r="M33" s="99"/>
      <c r="N33" s="43">
        <f t="shared" si="0"/>
        <v>173.62300109863281</v>
      </c>
      <c r="O33" s="43"/>
      <c r="P33" s="23"/>
      <c r="Q33" s="23"/>
    </row>
    <row r="34" spans="1:17">
      <c r="A34" s="23"/>
      <c r="B34" s="53">
        <v>24</v>
      </c>
      <c r="C34" s="58">
        <v>185.60400390625</v>
      </c>
      <c r="D34" s="59">
        <v>1953089</v>
      </c>
      <c r="E34" s="59">
        <v>0</v>
      </c>
      <c r="F34" s="59">
        <v>-88.521202087402344</v>
      </c>
      <c r="G34" s="42">
        <v>0</v>
      </c>
      <c r="H34" s="23"/>
      <c r="I34" s="23"/>
      <c r="J34" s="99"/>
      <c r="K34" s="99"/>
      <c r="L34" s="99"/>
      <c r="M34" s="99"/>
      <c r="N34" s="43">
        <f t="shared" si="0"/>
        <v>185.60400390625</v>
      </c>
      <c r="O34" s="43"/>
      <c r="P34" s="23"/>
      <c r="Q34" s="23"/>
    </row>
    <row r="35" spans="1:17">
      <c r="A35" s="23"/>
      <c r="B35" s="53">
        <v>25</v>
      </c>
      <c r="C35" s="58">
        <v>198.41099548339844</v>
      </c>
      <c r="D35" s="59">
        <v>1827873</v>
      </c>
      <c r="E35" s="59">
        <v>0</v>
      </c>
      <c r="F35" s="59">
        <v>-88.583488464355469</v>
      </c>
      <c r="G35" s="42">
        <v>0</v>
      </c>
      <c r="H35" s="23"/>
      <c r="I35" s="23"/>
      <c r="J35" s="99"/>
      <c r="K35" s="99"/>
      <c r="L35" s="99"/>
      <c r="M35" s="99"/>
      <c r="N35" s="43">
        <f t="shared" si="0"/>
        <v>198.41099548339844</v>
      </c>
      <c r="O35" s="43"/>
      <c r="P35" s="23"/>
      <c r="Q35" s="23"/>
    </row>
    <row r="36" spans="1:17">
      <c r="A36" s="23"/>
      <c r="B36" s="53">
        <v>26</v>
      </c>
      <c r="C36" s="58">
        <v>212.10200500488281</v>
      </c>
      <c r="D36" s="59">
        <v>1710194</v>
      </c>
      <c r="E36" s="59">
        <v>0</v>
      </c>
      <c r="F36" s="59">
        <v>-88.612617492675781</v>
      </c>
      <c r="G36" s="42">
        <v>0</v>
      </c>
      <c r="H36" s="23"/>
      <c r="I36" s="23"/>
      <c r="J36" s="99"/>
      <c r="K36" s="99"/>
      <c r="L36" s="99"/>
      <c r="M36" s="99"/>
      <c r="N36" s="43">
        <f t="shared" si="0"/>
        <v>212.10200500488281</v>
      </c>
      <c r="O36" s="43"/>
      <c r="P36" s="23"/>
      <c r="Q36" s="23"/>
    </row>
    <row r="37" spans="1:17">
      <c r="A37" s="23"/>
      <c r="B37" s="53">
        <v>27</v>
      </c>
      <c r="C37" s="58">
        <v>226.73800659179688</v>
      </c>
      <c r="D37" s="59">
        <v>1600108</v>
      </c>
      <c r="E37" s="59">
        <v>0</v>
      </c>
      <c r="F37" s="59">
        <v>-88.700813293457031</v>
      </c>
      <c r="G37" s="42">
        <v>0</v>
      </c>
      <c r="H37" s="23"/>
      <c r="I37" s="23"/>
      <c r="J37" s="99"/>
      <c r="K37" s="99"/>
      <c r="L37" s="99"/>
      <c r="M37" s="99"/>
      <c r="N37" s="43">
        <f t="shared" si="0"/>
        <v>226.73800659179688</v>
      </c>
      <c r="O37" s="43"/>
      <c r="P37" s="23"/>
      <c r="Q37" s="23"/>
    </row>
    <row r="38" spans="1:17">
      <c r="A38" s="23"/>
      <c r="B38" s="53">
        <v>28</v>
      </c>
      <c r="C38" s="58">
        <v>242.38400268554688</v>
      </c>
      <c r="D38" s="59">
        <v>1496347</v>
      </c>
      <c r="E38" s="59">
        <v>0</v>
      </c>
      <c r="F38" s="59">
        <v>-88.7471923828125</v>
      </c>
      <c r="G38" s="42">
        <v>0</v>
      </c>
      <c r="H38" s="23"/>
      <c r="I38" s="23"/>
      <c r="J38" s="99"/>
      <c r="K38" s="99"/>
      <c r="L38" s="99"/>
      <c r="M38" s="99"/>
      <c r="N38" s="43">
        <f t="shared" si="0"/>
        <v>242.38400268554688</v>
      </c>
      <c r="O38" s="43"/>
      <c r="P38" s="23"/>
      <c r="Q38" s="23"/>
    </row>
    <row r="39" spans="1:17">
      <c r="A39" s="23"/>
      <c r="B39" s="53">
        <v>29</v>
      </c>
      <c r="C39" s="58">
        <v>259.1090087890625</v>
      </c>
      <c r="D39" s="59">
        <v>1401303</v>
      </c>
      <c r="E39" s="59">
        <v>0</v>
      </c>
      <c r="F39" s="59">
        <v>-88.781356811523438</v>
      </c>
      <c r="G39" s="42">
        <v>0</v>
      </c>
      <c r="H39" s="23"/>
      <c r="I39" s="23"/>
      <c r="J39" s="99"/>
      <c r="K39" s="99"/>
      <c r="L39" s="99"/>
      <c r="M39" s="99"/>
      <c r="N39" s="43">
        <f t="shared" si="0"/>
        <v>259.1090087890625</v>
      </c>
      <c r="O39" s="43"/>
      <c r="P39" s="23"/>
      <c r="Q39" s="23"/>
    </row>
    <row r="40" spans="1:17">
      <c r="A40" s="23"/>
      <c r="B40" s="53">
        <v>30</v>
      </c>
      <c r="C40" s="58">
        <v>276.989013671875</v>
      </c>
      <c r="D40" s="59">
        <v>1310514</v>
      </c>
      <c r="E40" s="59">
        <v>0</v>
      </c>
      <c r="F40" s="59">
        <v>-88.837196350097656</v>
      </c>
      <c r="G40" s="42">
        <v>0</v>
      </c>
      <c r="H40" s="23"/>
      <c r="I40" s="23"/>
      <c r="J40" s="99"/>
      <c r="K40" s="99"/>
      <c r="L40" s="99"/>
      <c r="M40" s="99"/>
      <c r="N40" s="43">
        <f t="shared" si="0"/>
        <v>276.989013671875</v>
      </c>
      <c r="O40" s="43"/>
      <c r="P40" s="23"/>
      <c r="Q40" s="23"/>
    </row>
    <row r="41" spans="1:17">
      <c r="A41" s="23"/>
      <c r="B41" s="53">
        <v>31</v>
      </c>
      <c r="C41" s="58">
        <v>296.10198974609375</v>
      </c>
      <c r="D41" s="59">
        <v>1226388</v>
      </c>
      <c r="E41" s="59">
        <v>0</v>
      </c>
      <c r="F41" s="59">
        <v>-88.89501953125</v>
      </c>
      <c r="G41" s="42">
        <v>0</v>
      </c>
      <c r="H41" s="23"/>
      <c r="I41" s="23"/>
      <c r="J41" s="99"/>
      <c r="K41" s="99"/>
      <c r="L41" s="99"/>
      <c r="M41" s="99"/>
      <c r="N41" s="43">
        <f t="shared" si="0"/>
        <v>296.10198974609375</v>
      </c>
      <c r="O41" s="43"/>
      <c r="P41" s="23"/>
      <c r="Q41" s="23"/>
    </row>
    <row r="42" spans="1:17">
      <c r="A42" s="23"/>
      <c r="B42" s="53">
        <v>32</v>
      </c>
      <c r="C42" s="58">
        <v>316.53500366210938</v>
      </c>
      <c r="D42" s="59">
        <v>1147920</v>
      </c>
      <c r="E42" s="59">
        <v>0</v>
      </c>
      <c r="F42" s="59">
        <v>-88.944801330566406</v>
      </c>
      <c r="G42" s="42">
        <v>0</v>
      </c>
      <c r="H42" s="23"/>
      <c r="I42" s="23"/>
      <c r="J42" s="99"/>
      <c r="K42" s="99"/>
      <c r="L42" s="99"/>
      <c r="M42" s="99"/>
      <c r="N42" s="43">
        <f t="shared" si="0"/>
        <v>316.53500366210938</v>
      </c>
      <c r="O42" s="43"/>
      <c r="P42" s="23"/>
      <c r="Q42" s="23"/>
    </row>
    <row r="43" spans="1:17">
      <c r="A43" s="23"/>
      <c r="B43" s="53">
        <v>33</v>
      </c>
      <c r="C43" s="58">
        <v>338.37701416015625</v>
      </c>
      <c r="D43" s="59">
        <v>1073997</v>
      </c>
      <c r="E43" s="59">
        <v>0</v>
      </c>
      <c r="F43" s="59">
        <v>-88.963836669921875</v>
      </c>
      <c r="G43" s="42">
        <v>0</v>
      </c>
      <c r="H43" s="23"/>
      <c r="I43" s="23"/>
      <c r="J43" s="99"/>
      <c r="K43" s="99"/>
      <c r="L43" s="99"/>
      <c r="M43" s="99"/>
      <c r="N43" s="43">
        <f t="shared" si="0"/>
        <v>338.37701416015625</v>
      </c>
      <c r="O43" s="43"/>
      <c r="P43" s="23"/>
      <c r="Q43" s="23"/>
    </row>
    <row r="44" spans="1:17">
      <c r="A44" s="23"/>
      <c r="B44" s="53">
        <v>34</v>
      </c>
      <c r="C44" s="58">
        <v>361.72601318359375</v>
      </c>
      <c r="D44" s="59">
        <v>1004790</v>
      </c>
      <c r="E44" s="59">
        <v>0</v>
      </c>
      <c r="F44" s="59">
        <v>-88.974891662597656</v>
      </c>
      <c r="G44" s="42">
        <v>0</v>
      </c>
      <c r="H44" s="23"/>
      <c r="I44" s="23"/>
      <c r="J44" s="99"/>
      <c r="K44" s="99"/>
      <c r="L44" s="99"/>
      <c r="M44" s="99"/>
      <c r="N44" s="43">
        <f t="shared" si="0"/>
        <v>361.72601318359375</v>
      </c>
      <c r="O44" s="43"/>
      <c r="P44" s="23"/>
      <c r="Q44" s="23"/>
    </row>
    <row r="45" spans="1:17">
      <c r="A45" s="23"/>
      <c r="B45" s="53">
        <v>35</v>
      </c>
      <c r="C45" s="58">
        <v>386.68701171875</v>
      </c>
      <c r="D45" s="59">
        <v>940442.6875</v>
      </c>
      <c r="E45" s="59">
        <v>0</v>
      </c>
      <c r="F45" s="59">
        <v>-89.038986206054688</v>
      </c>
      <c r="G45" s="42">
        <v>0</v>
      </c>
      <c r="H45" s="23"/>
      <c r="I45" s="23"/>
      <c r="J45" s="99"/>
      <c r="K45" s="99"/>
      <c r="L45" s="99"/>
      <c r="M45" s="99"/>
      <c r="N45" s="43">
        <f t="shared" si="0"/>
        <v>386.68701171875</v>
      </c>
      <c r="O45" s="43"/>
      <c r="P45" s="23"/>
      <c r="Q45" s="23"/>
    </row>
    <row r="46" spans="1:17">
      <c r="A46" s="23"/>
      <c r="B46" s="53">
        <v>36</v>
      </c>
      <c r="C46" s="58">
        <v>413.3699951171875</v>
      </c>
      <c r="D46" s="59">
        <v>879786.5</v>
      </c>
      <c r="E46" s="59">
        <v>0</v>
      </c>
      <c r="F46" s="59">
        <v>-89.069122314453125</v>
      </c>
      <c r="G46" s="42">
        <v>0</v>
      </c>
      <c r="H46" s="23"/>
      <c r="I46" s="23"/>
      <c r="J46" s="99"/>
      <c r="K46" s="99"/>
      <c r="L46" s="99"/>
      <c r="M46" s="99"/>
      <c r="N46" s="43">
        <f t="shared" si="0"/>
        <v>413.3699951171875</v>
      </c>
      <c r="O46" s="43"/>
      <c r="P46" s="23"/>
      <c r="Q46" s="23"/>
    </row>
    <row r="47" spans="1:17">
      <c r="A47" s="23"/>
      <c r="B47" s="53">
        <v>37</v>
      </c>
      <c r="C47" s="58">
        <v>441.89401245117188</v>
      </c>
      <c r="D47" s="59">
        <v>823337.625</v>
      </c>
      <c r="E47" s="59">
        <v>0</v>
      </c>
      <c r="F47" s="59">
        <v>-89.089576721191406</v>
      </c>
      <c r="G47" s="42">
        <v>0</v>
      </c>
      <c r="H47" s="23"/>
      <c r="I47" s="23"/>
      <c r="J47" s="99"/>
      <c r="K47" s="99"/>
      <c r="L47" s="99"/>
      <c r="M47" s="99"/>
      <c r="N47" s="43">
        <f t="shared" si="0"/>
        <v>441.89401245117188</v>
      </c>
      <c r="O47" s="43"/>
      <c r="P47" s="23"/>
      <c r="Q47" s="23"/>
    </row>
    <row r="48" spans="1:17">
      <c r="A48" s="23"/>
      <c r="B48" s="53">
        <v>38</v>
      </c>
      <c r="C48" s="58">
        <v>472.38699340820313</v>
      </c>
      <c r="D48" s="59">
        <v>770717.125</v>
      </c>
      <c r="E48" s="59">
        <v>0</v>
      </c>
      <c r="F48" s="59">
        <v>-89.099571228027344</v>
      </c>
      <c r="G48" s="42">
        <v>0</v>
      </c>
      <c r="H48" s="23"/>
      <c r="I48" s="23"/>
      <c r="J48" s="99"/>
      <c r="K48" s="99"/>
      <c r="L48" s="99"/>
      <c r="M48" s="99"/>
      <c r="N48" s="43">
        <f t="shared" si="0"/>
        <v>472.38699340820313</v>
      </c>
      <c r="O48" s="43"/>
      <c r="P48" s="23"/>
      <c r="Q48" s="23"/>
    </row>
    <row r="49" spans="1:17">
      <c r="A49" s="23"/>
      <c r="B49" s="53">
        <v>39</v>
      </c>
      <c r="C49" s="58">
        <v>504.9840087890625</v>
      </c>
      <c r="D49" s="59">
        <v>720947.6875</v>
      </c>
      <c r="E49" s="59">
        <v>0</v>
      </c>
      <c r="F49" s="59">
        <v>-89.141242980957031</v>
      </c>
      <c r="G49" s="42">
        <v>0</v>
      </c>
      <c r="H49" s="23"/>
      <c r="I49" s="23"/>
      <c r="J49" s="99"/>
      <c r="K49" s="99"/>
      <c r="L49" s="99"/>
      <c r="M49" s="99"/>
      <c r="N49" s="43">
        <f t="shared" si="0"/>
        <v>504.9840087890625</v>
      </c>
      <c r="O49" s="43"/>
      <c r="P49" s="23"/>
      <c r="Q49" s="23"/>
    </row>
    <row r="50" spans="1:17">
      <c r="A50" s="23"/>
      <c r="B50" s="53">
        <v>40</v>
      </c>
      <c r="C50" s="58">
        <v>539.8289794921875</v>
      </c>
      <c r="D50" s="59">
        <v>674576.6875</v>
      </c>
      <c r="E50" s="59">
        <v>0</v>
      </c>
      <c r="F50" s="59">
        <v>-89.162178039550781</v>
      </c>
      <c r="G50" s="42">
        <v>0</v>
      </c>
      <c r="H50" s="23"/>
      <c r="I50" s="23"/>
      <c r="J50" s="99"/>
      <c r="K50" s="99"/>
      <c r="L50" s="99"/>
      <c r="M50" s="99"/>
      <c r="N50" s="43">
        <f t="shared" si="0"/>
        <v>539.8289794921875</v>
      </c>
      <c r="O50" s="43"/>
      <c r="P50" s="23"/>
      <c r="Q50" s="23"/>
    </row>
    <row r="51" spans="1:17">
      <c r="A51" s="23"/>
      <c r="B51" s="53">
        <v>41</v>
      </c>
      <c r="C51" s="58">
        <v>577.08001708984375</v>
      </c>
      <c r="D51" s="59">
        <v>631366.625</v>
      </c>
      <c r="E51" s="59">
        <v>0</v>
      </c>
      <c r="F51" s="59">
        <v>-89.184921264648438</v>
      </c>
      <c r="G51" s="42">
        <v>0</v>
      </c>
      <c r="H51" s="23"/>
      <c r="I51" s="23"/>
      <c r="J51" s="99"/>
      <c r="K51" s="99"/>
      <c r="L51" s="99"/>
      <c r="M51" s="99"/>
      <c r="N51" s="43">
        <f t="shared" si="0"/>
        <v>577.08001708984375</v>
      </c>
      <c r="O51" s="43"/>
      <c r="P51" s="23"/>
      <c r="Q51" s="23"/>
    </row>
    <row r="52" spans="1:17">
      <c r="A52" s="23"/>
      <c r="B52" s="53">
        <v>42</v>
      </c>
      <c r="C52" s="58">
        <v>616.9010009765625</v>
      </c>
      <c r="D52" s="59">
        <v>590779.625</v>
      </c>
      <c r="E52" s="59">
        <v>0</v>
      </c>
      <c r="F52" s="59">
        <v>-89.202606201171875</v>
      </c>
      <c r="G52" s="42">
        <v>0</v>
      </c>
      <c r="H52" s="23"/>
      <c r="I52" s="23"/>
      <c r="J52" s="99"/>
      <c r="K52" s="99"/>
      <c r="L52" s="99"/>
      <c r="M52" s="99"/>
      <c r="N52" s="43">
        <f t="shared" si="0"/>
        <v>616.9010009765625</v>
      </c>
      <c r="O52" s="43"/>
      <c r="P52" s="23"/>
      <c r="Q52" s="23"/>
    </row>
    <row r="53" spans="1:17">
      <c r="A53" s="23"/>
      <c r="B53" s="53">
        <v>43</v>
      </c>
      <c r="C53" s="58">
        <v>659.469970703125</v>
      </c>
      <c r="D53" s="59">
        <v>552840.125</v>
      </c>
      <c r="E53" s="59">
        <v>0</v>
      </c>
      <c r="F53" s="59">
        <v>-89.21148681640625</v>
      </c>
      <c r="G53" s="42">
        <v>0</v>
      </c>
      <c r="H53" s="23"/>
      <c r="I53" s="23"/>
      <c r="J53" s="99"/>
      <c r="K53" s="99"/>
      <c r="L53" s="99"/>
      <c r="M53" s="99"/>
      <c r="N53" s="43">
        <f t="shared" si="0"/>
        <v>659.469970703125</v>
      </c>
      <c r="O53" s="43"/>
      <c r="P53" s="23"/>
      <c r="Q53" s="23"/>
    </row>
    <row r="54" spans="1:17">
      <c r="A54" s="23"/>
      <c r="B54" s="53">
        <v>44</v>
      </c>
      <c r="C54" s="58">
        <v>704.97601318359375</v>
      </c>
      <c r="D54" s="59">
        <v>517360.40625</v>
      </c>
      <c r="E54" s="59">
        <v>0</v>
      </c>
      <c r="F54" s="59">
        <v>-89.229400634765625</v>
      </c>
      <c r="G54" s="42">
        <v>0</v>
      </c>
      <c r="H54" s="23"/>
      <c r="I54" s="23"/>
      <c r="J54" s="99"/>
      <c r="K54" s="99"/>
      <c r="L54" s="99"/>
      <c r="M54" s="99"/>
      <c r="N54" s="43">
        <f t="shared" si="0"/>
        <v>704.97601318359375</v>
      </c>
      <c r="O54" s="43"/>
      <c r="P54" s="23"/>
      <c r="Q54" s="23"/>
    </row>
    <row r="55" spans="1:17">
      <c r="A55" s="23"/>
      <c r="B55" s="53">
        <v>45</v>
      </c>
      <c r="C55" s="58">
        <v>753.62200927734375</v>
      </c>
      <c r="D55" s="59">
        <v>484118.1875</v>
      </c>
      <c r="E55" s="59">
        <v>0</v>
      </c>
      <c r="F55" s="59">
        <v>-89.239242553710938</v>
      </c>
      <c r="G55" s="42">
        <v>0</v>
      </c>
      <c r="H55" s="23"/>
      <c r="I55" s="23"/>
      <c r="J55" s="99"/>
      <c r="K55" s="99"/>
      <c r="L55" s="99"/>
      <c r="M55" s="99"/>
      <c r="N55" s="43">
        <f t="shared" si="0"/>
        <v>753.62200927734375</v>
      </c>
      <c r="O55" s="43"/>
      <c r="P55" s="23"/>
      <c r="Q55" s="23"/>
    </row>
    <row r="56" spans="1:17">
      <c r="A56" s="23"/>
      <c r="B56" s="53">
        <v>46</v>
      </c>
      <c r="C56" s="58">
        <v>805.625</v>
      </c>
      <c r="D56" s="59">
        <v>453031.5</v>
      </c>
      <c r="E56" s="59">
        <v>0</v>
      </c>
      <c r="F56" s="59">
        <v>-89.257476806640625</v>
      </c>
      <c r="G56" s="42">
        <v>0</v>
      </c>
      <c r="H56" s="23"/>
      <c r="I56" s="23"/>
      <c r="J56" s="99"/>
      <c r="K56" s="99"/>
      <c r="L56" s="99"/>
      <c r="M56" s="99"/>
      <c r="N56" s="43">
        <f t="shared" si="0"/>
        <v>805.625</v>
      </c>
      <c r="O56" s="43"/>
      <c r="P56" s="23"/>
      <c r="Q56" s="23"/>
    </row>
    <row r="57" spans="1:17">
      <c r="A57" s="23"/>
      <c r="B57" s="53">
        <v>47</v>
      </c>
      <c r="C57" s="58">
        <v>861.21697998046875</v>
      </c>
      <c r="D57" s="59">
        <v>423931</v>
      </c>
      <c r="E57" s="59">
        <v>0</v>
      </c>
      <c r="F57" s="59">
        <v>-89.270027160644531</v>
      </c>
      <c r="G57" s="42">
        <v>0</v>
      </c>
      <c r="H57" s="23"/>
      <c r="I57" s="23"/>
      <c r="J57" s="99"/>
      <c r="K57" s="99"/>
      <c r="L57" s="99"/>
      <c r="M57" s="99"/>
      <c r="N57" s="43">
        <f t="shared" si="0"/>
        <v>861.21697998046875</v>
      </c>
      <c r="O57" s="43"/>
      <c r="P57" s="23"/>
      <c r="Q57" s="23"/>
    </row>
    <row r="58" spans="1:17">
      <c r="A58" s="23"/>
      <c r="B58" s="53">
        <v>48</v>
      </c>
      <c r="C58" s="58">
        <v>920.64398193359375</v>
      </c>
      <c r="D58" s="59">
        <v>396686.8125</v>
      </c>
      <c r="E58" s="59">
        <v>0</v>
      </c>
      <c r="F58" s="59">
        <v>-89.268356323242188</v>
      </c>
      <c r="G58" s="42">
        <v>0</v>
      </c>
      <c r="H58" s="23"/>
      <c r="I58" s="23"/>
      <c r="J58" s="99"/>
      <c r="K58" s="99"/>
      <c r="L58" s="99"/>
      <c r="M58" s="99"/>
      <c r="N58" s="43">
        <f t="shared" si="0"/>
        <v>920.64398193359375</v>
      </c>
      <c r="O58" s="43"/>
      <c r="P58" s="23"/>
      <c r="Q58" s="23"/>
    </row>
    <row r="59" spans="1:17">
      <c r="A59" s="23"/>
      <c r="B59" s="53">
        <v>49</v>
      </c>
      <c r="C59" s="58">
        <v>984.1719970703125</v>
      </c>
      <c r="D59" s="59">
        <v>371164.8125</v>
      </c>
      <c r="E59" s="59">
        <v>0</v>
      </c>
      <c r="F59" s="59">
        <v>-89.27490234375</v>
      </c>
      <c r="G59" s="42">
        <v>0</v>
      </c>
      <c r="H59" s="23"/>
      <c r="I59" s="23"/>
      <c r="J59" s="99"/>
      <c r="K59" s="99"/>
      <c r="L59" s="99"/>
      <c r="M59" s="99"/>
      <c r="N59" s="43">
        <f t="shared" si="0"/>
        <v>984.1719970703125</v>
      </c>
      <c r="O59" s="43"/>
      <c r="P59" s="23"/>
      <c r="Q59" s="23"/>
    </row>
    <row r="60" spans="1:17">
      <c r="A60" s="23"/>
      <c r="B60" s="53">
        <v>50</v>
      </c>
      <c r="C60" s="58">
        <v>1052.083984375</v>
      </c>
      <c r="D60" s="59">
        <v>347438.8125</v>
      </c>
      <c r="E60" s="59">
        <v>0</v>
      </c>
      <c r="F60" s="59">
        <v>-89.285926818847656</v>
      </c>
      <c r="G60" s="42">
        <v>0</v>
      </c>
      <c r="H60" s="23"/>
      <c r="I60" s="23"/>
      <c r="J60" s="99"/>
      <c r="K60" s="99"/>
      <c r="L60" s="99"/>
      <c r="M60" s="99"/>
      <c r="N60" s="43">
        <f t="shared" si="0"/>
        <v>1052.083984375</v>
      </c>
      <c r="O60" s="43"/>
      <c r="P60" s="23"/>
      <c r="Q60" s="23"/>
    </row>
    <row r="61" spans="1:17">
      <c r="A61" s="23"/>
      <c r="B61" s="53">
        <v>51</v>
      </c>
      <c r="C61" s="58">
        <v>1124.6829833984375</v>
      </c>
      <c r="D61" s="59">
        <v>325081.09375</v>
      </c>
      <c r="E61" s="59">
        <v>0</v>
      </c>
      <c r="F61" s="59">
        <v>-89.290420532226563</v>
      </c>
      <c r="G61" s="42">
        <v>0</v>
      </c>
      <c r="H61" s="23"/>
      <c r="I61" s="23"/>
      <c r="J61" s="99"/>
      <c r="K61" s="99"/>
      <c r="L61" s="99"/>
      <c r="M61" s="99"/>
      <c r="N61" s="43">
        <f t="shared" si="0"/>
        <v>1124.6829833984375</v>
      </c>
      <c r="O61" s="43"/>
      <c r="P61" s="23"/>
      <c r="Q61" s="23"/>
    </row>
    <row r="62" spans="1:17">
      <c r="A62" s="23"/>
      <c r="B62" s="53">
        <v>52</v>
      </c>
      <c r="C62" s="58">
        <v>1202.2900390625</v>
      </c>
      <c r="D62" s="59">
        <v>304192.6875</v>
      </c>
      <c r="E62" s="59">
        <v>0</v>
      </c>
      <c r="F62" s="59">
        <v>-89.295806884765625</v>
      </c>
      <c r="G62" s="42">
        <v>0</v>
      </c>
      <c r="H62" s="23"/>
      <c r="I62" s="23"/>
      <c r="J62" s="99"/>
      <c r="K62" s="99"/>
      <c r="L62" s="99"/>
      <c r="M62" s="99"/>
      <c r="N62" s="43">
        <f t="shared" si="0"/>
        <v>1202.2900390625</v>
      </c>
      <c r="O62" s="43"/>
      <c r="P62" s="23"/>
      <c r="Q62" s="23"/>
    </row>
    <row r="63" spans="1:17">
      <c r="A63" s="23"/>
      <c r="B63" s="53">
        <v>53</v>
      </c>
      <c r="C63" s="58">
        <v>1285.2540283203125</v>
      </c>
      <c r="D63" s="59">
        <v>284698.3125</v>
      </c>
      <c r="E63" s="59">
        <v>0</v>
      </c>
      <c r="F63" s="59">
        <v>-89.303886413574219</v>
      </c>
      <c r="G63" s="42">
        <v>0</v>
      </c>
      <c r="H63" s="23"/>
      <c r="I63" s="23"/>
      <c r="J63" s="99"/>
      <c r="K63" s="99"/>
      <c r="L63" s="99"/>
      <c r="M63" s="99"/>
      <c r="N63" s="43">
        <f t="shared" si="0"/>
        <v>1285.2540283203125</v>
      </c>
      <c r="O63" s="43"/>
      <c r="P63" s="23"/>
      <c r="Q63" s="23"/>
    </row>
    <row r="64" spans="1:17">
      <c r="A64" s="23"/>
      <c r="B64" s="53">
        <v>54</v>
      </c>
      <c r="C64" s="58">
        <v>1373.9410400390625</v>
      </c>
      <c r="D64" s="59">
        <v>266432.1875</v>
      </c>
      <c r="E64" s="59">
        <v>0</v>
      </c>
      <c r="F64" s="59">
        <v>-89.31353759765625</v>
      </c>
      <c r="G64" s="42">
        <v>0</v>
      </c>
      <c r="H64" s="23"/>
      <c r="I64" s="23"/>
      <c r="J64" s="99"/>
      <c r="K64" s="99"/>
      <c r="L64" s="99"/>
      <c r="M64" s="99"/>
      <c r="N64" s="43">
        <f t="shared" si="0"/>
        <v>1373.9410400390625</v>
      </c>
      <c r="O64" s="43"/>
      <c r="P64" s="23"/>
      <c r="Q64" s="23"/>
    </row>
    <row r="65" spans="1:17">
      <c r="A65" s="23"/>
      <c r="B65" s="53">
        <v>55</v>
      </c>
      <c r="C65" s="58">
        <v>1468.7490234375</v>
      </c>
      <c r="D65" s="59">
        <v>249322</v>
      </c>
      <c r="E65" s="59">
        <v>0</v>
      </c>
      <c r="F65" s="59">
        <v>-89.287986755371094</v>
      </c>
      <c r="G65" s="42">
        <v>0</v>
      </c>
      <c r="H65" s="23"/>
      <c r="I65" s="23"/>
      <c r="J65" s="99"/>
      <c r="K65" s="99"/>
      <c r="L65" s="99"/>
      <c r="M65" s="99"/>
      <c r="N65" s="43">
        <f t="shared" si="0"/>
        <v>1468.7490234375</v>
      </c>
      <c r="O65" s="43"/>
      <c r="P65" s="23"/>
      <c r="Q65" s="23"/>
    </row>
    <row r="66" spans="1:17">
      <c r="A66" s="23"/>
      <c r="B66" s="53">
        <v>56</v>
      </c>
      <c r="C66" s="58">
        <v>1570.0989990234375</v>
      </c>
      <c r="D66" s="59">
        <v>233333</v>
      </c>
      <c r="E66" s="59">
        <v>0</v>
      </c>
      <c r="F66" s="59">
        <v>-89.294181823730469</v>
      </c>
      <c r="G66" s="42">
        <v>0</v>
      </c>
      <c r="H66" s="23"/>
      <c r="I66" s="23"/>
      <c r="J66" s="99"/>
      <c r="K66" s="99"/>
      <c r="L66" s="99"/>
      <c r="M66" s="99"/>
      <c r="N66" s="43">
        <f t="shared" si="0"/>
        <v>1570.0989990234375</v>
      </c>
      <c r="O66" s="43"/>
      <c r="P66" s="23"/>
      <c r="Q66" s="23"/>
    </row>
    <row r="67" spans="1:17">
      <c r="A67" s="23"/>
      <c r="B67" s="53">
        <v>57</v>
      </c>
      <c r="C67" s="58">
        <v>1678.4420166015625</v>
      </c>
      <c r="D67" s="59">
        <v>218346</v>
      </c>
      <c r="E67" s="59">
        <v>0</v>
      </c>
      <c r="F67" s="59">
        <v>-89.303962707519531</v>
      </c>
      <c r="G67" s="42">
        <v>0</v>
      </c>
      <c r="H67" s="23"/>
      <c r="I67" s="23"/>
      <c r="J67" s="99"/>
      <c r="K67" s="99"/>
      <c r="L67" s="99"/>
      <c r="M67" s="99"/>
      <c r="N67" s="43">
        <f t="shared" si="0"/>
        <v>1678.4420166015625</v>
      </c>
      <c r="O67" s="43"/>
      <c r="P67" s="23"/>
      <c r="Q67" s="23"/>
    </row>
    <row r="68" spans="1:17">
      <c r="A68" s="23"/>
      <c r="B68" s="53">
        <v>58</v>
      </c>
      <c r="C68" s="58">
        <v>1794.261962890625</v>
      </c>
      <c r="D68" s="59">
        <v>204343.796875</v>
      </c>
      <c r="E68" s="59">
        <v>0</v>
      </c>
      <c r="F68" s="59">
        <v>-89.3099365234375</v>
      </c>
      <c r="G68" s="42">
        <v>0</v>
      </c>
      <c r="H68" s="23"/>
      <c r="I68" s="23"/>
      <c r="J68" s="99"/>
      <c r="K68" s="99"/>
      <c r="L68" s="99"/>
      <c r="M68" s="99"/>
      <c r="N68" s="43">
        <f t="shared" si="0"/>
        <v>1794.261962890625</v>
      </c>
      <c r="O68" s="43"/>
      <c r="P68" s="23"/>
      <c r="Q68" s="23"/>
    </row>
    <row r="69" spans="1:17">
      <c r="A69" s="23"/>
      <c r="B69" s="53">
        <v>59</v>
      </c>
      <c r="C69" s="58">
        <v>1918.072998046875</v>
      </c>
      <c r="D69" s="59">
        <v>191203</v>
      </c>
      <c r="E69" s="59">
        <v>0</v>
      </c>
      <c r="F69" s="59">
        <v>-89.320083618164063</v>
      </c>
      <c r="G69" s="42">
        <v>0</v>
      </c>
      <c r="H69" s="23"/>
      <c r="I69" s="23"/>
      <c r="J69" s="99"/>
      <c r="K69" s="99"/>
      <c r="L69" s="99"/>
      <c r="M69" s="99"/>
      <c r="N69" s="43">
        <f t="shared" si="0"/>
        <v>1918.072998046875</v>
      </c>
      <c r="O69" s="43"/>
      <c r="P69" s="23"/>
      <c r="Q69" s="23"/>
    </row>
    <row r="70" spans="1:17">
      <c r="A70" s="23"/>
      <c r="B70" s="53">
        <v>60</v>
      </c>
      <c r="C70" s="58">
        <v>2050.427978515625</v>
      </c>
      <c r="D70" s="59">
        <v>178949.296875</v>
      </c>
      <c r="E70" s="59">
        <v>0</v>
      </c>
      <c r="F70" s="59">
        <v>-89.323257446289063</v>
      </c>
      <c r="G70" s="42">
        <v>0</v>
      </c>
      <c r="H70" s="23"/>
      <c r="I70" s="23"/>
      <c r="J70" s="99"/>
      <c r="K70" s="99"/>
      <c r="L70" s="99"/>
      <c r="M70" s="99"/>
      <c r="N70" s="43">
        <f t="shared" si="0"/>
        <v>2050.427978515625</v>
      </c>
      <c r="O70" s="43"/>
      <c r="P70" s="23"/>
      <c r="Q70" s="23"/>
    </row>
    <row r="71" spans="1:17">
      <c r="A71" s="23"/>
      <c r="B71" s="53">
        <v>61</v>
      </c>
      <c r="C71" s="58">
        <v>2191.916015625</v>
      </c>
      <c r="D71" s="59">
        <v>167477.203125</v>
      </c>
      <c r="E71" s="59">
        <v>0</v>
      </c>
      <c r="F71" s="59">
        <v>-89.318359375</v>
      </c>
      <c r="G71" s="42">
        <v>0</v>
      </c>
      <c r="H71" s="23"/>
      <c r="I71" s="23"/>
      <c r="J71" s="99"/>
      <c r="K71" s="99"/>
      <c r="L71" s="99"/>
      <c r="M71" s="99"/>
      <c r="N71" s="43">
        <f t="shared" si="0"/>
        <v>2191.916015625</v>
      </c>
      <c r="O71" s="43"/>
      <c r="P71" s="23"/>
      <c r="Q71" s="23"/>
    </row>
    <row r="72" spans="1:17">
      <c r="A72" s="23"/>
      <c r="B72" s="53">
        <v>62</v>
      </c>
      <c r="C72" s="58">
        <v>2343.16796875</v>
      </c>
      <c r="D72" s="59">
        <v>156728.09375</v>
      </c>
      <c r="E72" s="59">
        <v>0</v>
      </c>
      <c r="F72" s="59">
        <v>-89.327926635742188</v>
      </c>
      <c r="G72" s="42">
        <v>0</v>
      </c>
      <c r="H72" s="23"/>
      <c r="I72" s="23"/>
      <c r="J72" s="99"/>
      <c r="K72" s="99"/>
      <c r="L72" s="99"/>
      <c r="M72" s="99"/>
      <c r="N72" s="43">
        <f t="shared" si="0"/>
        <v>2343.16796875</v>
      </c>
      <c r="O72" s="43"/>
      <c r="P72" s="23"/>
      <c r="Q72" s="23"/>
    </row>
    <row r="73" spans="1:17">
      <c r="A73" s="23"/>
      <c r="B73" s="53">
        <v>63</v>
      </c>
      <c r="C73" s="58">
        <v>2504.85595703125</v>
      </c>
      <c r="D73" s="59">
        <v>146672.703125</v>
      </c>
      <c r="E73" s="59">
        <v>0</v>
      </c>
      <c r="F73" s="59">
        <v>-89.317123413085938</v>
      </c>
      <c r="G73" s="42">
        <v>0</v>
      </c>
      <c r="H73" s="23"/>
      <c r="I73" s="23"/>
      <c r="J73" s="99"/>
      <c r="K73" s="99"/>
      <c r="L73" s="99"/>
      <c r="M73" s="99"/>
      <c r="N73" s="43">
        <f t="shared" si="0"/>
        <v>2504.85595703125</v>
      </c>
      <c r="O73" s="43"/>
      <c r="P73" s="23"/>
      <c r="Q73" s="23"/>
    </row>
    <row r="74" spans="1:17">
      <c r="A74" s="23"/>
      <c r="B74" s="53">
        <v>64</v>
      </c>
      <c r="C74" s="58">
        <v>2677.701904296875</v>
      </c>
      <c r="D74" s="59">
        <v>137243.09375</v>
      </c>
      <c r="E74" s="59">
        <v>0</v>
      </c>
      <c r="F74" s="59">
        <v>-89.335411071777344</v>
      </c>
      <c r="G74" s="42">
        <v>0</v>
      </c>
      <c r="H74" s="23"/>
      <c r="I74" s="23"/>
      <c r="J74" s="99"/>
      <c r="K74" s="99"/>
      <c r="L74" s="99"/>
      <c r="M74" s="99"/>
      <c r="N74" s="43">
        <f t="shared" si="0"/>
        <v>2677.701904296875</v>
      </c>
      <c r="O74" s="43"/>
      <c r="P74" s="23"/>
      <c r="Q74" s="23"/>
    </row>
    <row r="75" spans="1:17">
      <c r="A75" s="23"/>
      <c r="B75" s="53">
        <v>65</v>
      </c>
      <c r="C75" s="58">
        <v>2862.47412109375</v>
      </c>
      <c r="D75" s="59">
        <v>128437.6015625</v>
      </c>
      <c r="E75" s="59">
        <v>0</v>
      </c>
      <c r="F75" s="59">
        <v>-89.331413269042969</v>
      </c>
      <c r="G75" s="42">
        <v>0</v>
      </c>
      <c r="H75" s="23"/>
      <c r="I75" s="23"/>
      <c r="J75" s="99"/>
      <c r="K75" s="99"/>
      <c r="L75" s="99"/>
      <c r="M75" s="99"/>
      <c r="N75" s="43">
        <f t="shared" ref="N75:N138" si="1">IF($L$4=$C$10,C75,IF(D75="","",B75))</f>
        <v>2862.47412109375</v>
      </c>
      <c r="O75" s="43"/>
      <c r="P75" s="23"/>
      <c r="Q75" s="23"/>
    </row>
    <row r="76" spans="1:17">
      <c r="A76" s="23"/>
      <c r="B76" s="53">
        <v>66</v>
      </c>
      <c r="C76" s="58">
        <v>3059.9970703125</v>
      </c>
      <c r="D76" s="59">
        <v>120212</v>
      </c>
      <c r="E76" s="59">
        <v>0</v>
      </c>
      <c r="F76" s="59">
        <v>-89.331413269042969</v>
      </c>
      <c r="G76" s="42">
        <v>0</v>
      </c>
      <c r="H76" s="23"/>
      <c r="I76" s="23"/>
      <c r="J76" s="99"/>
      <c r="K76" s="99"/>
      <c r="L76" s="99"/>
      <c r="M76" s="99"/>
      <c r="N76" s="43">
        <f t="shared" si="1"/>
        <v>3059.9970703125</v>
      </c>
      <c r="O76" s="43"/>
      <c r="P76" s="23"/>
      <c r="Q76" s="23"/>
    </row>
    <row r="77" spans="1:17">
      <c r="A77" s="23"/>
      <c r="B77" s="53">
        <v>67</v>
      </c>
      <c r="C77" s="58">
        <v>3271.14990234375</v>
      </c>
      <c r="D77" s="59">
        <v>112496.703125</v>
      </c>
      <c r="E77" s="59">
        <v>0</v>
      </c>
      <c r="F77" s="59">
        <v>-89.341293334960938</v>
      </c>
      <c r="G77" s="42">
        <v>0</v>
      </c>
      <c r="H77" s="23"/>
      <c r="I77" s="23"/>
      <c r="J77" s="99"/>
      <c r="K77" s="99"/>
      <c r="L77" s="99"/>
      <c r="M77" s="99"/>
      <c r="N77" s="43">
        <f t="shared" si="1"/>
        <v>3271.14990234375</v>
      </c>
      <c r="O77" s="43"/>
      <c r="P77" s="23"/>
      <c r="Q77" s="23"/>
    </row>
    <row r="78" spans="1:17">
      <c r="A78" s="23"/>
      <c r="B78" s="53">
        <v>68</v>
      </c>
      <c r="C78" s="58">
        <v>3496.8720703125</v>
      </c>
      <c r="D78" s="59">
        <v>105277.796875</v>
      </c>
      <c r="E78" s="59">
        <v>0</v>
      </c>
      <c r="F78" s="59">
        <v>-89.339042663574219</v>
      </c>
      <c r="G78" s="42">
        <v>0</v>
      </c>
      <c r="H78" s="23"/>
      <c r="I78" s="23"/>
      <c r="J78" s="99"/>
      <c r="K78" s="99"/>
      <c r="L78" s="99"/>
      <c r="M78" s="99"/>
      <c r="N78" s="43">
        <f t="shared" si="1"/>
        <v>3496.8720703125</v>
      </c>
      <c r="O78" s="43"/>
      <c r="P78" s="23"/>
      <c r="Q78" s="23"/>
    </row>
    <row r="79" spans="1:17">
      <c r="A79" s="23"/>
      <c r="B79" s="53">
        <v>69</v>
      </c>
      <c r="C79" s="58">
        <v>3738.1708984375</v>
      </c>
      <c r="D79" s="59">
        <v>98525.65625</v>
      </c>
      <c r="E79" s="59">
        <v>0</v>
      </c>
      <c r="F79" s="59">
        <v>-89.342033386230469</v>
      </c>
      <c r="G79" s="42">
        <v>0</v>
      </c>
      <c r="H79" s="23"/>
      <c r="I79" s="23"/>
      <c r="J79" s="99"/>
      <c r="K79" s="99"/>
      <c r="L79" s="99"/>
      <c r="M79" s="99"/>
      <c r="N79" s="43">
        <f t="shared" si="1"/>
        <v>3738.1708984375</v>
      </c>
      <c r="O79" s="43"/>
      <c r="P79" s="23"/>
      <c r="Q79" s="23"/>
    </row>
    <row r="80" spans="1:17">
      <c r="A80" s="23"/>
      <c r="B80" s="53">
        <v>70</v>
      </c>
      <c r="C80" s="58">
        <v>3996.12109375</v>
      </c>
      <c r="D80" s="59">
        <v>92208.578125</v>
      </c>
      <c r="E80" s="59">
        <v>0</v>
      </c>
      <c r="F80" s="59">
        <v>-89.343742370605469</v>
      </c>
      <c r="G80" s="42">
        <v>0</v>
      </c>
      <c r="H80" s="23"/>
      <c r="I80" s="23"/>
      <c r="J80" s="99"/>
      <c r="K80" s="99"/>
      <c r="L80" s="99"/>
      <c r="M80" s="99"/>
      <c r="N80" s="43">
        <f t="shared" si="1"/>
        <v>3996.12109375</v>
      </c>
      <c r="O80" s="43"/>
      <c r="P80" s="23"/>
      <c r="Q80" s="23"/>
    </row>
    <row r="81" spans="1:17">
      <c r="A81" s="23"/>
      <c r="B81" s="53">
        <v>71</v>
      </c>
      <c r="C81" s="58">
        <v>4271.8701171875</v>
      </c>
      <c r="D81" s="59">
        <v>86294.296875</v>
      </c>
      <c r="E81" s="59">
        <v>0</v>
      </c>
      <c r="F81" s="59">
        <v>-89.340339660644531</v>
      </c>
      <c r="G81" s="42">
        <v>0</v>
      </c>
      <c r="H81" s="23"/>
      <c r="I81" s="23"/>
      <c r="J81" s="99"/>
      <c r="K81" s="99"/>
      <c r="L81" s="99"/>
      <c r="M81" s="99"/>
      <c r="N81" s="43">
        <f t="shared" si="1"/>
        <v>4271.8701171875</v>
      </c>
      <c r="O81" s="43"/>
      <c r="P81" s="23"/>
      <c r="Q81" s="23"/>
    </row>
    <row r="82" spans="1:17">
      <c r="A82" s="23"/>
      <c r="B82" s="53">
        <v>72</v>
      </c>
      <c r="C82" s="58">
        <v>4566.64697265625</v>
      </c>
      <c r="D82" s="59">
        <v>80753.59375</v>
      </c>
      <c r="E82" s="59">
        <v>0</v>
      </c>
      <c r="F82" s="59">
        <v>-89.340133666992188</v>
      </c>
      <c r="G82" s="42">
        <v>0</v>
      </c>
      <c r="H82" s="23"/>
      <c r="I82" s="23"/>
      <c r="J82" s="99"/>
      <c r="K82" s="99"/>
      <c r="L82" s="99"/>
      <c r="M82" s="99"/>
      <c r="N82" s="43">
        <f t="shared" si="1"/>
        <v>4566.64697265625</v>
      </c>
      <c r="O82" s="43"/>
      <c r="P82" s="23"/>
      <c r="Q82" s="23"/>
    </row>
    <row r="83" spans="1:17">
      <c r="A83" s="23"/>
      <c r="B83" s="53">
        <v>73</v>
      </c>
      <c r="C83" s="58">
        <v>4881.76416015625</v>
      </c>
      <c r="D83" s="59">
        <v>75569.6875</v>
      </c>
      <c r="E83" s="59">
        <v>0</v>
      </c>
      <c r="F83" s="59">
        <v>-89.336616516113281</v>
      </c>
      <c r="G83" s="42">
        <v>0</v>
      </c>
      <c r="H83" s="23"/>
      <c r="I83" s="23"/>
      <c r="J83" s="99"/>
      <c r="K83" s="99"/>
      <c r="L83" s="99"/>
      <c r="M83" s="99"/>
      <c r="N83" s="43">
        <f t="shared" si="1"/>
        <v>4881.76416015625</v>
      </c>
      <c r="O83" s="43"/>
      <c r="P83" s="23"/>
      <c r="Q83" s="23"/>
    </row>
    <row r="84" spans="1:17">
      <c r="A84" s="23"/>
      <c r="B84" s="53">
        <v>74</v>
      </c>
      <c r="C84" s="58">
        <v>5218.6259765625</v>
      </c>
      <c r="D84" s="59">
        <v>70723.9921875</v>
      </c>
      <c r="E84" s="59">
        <v>0</v>
      </c>
      <c r="F84" s="59">
        <v>-89.34295654296875</v>
      </c>
      <c r="G84" s="42">
        <v>0</v>
      </c>
      <c r="H84" s="23"/>
      <c r="I84" s="23"/>
      <c r="J84" s="99"/>
      <c r="K84" s="99"/>
      <c r="L84" s="99"/>
      <c r="M84" s="99"/>
      <c r="N84" s="43">
        <f t="shared" si="1"/>
        <v>5218.6259765625</v>
      </c>
      <c r="O84" s="43"/>
      <c r="P84" s="23"/>
      <c r="Q84" s="23"/>
    </row>
    <row r="85" spans="1:17">
      <c r="A85" s="23"/>
      <c r="B85" s="53">
        <v>75</v>
      </c>
      <c r="C85" s="58">
        <v>5578.73291015625</v>
      </c>
      <c r="D85" s="59">
        <v>66190.453125</v>
      </c>
      <c r="E85" s="59">
        <v>0</v>
      </c>
      <c r="F85" s="59">
        <v>-89.341453552246094</v>
      </c>
      <c r="G85" s="42">
        <v>0</v>
      </c>
      <c r="H85" s="23"/>
      <c r="I85" s="23"/>
      <c r="J85" s="99"/>
      <c r="K85" s="99"/>
      <c r="L85" s="99"/>
      <c r="M85" s="99"/>
      <c r="N85" s="43">
        <f t="shared" si="1"/>
        <v>5578.73291015625</v>
      </c>
      <c r="O85" s="43"/>
      <c r="P85" s="23"/>
      <c r="Q85" s="23"/>
    </row>
    <row r="86" spans="1:17">
      <c r="A86" s="23"/>
      <c r="B86" s="53">
        <v>76</v>
      </c>
      <c r="C86" s="58">
        <v>5963.68896484375</v>
      </c>
      <c r="D86" s="59">
        <v>61943.6015625</v>
      </c>
      <c r="E86" s="59">
        <v>0</v>
      </c>
      <c r="F86" s="59">
        <v>-89.340599060058594</v>
      </c>
      <c r="G86" s="42">
        <v>0</v>
      </c>
      <c r="H86" s="23"/>
      <c r="I86" s="23"/>
      <c r="J86" s="99"/>
      <c r="K86" s="99"/>
      <c r="L86" s="99"/>
      <c r="M86" s="99"/>
      <c r="N86" s="43">
        <f t="shared" si="1"/>
        <v>5963.68896484375</v>
      </c>
      <c r="O86" s="43"/>
      <c r="P86" s="23"/>
      <c r="Q86" s="23"/>
    </row>
    <row r="87" spans="1:17">
      <c r="A87" s="23"/>
      <c r="B87" s="53">
        <v>77</v>
      </c>
      <c r="C87" s="58">
        <v>6375.208984375</v>
      </c>
      <c r="D87" s="59">
        <v>57973.671875</v>
      </c>
      <c r="E87" s="59">
        <v>0</v>
      </c>
      <c r="F87" s="59">
        <v>-89.336990356445313</v>
      </c>
      <c r="G87" s="42">
        <v>0</v>
      </c>
      <c r="H87" s="23"/>
      <c r="I87" s="23"/>
      <c r="J87" s="99"/>
      <c r="K87" s="99"/>
      <c r="L87" s="99"/>
      <c r="M87" s="99"/>
      <c r="N87" s="43">
        <f t="shared" si="1"/>
        <v>6375.208984375</v>
      </c>
      <c r="O87" s="43"/>
      <c r="P87" s="23"/>
      <c r="Q87" s="23"/>
    </row>
    <row r="88" spans="1:17">
      <c r="A88" s="23"/>
      <c r="B88" s="53">
        <v>78</v>
      </c>
      <c r="C88" s="58">
        <v>6815.125</v>
      </c>
      <c r="D88" s="59">
        <v>54253.51953125</v>
      </c>
      <c r="E88" s="59">
        <v>0</v>
      </c>
      <c r="F88" s="59">
        <v>-89.329063415527344</v>
      </c>
      <c r="G88" s="42">
        <v>0</v>
      </c>
      <c r="H88" s="23"/>
      <c r="I88" s="23"/>
      <c r="J88" s="99"/>
      <c r="K88" s="99"/>
      <c r="L88" s="99"/>
      <c r="M88" s="99"/>
      <c r="N88" s="43">
        <f t="shared" si="1"/>
        <v>6815.125</v>
      </c>
      <c r="O88" s="43"/>
      <c r="P88" s="23"/>
      <c r="Q88" s="23"/>
    </row>
    <row r="89" spans="1:17">
      <c r="A89" s="23"/>
      <c r="B89" s="53">
        <v>79</v>
      </c>
      <c r="C89" s="58">
        <v>7285.39697265625</v>
      </c>
      <c r="D89" s="59">
        <v>50771.4296875</v>
      </c>
      <c r="E89" s="59">
        <v>0</v>
      </c>
      <c r="F89" s="59">
        <v>-89.32977294921875</v>
      </c>
      <c r="G89" s="42">
        <v>0</v>
      </c>
      <c r="H89" s="23"/>
      <c r="I89" s="23"/>
      <c r="J89" s="99"/>
      <c r="K89" s="99"/>
      <c r="L89" s="99"/>
      <c r="M89" s="99"/>
      <c r="N89" s="43">
        <f t="shared" si="1"/>
        <v>7285.39697265625</v>
      </c>
      <c r="O89" s="43"/>
      <c r="P89" s="23"/>
      <c r="Q89" s="23"/>
    </row>
    <row r="90" spans="1:17">
      <c r="A90" s="23"/>
      <c r="B90" s="53">
        <v>80</v>
      </c>
      <c r="C90" s="58">
        <v>7788.119140625</v>
      </c>
      <c r="D90" s="59">
        <v>47516.62109375</v>
      </c>
      <c r="E90" s="59">
        <v>0</v>
      </c>
      <c r="F90" s="59">
        <v>-89.323829650878906</v>
      </c>
      <c r="G90" s="42">
        <v>0</v>
      </c>
      <c r="H90" s="23"/>
      <c r="I90" s="23"/>
      <c r="J90" s="99"/>
      <c r="K90" s="99"/>
      <c r="L90" s="99"/>
      <c r="M90" s="99"/>
      <c r="N90" s="43">
        <f t="shared" si="1"/>
        <v>7788.119140625</v>
      </c>
      <c r="O90" s="43"/>
      <c r="P90" s="23"/>
      <c r="Q90" s="23"/>
    </row>
    <row r="91" spans="1:17">
      <c r="A91" s="23"/>
      <c r="B91" s="53">
        <v>81</v>
      </c>
      <c r="C91" s="58">
        <v>8325.5322265625</v>
      </c>
      <c r="D91" s="59">
        <v>44470.69921875</v>
      </c>
      <c r="E91" s="59">
        <v>0</v>
      </c>
      <c r="F91" s="59">
        <v>-89.322433471679688</v>
      </c>
      <c r="G91" s="42">
        <v>0</v>
      </c>
      <c r="H91" s="23"/>
      <c r="I91" s="23"/>
      <c r="J91" s="99"/>
      <c r="K91" s="99"/>
      <c r="L91" s="99"/>
      <c r="M91" s="99"/>
      <c r="N91" s="43">
        <f t="shared" si="1"/>
        <v>8325.5322265625</v>
      </c>
      <c r="O91" s="43"/>
      <c r="P91" s="23"/>
      <c r="Q91" s="23"/>
    </row>
    <row r="92" spans="1:17">
      <c r="A92" s="23"/>
      <c r="B92" s="53">
        <v>82</v>
      </c>
      <c r="C92" s="58">
        <v>8900.029296875</v>
      </c>
      <c r="D92" s="59">
        <v>41622.55078125</v>
      </c>
      <c r="E92" s="59">
        <v>0</v>
      </c>
      <c r="F92" s="59">
        <v>-89.327796936035156</v>
      </c>
      <c r="G92" s="42">
        <v>0</v>
      </c>
      <c r="H92" s="23"/>
      <c r="I92" s="23"/>
      <c r="J92" s="99"/>
      <c r="K92" s="99"/>
      <c r="L92" s="99"/>
      <c r="M92" s="99"/>
      <c r="N92" s="43">
        <f t="shared" si="1"/>
        <v>8900.029296875</v>
      </c>
      <c r="O92" s="43"/>
      <c r="P92" s="23"/>
      <c r="Q92" s="23"/>
    </row>
    <row r="93" spans="1:17">
      <c r="A93" s="23"/>
      <c r="B93" s="53">
        <v>83</v>
      </c>
      <c r="C93" s="58">
        <v>9514.16796875</v>
      </c>
      <c r="D93" s="59">
        <v>38961.33984375</v>
      </c>
      <c r="E93" s="59">
        <v>0</v>
      </c>
      <c r="F93" s="59">
        <v>-89.329269409179688</v>
      </c>
      <c r="G93" s="42">
        <v>0</v>
      </c>
      <c r="H93" s="23"/>
      <c r="I93" s="23"/>
      <c r="J93" s="99"/>
      <c r="K93" s="99"/>
      <c r="L93" s="99"/>
      <c r="M93" s="99"/>
      <c r="N93" s="43">
        <f t="shared" si="1"/>
        <v>9514.16796875</v>
      </c>
      <c r="O93" s="43"/>
      <c r="P93" s="23"/>
      <c r="Q93" s="23"/>
    </row>
    <row r="94" spans="1:17">
      <c r="A94" s="23"/>
      <c r="B94" s="53">
        <v>84</v>
      </c>
      <c r="C94" s="58">
        <v>10170.6845703125</v>
      </c>
      <c r="D94" s="59">
        <v>36457.390625</v>
      </c>
      <c r="E94" s="59">
        <v>0</v>
      </c>
      <c r="F94" s="59">
        <v>-89.322906494140625</v>
      </c>
      <c r="G94" s="42">
        <v>0</v>
      </c>
      <c r="H94" s="23"/>
      <c r="I94" s="23"/>
      <c r="J94" s="99"/>
      <c r="K94" s="99"/>
      <c r="L94" s="99"/>
      <c r="M94" s="99"/>
      <c r="N94" s="43">
        <f t="shared" si="1"/>
        <v>10170.6845703125</v>
      </c>
      <c r="O94" s="43"/>
      <c r="P94" s="23"/>
      <c r="Q94" s="23"/>
    </row>
    <row r="95" spans="1:17">
      <c r="A95" s="23"/>
      <c r="B95" s="53">
        <v>85</v>
      </c>
      <c r="C95" s="58">
        <v>10872.5048828125</v>
      </c>
      <c r="D95" s="59">
        <v>34123.859375</v>
      </c>
      <c r="E95" s="59">
        <v>0</v>
      </c>
      <c r="F95" s="59">
        <v>-89.323593139648438</v>
      </c>
      <c r="G95" s="42">
        <v>0</v>
      </c>
      <c r="H95" s="23"/>
      <c r="I95" s="23"/>
      <c r="J95" s="99"/>
      <c r="K95" s="99"/>
      <c r="L95" s="99"/>
      <c r="M95" s="99"/>
      <c r="N95" s="43">
        <f t="shared" si="1"/>
        <v>10872.5048828125</v>
      </c>
      <c r="O95" s="43"/>
      <c r="P95" s="23"/>
      <c r="Q95" s="23"/>
    </row>
    <row r="96" spans="1:17">
      <c r="A96" s="23"/>
      <c r="B96" s="53">
        <v>86</v>
      </c>
      <c r="C96" s="58">
        <v>11622.7529296875</v>
      </c>
      <c r="D96" s="59">
        <v>31933.369140625</v>
      </c>
      <c r="E96" s="59">
        <v>0</v>
      </c>
      <c r="F96" s="59">
        <v>-89.297767639160156</v>
      </c>
      <c r="G96" s="42">
        <v>0</v>
      </c>
      <c r="H96" s="23"/>
      <c r="I96" s="23"/>
      <c r="J96" s="99"/>
      <c r="K96" s="99"/>
      <c r="L96" s="99"/>
      <c r="M96" s="99"/>
      <c r="N96" s="43">
        <f t="shared" si="1"/>
        <v>11622.7529296875</v>
      </c>
      <c r="O96" s="43"/>
      <c r="P96" s="23"/>
      <c r="Q96" s="23"/>
    </row>
    <row r="97" spans="1:17">
      <c r="A97" s="23"/>
      <c r="B97" s="53">
        <v>87</v>
      </c>
      <c r="C97" s="58">
        <v>12424.771484375</v>
      </c>
      <c r="D97" s="59">
        <v>29885.66015625</v>
      </c>
      <c r="E97" s="59">
        <v>0</v>
      </c>
      <c r="F97" s="59">
        <v>-89.296707153320313</v>
      </c>
      <c r="G97" s="42">
        <v>0</v>
      </c>
      <c r="H97" s="23"/>
      <c r="I97" s="23"/>
      <c r="J97" s="99"/>
      <c r="K97" s="99"/>
      <c r="L97" s="99"/>
      <c r="M97" s="99"/>
      <c r="N97" s="43">
        <f t="shared" si="1"/>
        <v>12424.771484375</v>
      </c>
      <c r="O97" s="43"/>
      <c r="P97" s="23"/>
      <c r="Q97" s="23"/>
    </row>
    <row r="98" spans="1:17">
      <c r="A98" s="23"/>
      <c r="B98" s="53">
        <v>88</v>
      </c>
      <c r="C98" s="58">
        <v>13282.1318359375</v>
      </c>
      <c r="D98" s="59">
        <v>27968.08984375</v>
      </c>
      <c r="E98" s="59">
        <v>0</v>
      </c>
      <c r="F98" s="59">
        <v>-89.287101745605469</v>
      </c>
      <c r="G98" s="42">
        <v>0</v>
      </c>
      <c r="H98" s="23"/>
      <c r="I98" s="23"/>
      <c r="J98" s="99"/>
      <c r="K98" s="99"/>
      <c r="L98" s="99"/>
      <c r="M98" s="99"/>
      <c r="N98" s="43">
        <f t="shared" si="1"/>
        <v>13282.1318359375</v>
      </c>
      <c r="O98" s="43"/>
      <c r="P98" s="23"/>
      <c r="Q98" s="23"/>
    </row>
    <row r="99" spans="1:17">
      <c r="A99" s="23"/>
      <c r="B99" s="53">
        <v>89</v>
      </c>
      <c r="C99" s="58">
        <v>14198.6552734375</v>
      </c>
      <c r="D99" s="59">
        <v>26176.609375</v>
      </c>
      <c r="E99" s="59">
        <v>0</v>
      </c>
      <c r="F99" s="59">
        <v>-89.285301208496094</v>
      </c>
      <c r="G99" s="42">
        <v>0</v>
      </c>
      <c r="H99" s="23"/>
      <c r="I99" s="23"/>
      <c r="J99" s="99"/>
      <c r="K99" s="99"/>
      <c r="L99" s="99"/>
      <c r="M99" s="99"/>
      <c r="N99" s="43">
        <f t="shared" si="1"/>
        <v>14198.6552734375</v>
      </c>
      <c r="O99" s="43"/>
      <c r="P99" s="23"/>
      <c r="Q99" s="23"/>
    </row>
    <row r="100" spans="1:17">
      <c r="A100" s="23"/>
      <c r="B100" s="53">
        <v>90</v>
      </c>
      <c r="C100" s="58">
        <v>15178.4208984375</v>
      </c>
      <c r="D100" s="59">
        <v>24499.919921875</v>
      </c>
      <c r="E100" s="59">
        <v>0</v>
      </c>
      <c r="F100" s="59">
        <v>-89.284622192382813</v>
      </c>
      <c r="G100" s="42">
        <v>0</v>
      </c>
      <c r="H100" s="23"/>
      <c r="I100" s="23"/>
      <c r="J100" s="99"/>
      <c r="K100" s="99"/>
      <c r="L100" s="99"/>
      <c r="M100" s="99"/>
      <c r="N100" s="43">
        <f t="shared" si="1"/>
        <v>15178.4208984375</v>
      </c>
      <c r="O100" s="43"/>
      <c r="P100" s="23"/>
      <c r="Q100" s="23"/>
    </row>
    <row r="101" spans="1:17">
      <c r="A101" s="23"/>
      <c r="B101" s="53">
        <v>91</v>
      </c>
      <c r="C101" s="58">
        <v>16225.7958984375</v>
      </c>
      <c r="D101" s="59">
        <v>22929.080078125</v>
      </c>
      <c r="E101" s="59">
        <v>0</v>
      </c>
      <c r="F101" s="59">
        <v>-89.278396606445313</v>
      </c>
      <c r="G101" s="42">
        <v>0</v>
      </c>
      <c r="H101" s="23"/>
      <c r="I101" s="23"/>
      <c r="J101" s="99"/>
      <c r="K101" s="99"/>
      <c r="L101" s="99"/>
      <c r="M101" s="99"/>
      <c r="N101" s="43">
        <f t="shared" si="1"/>
        <v>16225.7958984375</v>
      </c>
      <c r="O101" s="43"/>
      <c r="P101" s="23"/>
      <c r="Q101" s="23"/>
    </row>
    <row r="102" spans="1:17">
      <c r="A102" s="23"/>
      <c r="B102" s="53">
        <v>92</v>
      </c>
      <c r="C102" s="58">
        <v>17345.443359375</v>
      </c>
      <c r="D102" s="59">
        <v>21458.810546875</v>
      </c>
      <c r="E102" s="59">
        <v>0</v>
      </c>
      <c r="F102" s="59">
        <v>-89.268203735351563</v>
      </c>
      <c r="G102" s="42">
        <v>0</v>
      </c>
      <c r="H102" s="23"/>
      <c r="I102" s="23"/>
      <c r="J102" s="99"/>
      <c r="K102" s="99"/>
      <c r="L102" s="99"/>
      <c r="M102" s="99"/>
      <c r="N102" s="43">
        <f t="shared" si="1"/>
        <v>17345.443359375</v>
      </c>
      <c r="O102" s="43"/>
      <c r="P102" s="23"/>
      <c r="Q102" s="23"/>
    </row>
    <row r="103" spans="1:17">
      <c r="A103" s="23"/>
      <c r="B103" s="53">
        <v>93</v>
      </c>
      <c r="C103" s="58">
        <v>18542.3515625</v>
      </c>
      <c r="D103" s="59">
        <v>20085.169921875</v>
      </c>
      <c r="E103" s="59">
        <v>0</v>
      </c>
      <c r="F103" s="59">
        <v>-89.267227172851563</v>
      </c>
      <c r="G103" s="42">
        <v>0</v>
      </c>
      <c r="H103" s="23"/>
      <c r="I103" s="23"/>
      <c r="J103" s="99"/>
      <c r="K103" s="99"/>
      <c r="L103" s="99"/>
      <c r="M103" s="99"/>
      <c r="N103" s="43">
        <f t="shared" si="1"/>
        <v>18542.3515625</v>
      </c>
      <c r="O103" s="43"/>
      <c r="P103" s="23"/>
      <c r="Q103" s="23"/>
    </row>
    <row r="104" spans="1:17">
      <c r="A104" s="23"/>
      <c r="B104" s="53">
        <v>94</v>
      </c>
      <c r="C104" s="58">
        <v>19821.8515625</v>
      </c>
      <c r="D104" s="59">
        <v>18799.7890625</v>
      </c>
      <c r="E104" s="59">
        <v>0</v>
      </c>
      <c r="F104" s="59">
        <v>-89.262077331542969</v>
      </c>
      <c r="G104" s="42">
        <v>0</v>
      </c>
      <c r="H104" s="23"/>
      <c r="I104" s="23"/>
      <c r="J104" s="99"/>
      <c r="K104" s="99"/>
      <c r="L104" s="99"/>
      <c r="M104" s="99"/>
      <c r="N104" s="43">
        <f t="shared" si="1"/>
        <v>19821.8515625</v>
      </c>
      <c r="O104" s="43"/>
      <c r="P104" s="23"/>
      <c r="Q104" s="23"/>
    </row>
    <row r="105" spans="1:17">
      <c r="A105" s="23"/>
      <c r="B105" s="53">
        <v>95</v>
      </c>
      <c r="C105" s="58">
        <v>21189.640625</v>
      </c>
      <c r="D105" s="59">
        <v>17594.419921875</v>
      </c>
      <c r="E105" s="59">
        <v>0</v>
      </c>
      <c r="F105" s="59">
        <v>-89.257736206054688</v>
      </c>
      <c r="G105" s="42">
        <v>0</v>
      </c>
      <c r="H105" s="23"/>
      <c r="I105" s="23"/>
      <c r="J105" s="99"/>
      <c r="K105" s="99"/>
      <c r="L105" s="99"/>
      <c r="M105" s="99"/>
      <c r="N105" s="43">
        <f t="shared" si="1"/>
        <v>21189.640625</v>
      </c>
      <c r="O105" s="43"/>
      <c r="P105" s="23"/>
      <c r="Q105" s="23"/>
    </row>
    <row r="106" spans="1:17">
      <c r="A106" s="23"/>
      <c r="B106" s="53">
        <v>96</v>
      </c>
      <c r="C106" s="58">
        <v>22651.814453125</v>
      </c>
      <c r="D106" s="59">
        <v>16467.259765625</v>
      </c>
      <c r="E106" s="59">
        <v>0</v>
      </c>
      <c r="F106" s="59">
        <v>-89.253860473632813</v>
      </c>
      <c r="G106" s="42">
        <v>0</v>
      </c>
      <c r="H106" s="23"/>
      <c r="I106" s="23"/>
      <c r="J106" s="99"/>
      <c r="K106" s="99"/>
      <c r="L106" s="99"/>
      <c r="M106" s="99"/>
      <c r="N106" s="43">
        <f t="shared" si="1"/>
        <v>22651.814453125</v>
      </c>
      <c r="O106" s="43"/>
      <c r="P106" s="23"/>
      <c r="Q106" s="23"/>
    </row>
    <row r="107" spans="1:17">
      <c r="A107" s="23"/>
      <c r="B107" s="53">
        <v>97</v>
      </c>
      <c r="C107" s="58">
        <v>24214.884765625</v>
      </c>
      <c r="D107" s="59">
        <v>15413.0302734375</v>
      </c>
      <c r="E107" s="59">
        <v>0</v>
      </c>
      <c r="F107" s="59">
        <v>-89.247566223144531</v>
      </c>
      <c r="G107" s="42">
        <v>0</v>
      </c>
      <c r="H107" s="23"/>
      <c r="I107" s="23"/>
      <c r="J107" s="99"/>
      <c r="K107" s="99"/>
      <c r="L107" s="99"/>
      <c r="M107" s="99"/>
      <c r="N107" s="43">
        <f t="shared" si="1"/>
        <v>24214.884765625</v>
      </c>
      <c r="O107" s="43"/>
      <c r="P107" s="23"/>
      <c r="Q107" s="23"/>
    </row>
    <row r="108" spans="1:17">
      <c r="A108" s="23"/>
      <c r="B108" s="53">
        <v>98</v>
      </c>
      <c r="C108" s="58">
        <v>25885.8125</v>
      </c>
      <c r="D108" s="59">
        <v>14425.7802734375</v>
      </c>
      <c r="E108" s="59">
        <v>0</v>
      </c>
      <c r="F108" s="59">
        <v>-89.241348266601563</v>
      </c>
      <c r="G108" s="42">
        <v>0</v>
      </c>
      <c r="H108" s="23"/>
      <c r="I108" s="23"/>
      <c r="J108" s="99"/>
      <c r="K108" s="99"/>
      <c r="L108" s="99"/>
      <c r="M108" s="99"/>
      <c r="N108" s="43">
        <f t="shared" si="1"/>
        <v>25885.8125</v>
      </c>
      <c r="O108" s="43"/>
      <c r="P108" s="23"/>
      <c r="Q108" s="23"/>
    </row>
    <row r="109" spans="1:17">
      <c r="A109" s="23"/>
      <c r="B109" s="53">
        <v>99</v>
      </c>
      <c r="C109" s="58">
        <v>27672.041015625</v>
      </c>
      <c r="D109" s="59">
        <v>13501.2802734375</v>
      </c>
      <c r="E109" s="59">
        <v>0</v>
      </c>
      <c r="F109" s="59">
        <v>-89.230560302734375</v>
      </c>
      <c r="G109" s="42">
        <v>0</v>
      </c>
      <c r="H109" s="23"/>
      <c r="I109" s="23"/>
      <c r="J109" s="99"/>
      <c r="K109" s="99"/>
      <c r="L109" s="99"/>
      <c r="M109" s="99"/>
      <c r="N109" s="43">
        <f t="shared" si="1"/>
        <v>27672.041015625</v>
      </c>
      <c r="O109" s="43"/>
      <c r="P109" s="23"/>
      <c r="Q109" s="23"/>
    </row>
    <row r="110" spans="1:17">
      <c r="A110" s="23"/>
      <c r="B110" s="53">
        <v>100</v>
      </c>
      <c r="C110" s="58">
        <v>29581.52734375</v>
      </c>
      <c r="D110" s="59">
        <v>12636.330078125</v>
      </c>
      <c r="E110" s="59">
        <v>0</v>
      </c>
      <c r="F110" s="59">
        <v>-89.233512878417969</v>
      </c>
      <c r="G110" s="42">
        <v>0</v>
      </c>
      <c r="H110" s="23"/>
      <c r="I110" s="23"/>
      <c r="J110" s="99"/>
      <c r="K110" s="99"/>
      <c r="L110" s="99"/>
      <c r="M110" s="99"/>
      <c r="N110" s="43">
        <f t="shared" si="1"/>
        <v>29581.52734375</v>
      </c>
      <c r="O110" s="43"/>
      <c r="P110" s="23"/>
      <c r="Q110" s="23"/>
    </row>
    <row r="111" spans="1:17">
      <c r="A111" s="23"/>
      <c r="B111" s="53">
        <v>101</v>
      </c>
      <c r="C111" s="58">
        <v>31622.77734375</v>
      </c>
      <c r="D111" s="59">
        <v>11828.1298828125</v>
      </c>
      <c r="E111" s="59">
        <v>0</v>
      </c>
      <c r="F111" s="59">
        <v>-89.231208801269531</v>
      </c>
      <c r="G111" s="42">
        <v>0</v>
      </c>
      <c r="H111" s="23"/>
      <c r="I111" s="23"/>
      <c r="J111" s="99"/>
      <c r="K111" s="99"/>
      <c r="L111" s="99"/>
      <c r="M111" s="99"/>
      <c r="N111" s="43">
        <f t="shared" si="1"/>
        <v>31622.77734375</v>
      </c>
      <c r="O111" s="43"/>
      <c r="P111" s="23"/>
      <c r="Q111" s="23"/>
    </row>
    <row r="112" spans="1:17">
      <c r="A112" s="23"/>
      <c r="B112" s="53">
        <v>102</v>
      </c>
      <c r="C112" s="58">
        <v>33804.87890625</v>
      </c>
      <c r="D112" s="59">
        <v>11071.0498046875</v>
      </c>
      <c r="E112" s="59">
        <v>0</v>
      </c>
      <c r="F112" s="59">
        <v>-89.224449157714844</v>
      </c>
      <c r="G112" s="42">
        <v>0</v>
      </c>
      <c r="H112" s="23"/>
      <c r="I112" s="23"/>
      <c r="J112" s="99"/>
      <c r="K112" s="99"/>
      <c r="L112" s="99"/>
      <c r="M112" s="99"/>
      <c r="N112" s="43">
        <f t="shared" si="1"/>
        <v>33804.87890625</v>
      </c>
      <c r="O112" s="43"/>
      <c r="P112" s="23"/>
      <c r="Q112" s="23"/>
    </row>
    <row r="113" spans="1:17">
      <c r="A113" s="23"/>
      <c r="B113" s="53">
        <v>103</v>
      </c>
      <c r="C113" s="58">
        <v>36137.55859375</v>
      </c>
      <c r="D113" s="59">
        <v>10361.9404296875</v>
      </c>
      <c r="E113" s="59">
        <v>0</v>
      </c>
      <c r="F113" s="59">
        <v>-89.210060119628906</v>
      </c>
      <c r="G113" s="42">
        <v>0</v>
      </c>
      <c r="H113" s="23"/>
      <c r="I113" s="23"/>
      <c r="J113" s="99"/>
      <c r="K113" s="99"/>
      <c r="L113" s="99"/>
      <c r="M113" s="99"/>
      <c r="N113" s="43">
        <f t="shared" si="1"/>
        <v>36137.55859375</v>
      </c>
      <c r="O113" s="43"/>
      <c r="P113" s="23"/>
      <c r="Q113" s="23"/>
    </row>
    <row r="114" spans="1:17">
      <c r="A114" s="23"/>
      <c r="B114" s="53">
        <v>104</v>
      </c>
      <c r="C114" s="58">
        <v>38631.19921875</v>
      </c>
      <c r="D114" s="59">
        <v>9697.77734375</v>
      </c>
      <c r="E114" s="59">
        <v>0</v>
      </c>
      <c r="F114" s="59">
        <v>-89.210922241210938</v>
      </c>
      <c r="G114" s="42">
        <v>0</v>
      </c>
      <c r="H114" s="23"/>
      <c r="I114" s="23"/>
      <c r="J114" s="99"/>
      <c r="K114" s="99"/>
      <c r="L114" s="99"/>
      <c r="M114" s="99"/>
      <c r="N114" s="43">
        <f t="shared" si="1"/>
        <v>38631.19921875</v>
      </c>
      <c r="O114" s="43"/>
      <c r="P114" s="23"/>
      <c r="Q114" s="23"/>
    </row>
    <row r="115" spans="1:17">
      <c r="A115" s="23"/>
      <c r="B115" s="53">
        <v>105</v>
      </c>
      <c r="C115" s="58">
        <v>41296.9140625</v>
      </c>
      <c r="D115" s="59">
        <v>9077.283203125</v>
      </c>
      <c r="E115" s="59">
        <v>0</v>
      </c>
      <c r="F115" s="59">
        <v>-89.201896667480469</v>
      </c>
      <c r="G115" s="42">
        <v>0</v>
      </c>
      <c r="H115" s="23"/>
      <c r="I115" s="23"/>
      <c r="J115" s="99"/>
      <c r="K115" s="99"/>
      <c r="L115" s="99"/>
      <c r="M115" s="99"/>
      <c r="N115" s="43">
        <f t="shared" si="1"/>
        <v>41296.9140625</v>
      </c>
      <c r="O115" s="43"/>
      <c r="P115" s="23"/>
      <c r="Q115" s="23"/>
    </row>
    <row r="116" spans="1:17">
      <c r="A116" s="23"/>
      <c r="B116" s="53">
        <v>106</v>
      </c>
      <c r="C116" s="58">
        <v>44146.57421875</v>
      </c>
      <c r="D116" s="59">
        <v>8495.9013671875</v>
      </c>
      <c r="E116" s="59">
        <v>0</v>
      </c>
      <c r="F116" s="59">
        <v>-89.19586181640625</v>
      </c>
      <c r="G116" s="42">
        <v>0</v>
      </c>
      <c r="H116" s="23"/>
      <c r="I116" s="23"/>
      <c r="J116" s="99"/>
      <c r="K116" s="99"/>
      <c r="L116" s="99"/>
      <c r="M116" s="99"/>
      <c r="N116" s="43">
        <f t="shared" si="1"/>
        <v>44146.57421875</v>
      </c>
      <c r="O116" s="43"/>
      <c r="P116" s="23"/>
      <c r="Q116" s="23"/>
    </row>
    <row r="117" spans="1:17">
      <c r="A117" s="23"/>
      <c r="B117" s="53">
        <v>107</v>
      </c>
      <c r="C117" s="58">
        <v>47192.87109375</v>
      </c>
      <c r="D117" s="59">
        <v>7952.2490234375</v>
      </c>
      <c r="E117" s="59">
        <v>0</v>
      </c>
      <c r="F117" s="59">
        <v>-89.187362670898438</v>
      </c>
      <c r="G117" s="42">
        <v>0</v>
      </c>
      <c r="H117" s="23"/>
      <c r="I117" s="23"/>
      <c r="J117" s="99"/>
      <c r="K117" s="99"/>
      <c r="L117" s="99"/>
      <c r="M117" s="99"/>
      <c r="N117" s="43">
        <f t="shared" si="1"/>
        <v>47192.87109375</v>
      </c>
      <c r="O117" s="43"/>
      <c r="P117" s="23"/>
      <c r="Q117" s="23"/>
    </row>
    <row r="118" spans="1:17">
      <c r="A118" s="23"/>
      <c r="B118" s="53">
        <v>108</v>
      </c>
      <c r="C118" s="58">
        <v>50449.375</v>
      </c>
      <c r="D118" s="59">
        <v>7443.0341796875</v>
      </c>
      <c r="E118" s="59">
        <v>0</v>
      </c>
      <c r="F118" s="59">
        <v>-89.180442810058594</v>
      </c>
      <c r="G118" s="42">
        <v>0</v>
      </c>
      <c r="H118" s="23"/>
      <c r="I118" s="23"/>
      <c r="J118" s="99"/>
      <c r="K118" s="99"/>
      <c r="L118" s="99"/>
      <c r="M118" s="99"/>
      <c r="N118" s="43">
        <f t="shared" si="1"/>
        <v>50449.375</v>
      </c>
      <c r="O118" s="43"/>
      <c r="P118" s="23"/>
      <c r="Q118" s="23"/>
    </row>
    <row r="119" spans="1:17">
      <c r="A119" s="23"/>
      <c r="B119" s="53">
        <v>109</v>
      </c>
      <c r="C119" s="58">
        <v>53930.59375</v>
      </c>
      <c r="D119" s="59">
        <v>6966.69677734375</v>
      </c>
      <c r="E119" s="59">
        <v>0</v>
      </c>
      <c r="F119" s="59">
        <v>-89.169242858886719</v>
      </c>
      <c r="G119" s="42">
        <v>0</v>
      </c>
      <c r="H119" s="23"/>
      <c r="I119" s="23"/>
      <c r="J119" s="99"/>
      <c r="K119" s="99"/>
      <c r="L119" s="99"/>
      <c r="M119" s="99"/>
      <c r="N119" s="43">
        <f t="shared" si="1"/>
        <v>53930.59375</v>
      </c>
      <c r="O119" s="43"/>
      <c r="P119" s="23"/>
      <c r="Q119" s="23"/>
    </row>
    <row r="120" spans="1:17">
      <c r="A120" s="23"/>
      <c r="B120" s="53">
        <v>110</v>
      </c>
      <c r="C120" s="58">
        <v>57652.03125</v>
      </c>
      <c r="D120" s="59">
        <v>6521.19091796875</v>
      </c>
      <c r="E120" s="59">
        <v>0</v>
      </c>
      <c r="F120" s="59">
        <v>-89.166496276855469</v>
      </c>
      <c r="G120" s="42">
        <v>0</v>
      </c>
      <c r="H120" s="23"/>
      <c r="I120" s="23"/>
      <c r="J120" s="99"/>
      <c r="K120" s="99"/>
      <c r="L120" s="99"/>
      <c r="M120" s="99"/>
      <c r="N120" s="43">
        <f t="shared" si="1"/>
        <v>57652.03125</v>
      </c>
      <c r="O120" s="43"/>
      <c r="P120" s="23"/>
      <c r="Q120" s="23"/>
    </row>
    <row r="121" spans="1:17">
      <c r="A121" s="23"/>
      <c r="B121" s="53">
        <v>111</v>
      </c>
      <c r="C121" s="58">
        <v>61630.26171875</v>
      </c>
      <c r="D121" s="59">
        <v>6103.7578125</v>
      </c>
      <c r="E121" s="59">
        <v>0</v>
      </c>
      <c r="F121" s="59">
        <v>-89.157203674316406</v>
      </c>
      <c r="G121" s="42">
        <v>0</v>
      </c>
      <c r="H121" s="23"/>
      <c r="I121" s="23"/>
      <c r="J121" s="99"/>
      <c r="K121" s="99"/>
      <c r="L121" s="99"/>
      <c r="M121" s="99"/>
      <c r="N121" s="43">
        <f t="shared" si="1"/>
        <v>61630.26171875</v>
      </c>
      <c r="O121" s="43"/>
      <c r="P121" s="23"/>
      <c r="Q121" s="23"/>
    </row>
    <row r="122" spans="1:17">
      <c r="A122" s="23"/>
      <c r="B122" s="53">
        <v>112</v>
      </c>
      <c r="C122" s="58">
        <v>65883.0078125</v>
      </c>
      <c r="D122" s="59">
        <v>5713.4541015625</v>
      </c>
      <c r="E122" s="59">
        <v>0</v>
      </c>
      <c r="F122" s="59">
        <v>-89.152397155761719</v>
      </c>
      <c r="G122" s="42">
        <v>0</v>
      </c>
      <c r="H122" s="23"/>
      <c r="I122" s="23"/>
      <c r="J122" s="99"/>
      <c r="K122" s="99"/>
      <c r="L122" s="99"/>
      <c r="M122" s="99"/>
      <c r="N122" s="43">
        <f t="shared" si="1"/>
        <v>65883.0078125</v>
      </c>
      <c r="O122" s="43"/>
      <c r="P122" s="23"/>
      <c r="Q122" s="23"/>
    </row>
    <row r="123" spans="1:17">
      <c r="A123" s="23"/>
      <c r="B123" s="53">
        <v>113</v>
      </c>
      <c r="C123" s="58">
        <v>70429.203125</v>
      </c>
      <c r="D123" s="59">
        <v>5347.92919921875</v>
      </c>
      <c r="E123" s="59">
        <v>0</v>
      </c>
      <c r="F123" s="59">
        <v>-89.150093078613281</v>
      </c>
      <c r="G123" s="42">
        <v>0</v>
      </c>
      <c r="H123" s="23"/>
      <c r="I123" s="23"/>
      <c r="J123" s="99"/>
      <c r="K123" s="99"/>
      <c r="L123" s="99"/>
      <c r="M123" s="99"/>
      <c r="N123" s="43">
        <f t="shared" si="1"/>
        <v>70429.203125</v>
      </c>
      <c r="O123" s="43"/>
      <c r="P123" s="23"/>
      <c r="Q123" s="23"/>
    </row>
    <row r="124" spans="1:17">
      <c r="A124" s="23"/>
      <c r="B124" s="53">
        <v>114</v>
      </c>
      <c r="C124" s="58">
        <v>75289.1171875</v>
      </c>
      <c r="D124" s="59">
        <v>5005.88916015625</v>
      </c>
      <c r="E124" s="59">
        <v>0</v>
      </c>
      <c r="F124" s="59">
        <v>-89.144447326660156</v>
      </c>
      <c r="G124" s="42">
        <v>0</v>
      </c>
      <c r="H124" s="23"/>
      <c r="I124" s="23"/>
      <c r="J124" s="99"/>
      <c r="K124" s="99"/>
      <c r="L124" s="99"/>
      <c r="M124" s="99"/>
      <c r="N124" s="43">
        <f t="shared" si="1"/>
        <v>75289.1171875</v>
      </c>
      <c r="O124" s="43"/>
      <c r="P124" s="23"/>
      <c r="Q124" s="23"/>
    </row>
    <row r="125" spans="1:17">
      <c r="A125" s="23"/>
      <c r="B125" s="53">
        <v>115</v>
      </c>
      <c r="C125" s="58">
        <v>80484.3828125</v>
      </c>
      <c r="D125" s="59">
        <v>4685.66796875</v>
      </c>
      <c r="E125" s="59">
        <v>0</v>
      </c>
      <c r="F125" s="59">
        <v>-89.136070251464844</v>
      </c>
      <c r="G125" s="42">
        <v>0</v>
      </c>
      <c r="H125" s="23"/>
      <c r="I125" s="23"/>
      <c r="J125" s="99"/>
      <c r="K125" s="99"/>
      <c r="L125" s="99"/>
      <c r="M125" s="99"/>
      <c r="N125" s="43">
        <f t="shared" si="1"/>
        <v>80484.3828125</v>
      </c>
      <c r="O125" s="43"/>
      <c r="P125" s="23"/>
      <c r="Q125" s="23"/>
    </row>
    <row r="126" spans="1:17">
      <c r="A126" s="23"/>
      <c r="B126" s="53">
        <v>116</v>
      </c>
      <c r="C126" s="58">
        <v>86038.140625</v>
      </c>
      <c r="D126" s="59">
        <v>4385.9599609375</v>
      </c>
      <c r="E126" s="59">
        <v>0</v>
      </c>
      <c r="F126" s="59">
        <v>-89.129859924316406</v>
      </c>
      <c r="G126" s="42">
        <v>0</v>
      </c>
      <c r="H126" s="23"/>
      <c r="I126" s="23"/>
      <c r="J126" s="99"/>
      <c r="K126" s="99"/>
      <c r="L126" s="99"/>
      <c r="M126" s="99"/>
      <c r="N126" s="43">
        <f t="shared" si="1"/>
        <v>86038.140625</v>
      </c>
      <c r="O126" s="43"/>
      <c r="P126" s="23"/>
      <c r="Q126" s="23"/>
    </row>
    <row r="127" spans="1:17">
      <c r="A127" s="23"/>
      <c r="B127" s="53">
        <v>117</v>
      </c>
      <c r="C127" s="58">
        <v>91975.125</v>
      </c>
      <c r="D127" s="59">
        <v>4105.42822265625</v>
      </c>
      <c r="E127" s="59">
        <v>0</v>
      </c>
      <c r="F127" s="59">
        <v>-89.118362426757813</v>
      </c>
      <c r="G127" s="42">
        <v>0</v>
      </c>
      <c r="H127" s="23"/>
      <c r="I127" s="23"/>
      <c r="J127" s="99"/>
      <c r="K127" s="99"/>
      <c r="L127" s="99"/>
      <c r="M127" s="99"/>
      <c r="N127" s="43">
        <f t="shared" si="1"/>
        <v>91975.125</v>
      </c>
      <c r="O127" s="43"/>
      <c r="P127" s="23"/>
      <c r="Q127" s="23"/>
    </row>
    <row r="128" spans="1:17">
      <c r="A128" s="23"/>
      <c r="B128" s="53">
        <v>118</v>
      </c>
      <c r="C128" s="58">
        <v>98321.796875</v>
      </c>
      <c r="D128" s="59">
        <v>3841.781005859375</v>
      </c>
      <c r="E128" s="59">
        <v>0</v>
      </c>
      <c r="F128" s="59">
        <v>-89.090423583984375</v>
      </c>
      <c r="G128" s="42">
        <v>0</v>
      </c>
      <c r="H128" s="23"/>
      <c r="I128" s="23"/>
      <c r="J128" s="99"/>
      <c r="K128" s="99"/>
      <c r="L128" s="99"/>
      <c r="M128" s="99"/>
      <c r="N128" s="43">
        <f t="shared" si="1"/>
        <v>98321.796875</v>
      </c>
      <c r="O128" s="43"/>
      <c r="P128" s="23"/>
      <c r="Q128" s="23"/>
    </row>
    <row r="129" spans="1:17">
      <c r="A129" s="23"/>
      <c r="B129" s="53">
        <v>119</v>
      </c>
      <c r="C129" s="58">
        <v>105106.40625</v>
      </c>
      <c r="D129" s="59">
        <v>3595.946044921875</v>
      </c>
      <c r="E129" s="59">
        <v>0</v>
      </c>
      <c r="F129" s="59">
        <v>-89.085899353027344</v>
      </c>
      <c r="G129" s="42">
        <v>0</v>
      </c>
      <c r="H129" s="23"/>
      <c r="I129" s="23"/>
      <c r="J129" s="99"/>
      <c r="K129" s="99"/>
      <c r="L129" s="99"/>
      <c r="M129" s="99"/>
      <c r="N129" s="43">
        <f t="shared" si="1"/>
        <v>105106.40625</v>
      </c>
      <c r="O129" s="43"/>
      <c r="P129" s="23"/>
      <c r="Q129" s="23"/>
    </row>
    <row r="130" spans="1:17">
      <c r="A130" s="23"/>
      <c r="B130" s="53">
        <v>120</v>
      </c>
      <c r="C130" s="58">
        <v>112359.1875</v>
      </c>
      <c r="D130" s="59">
        <v>3365.467041015625</v>
      </c>
      <c r="E130" s="59">
        <v>0</v>
      </c>
      <c r="F130" s="59">
        <v>-89.071243286132813</v>
      </c>
      <c r="G130" s="42">
        <v>0</v>
      </c>
      <c r="H130" s="23"/>
      <c r="I130" s="23"/>
      <c r="J130" s="99"/>
      <c r="K130" s="99"/>
      <c r="L130" s="99"/>
      <c r="M130" s="99"/>
      <c r="N130" s="43">
        <f t="shared" si="1"/>
        <v>112359.1875</v>
      </c>
      <c r="O130" s="43"/>
      <c r="P130" s="23"/>
      <c r="Q130" s="23"/>
    </row>
    <row r="131" spans="1:17">
      <c r="A131" s="23"/>
      <c r="B131" s="53">
        <v>121</v>
      </c>
      <c r="C131" s="58">
        <v>120112.4453125</v>
      </c>
      <c r="D131" s="59">
        <v>3150.48388671875</v>
      </c>
      <c r="E131" s="59">
        <v>0</v>
      </c>
      <c r="F131" s="59">
        <v>-89.070846557617188</v>
      </c>
      <c r="G131" s="42">
        <v>0</v>
      </c>
      <c r="H131" s="23"/>
      <c r="I131" s="23"/>
      <c r="J131" s="99"/>
      <c r="K131" s="99"/>
      <c r="L131" s="99"/>
      <c r="M131" s="99"/>
      <c r="N131" s="43">
        <f t="shared" si="1"/>
        <v>120112.4453125</v>
      </c>
      <c r="O131" s="43"/>
      <c r="P131" s="23"/>
      <c r="Q131" s="23"/>
    </row>
    <row r="132" spans="1:17">
      <c r="A132" s="23"/>
      <c r="B132" s="53">
        <v>122</v>
      </c>
      <c r="C132" s="58">
        <v>128400.703125</v>
      </c>
      <c r="D132" s="59">
        <v>2948.74609375</v>
      </c>
      <c r="E132" s="59">
        <v>0</v>
      </c>
      <c r="F132" s="59">
        <v>-89.060676574707031</v>
      </c>
      <c r="G132" s="42">
        <v>0</v>
      </c>
      <c r="H132" s="23"/>
      <c r="I132" s="23"/>
      <c r="J132" s="99"/>
      <c r="K132" s="99"/>
      <c r="L132" s="99"/>
      <c r="M132" s="99"/>
      <c r="N132" s="43">
        <f t="shared" si="1"/>
        <v>128400.703125</v>
      </c>
      <c r="O132" s="43"/>
      <c r="P132" s="23"/>
      <c r="Q132" s="23"/>
    </row>
    <row r="133" spans="1:17">
      <c r="A133" s="23"/>
      <c r="B133" s="53">
        <v>123</v>
      </c>
      <c r="C133" s="58">
        <v>137260.890625</v>
      </c>
      <c r="D133" s="59">
        <v>2760.135009765625</v>
      </c>
      <c r="E133" s="59">
        <v>0</v>
      </c>
      <c r="F133" s="59">
        <v>-89.057098388671875</v>
      </c>
      <c r="G133" s="42">
        <v>0</v>
      </c>
      <c r="H133" s="23"/>
      <c r="I133" s="23"/>
      <c r="J133" s="99"/>
      <c r="K133" s="99"/>
      <c r="L133" s="99"/>
      <c r="M133" s="99"/>
      <c r="N133" s="43">
        <f t="shared" si="1"/>
        <v>137260.890625</v>
      </c>
      <c r="O133" s="43"/>
      <c r="P133" s="23"/>
      <c r="Q133" s="23"/>
    </row>
    <row r="134" spans="1:17">
      <c r="A134" s="23"/>
      <c r="B134" s="53">
        <v>124</v>
      </c>
      <c r="C134" s="58">
        <v>146732.46875</v>
      </c>
      <c r="D134" s="59">
        <v>2583.5419921875</v>
      </c>
      <c r="E134" s="59">
        <v>0</v>
      </c>
      <c r="F134" s="59">
        <v>-89.041786193847656</v>
      </c>
      <c r="G134" s="42">
        <v>0</v>
      </c>
      <c r="H134" s="23"/>
      <c r="I134" s="23"/>
      <c r="J134" s="99"/>
      <c r="K134" s="99"/>
      <c r="L134" s="99"/>
      <c r="M134" s="99"/>
      <c r="N134" s="43">
        <f t="shared" si="1"/>
        <v>146732.46875</v>
      </c>
      <c r="O134" s="43"/>
      <c r="P134" s="23"/>
      <c r="Q134" s="23"/>
    </row>
    <row r="135" spans="1:17">
      <c r="A135" s="23"/>
      <c r="B135" s="53">
        <v>125</v>
      </c>
      <c r="C135" s="58">
        <v>156857.609375</v>
      </c>
      <c r="D135" s="59">
        <v>2418.281005859375</v>
      </c>
      <c r="E135" s="59">
        <v>0</v>
      </c>
      <c r="F135" s="59">
        <v>-89.040451049804688</v>
      </c>
      <c r="G135" s="42">
        <v>0</v>
      </c>
      <c r="H135" s="23"/>
      <c r="I135" s="23"/>
      <c r="J135" s="99"/>
      <c r="K135" s="99"/>
      <c r="L135" s="99"/>
      <c r="M135" s="99"/>
      <c r="N135" s="43">
        <f t="shared" si="1"/>
        <v>156857.609375</v>
      </c>
      <c r="O135" s="43"/>
      <c r="P135" s="23"/>
      <c r="Q135" s="23"/>
    </row>
    <row r="136" spans="1:17">
      <c r="A136" s="23"/>
      <c r="B136" s="53">
        <v>126</v>
      </c>
      <c r="C136" s="58">
        <v>167681.4375</v>
      </c>
      <c r="D136" s="59">
        <v>2263.616943359375</v>
      </c>
      <c r="E136" s="59">
        <v>0</v>
      </c>
      <c r="F136" s="59">
        <v>-89.033668518066406</v>
      </c>
      <c r="G136" s="42">
        <v>0</v>
      </c>
      <c r="H136" s="23"/>
      <c r="I136" s="23"/>
      <c r="J136" s="99"/>
      <c r="K136" s="99"/>
      <c r="L136" s="99"/>
      <c r="M136" s="99"/>
      <c r="N136" s="43">
        <f t="shared" si="1"/>
        <v>167681.4375</v>
      </c>
      <c r="O136" s="43"/>
      <c r="P136" s="23"/>
      <c r="Q136" s="23"/>
    </row>
    <row r="137" spans="1:17">
      <c r="A137" s="23"/>
      <c r="B137" s="53">
        <v>127</v>
      </c>
      <c r="C137" s="58">
        <v>179252.15625</v>
      </c>
      <c r="D137" s="59">
        <v>2118.840087890625</v>
      </c>
      <c r="E137" s="59">
        <v>0</v>
      </c>
      <c r="F137" s="59">
        <v>-89.024238586425781</v>
      </c>
      <c r="G137" s="42">
        <v>0</v>
      </c>
      <c r="H137" s="23"/>
      <c r="I137" s="23"/>
      <c r="J137" s="99"/>
      <c r="K137" s="99"/>
      <c r="L137" s="99"/>
      <c r="M137" s="99"/>
      <c r="N137" s="43">
        <f t="shared" si="1"/>
        <v>179252.15625</v>
      </c>
      <c r="O137" s="43"/>
      <c r="P137" s="23"/>
      <c r="Q137" s="23"/>
    </row>
    <row r="138" spans="1:17">
      <c r="A138" s="23"/>
      <c r="B138" s="53">
        <v>128</v>
      </c>
      <c r="C138" s="58">
        <v>191621.3125</v>
      </c>
      <c r="D138" s="59">
        <v>1983.333984375</v>
      </c>
      <c r="E138" s="59">
        <v>0</v>
      </c>
      <c r="F138" s="59">
        <v>-89.0155029296875</v>
      </c>
      <c r="G138" s="42">
        <v>0</v>
      </c>
      <c r="H138" s="23"/>
      <c r="I138" s="23"/>
      <c r="J138" s="99"/>
      <c r="K138" s="99"/>
      <c r="L138" s="99"/>
      <c r="M138" s="99"/>
      <c r="N138" s="43">
        <f t="shared" si="1"/>
        <v>191621.3125</v>
      </c>
      <c r="O138" s="43"/>
      <c r="P138" s="23"/>
      <c r="Q138" s="23"/>
    </row>
    <row r="139" spans="1:17">
      <c r="A139" s="23"/>
      <c r="B139" s="53">
        <v>129</v>
      </c>
      <c r="C139" s="58">
        <v>204843.984375</v>
      </c>
      <c r="D139" s="59">
        <v>1856.529052734375</v>
      </c>
      <c r="E139" s="59">
        <v>0</v>
      </c>
      <c r="F139" s="59">
        <v>-89.009101867675781</v>
      </c>
      <c r="G139" s="42">
        <v>0</v>
      </c>
      <c r="H139" s="23"/>
      <c r="I139" s="23"/>
      <c r="J139" s="99"/>
      <c r="K139" s="99"/>
      <c r="L139" s="99"/>
      <c r="M139" s="99"/>
      <c r="N139" s="43">
        <f t="shared" ref="N139:N202" si="2">IF($L$4=$C$10,C139,IF(D139="","",B139))</f>
        <v>204843.984375</v>
      </c>
      <c r="O139" s="43"/>
      <c r="P139" s="23"/>
      <c r="Q139" s="23"/>
    </row>
    <row r="140" spans="1:17">
      <c r="A140" s="23"/>
      <c r="B140" s="53">
        <v>130</v>
      </c>
      <c r="C140" s="58">
        <v>218979.0625</v>
      </c>
      <c r="D140" s="59">
        <v>1737.64501953125</v>
      </c>
      <c r="E140" s="59">
        <v>0</v>
      </c>
      <c r="F140" s="59">
        <v>-88.997230529785156</v>
      </c>
      <c r="G140" s="42">
        <v>0</v>
      </c>
      <c r="H140" s="23"/>
      <c r="I140" s="23"/>
      <c r="J140" s="99"/>
      <c r="K140" s="99"/>
      <c r="L140" s="99"/>
      <c r="M140" s="99"/>
      <c r="N140" s="43">
        <f t="shared" si="2"/>
        <v>218979.0625</v>
      </c>
      <c r="O140" s="43"/>
      <c r="P140" s="23"/>
      <c r="Q140" s="23"/>
    </row>
    <row r="141" spans="1:17">
      <c r="A141" s="23"/>
      <c r="B141" s="53">
        <v>131</v>
      </c>
      <c r="C141" s="58">
        <v>234089.53125</v>
      </c>
      <c r="D141" s="59">
        <v>1626.552978515625</v>
      </c>
      <c r="E141" s="59">
        <v>0</v>
      </c>
      <c r="F141" s="59">
        <v>-88.983421325683594</v>
      </c>
      <c r="G141" s="42">
        <v>0</v>
      </c>
      <c r="H141" s="23"/>
      <c r="I141" s="23"/>
      <c r="J141" s="99"/>
      <c r="K141" s="99"/>
      <c r="L141" s="99"/>
      <c r="M141" s="99"/>
      <c r="N141" s="43">
        <f t="shared" si="2"/>
        <v>234089.53125</v>
      </c>
      <c r="O141" s="43"/>
      <c r="P141" s="23"/>
      <c r="Q141" s="23"/>
    </row>
    <row r="142" spans="1:17">
      <c r="A142" s="23"/>
      <c r="B142" s="53">
        <v>132</v>
      </c>
      <c r="C142" s="58">
        <v>250242.6875</v>
      </c>
      <c r="D142" s="59">
        <v>1522.5040283203125</v>
      </c>
      <c r="E142" s="59">
        <v>0</v>
      </c>
      <c r="F142" s="59">
        <v>-88.977622985839844</v>
      </c>
      <c r="G142" s="42">
        <v>0</v>
      </c>
      <c r="H142" s="23"/>
      <c r="I142" s="23"/>
      <c r="J142" s="99"/>
      <c r="K142" s="99"/>
      <c r="L142" s="99"/>
      <c r="M142" s="99"/>
      <c r="N142" s="43">
        <f t="shared" si="2"/>
        <v>250242.6875</v>
      </c>
      <c r="O142" s="43"/>
      <c r="P142" s="23"/>
      <c r="Q142" s="23"/>
    </row>
    <row r="143" spans="1:17">
      <c r="A143" s="23"/>
      <c r="B143" s="53">
        <v>133</v>
      </c>
      <c r="C143" s="58">
        <v>267510.46875</v>
      </c>
      <c r="D143" s="59">
        <v>1425.135009765625</v>
      </c>
      <c r="E143" s="59">
        <v>0</v>
      </c>
      <c r="F143" s="59">
        <v>-88.968498229980469</v>
      </c>
      <c r="G143" s="42">
        <v>0</v>
      </c>
      <c r="H143" s="23"/>
      <c r="I143" s="23"/>
      <c r="J143" s="99"/>
      <c r="K143" s="99"/>
      <c r="L143" s="99"/>
      <c r="M143" s="99"/>
      <c r="N143" s="43">
        <f t="shared" si="2"/>
        <v>267510.46875</v>
      </c>
      <c r="O143" s="43"/>
      <c r="P143" s="23"/>
      <c r="Q143" s="23"/>
    </row>
    <row r="144" spans="1:17">
      <c r="A144" s="23"/>
      <c r="B144" s="53">
        <v>134</v>
      </c>
      <c r="C144" s="58">
        <v>285969.8125</v>
      </c>
      <c r="D144" s="59">
        <v>1333.926025390625</v>
      </c>
      <c r="E144" s="59">
        <v>0</v>
      </c>
      <c r="F144" s="59">
        <v>-88.949790954589844</v>
      </c>
      <c r="G144" s="42">
        <v>0</v>
      </c>
      <c r="H144" s="23"/>
      <c r="I144" s="23"/>
      <c r="J144" s="99"/>
      <c r="K144" s="99"/>
      <c r="L144" s="99"/>
      <c r="M144" s="99"/>
      <c r="N144" s="43">
        <f t="shared" si="2"/>
        <v>285969.8125</v>
      </c>
      <c r="O144" s="43"/>
      <c r="P144" s="23"/>
      <c r="Q144" s="23"/>
    </row>
    <row r="145" spans="1:17">
      <c r="A145" s="23"/>
      <c r="B145" s="53">
        <v>135</v>
      </c>
      <c r="C145" s="58">
        <v>305702.9375</v>
      </c>
      <c r="D145" s="59">
        <v>1248.5799560546875</v>
      </c>
      <c r="E145" s="59">
        <v>0</v>
      </c>
      <c r="F145" s="59">
        <v>-88.9390869140625</v>
      </c>
      <c r="G145" s="42">
        <v>0</v>
      </c>
      <c r="H145" s="23"/>
      <c r="I145" s="23"/>
      <c r="J145" s="99"/>
      <c r="K145" s="99"/>
      <c r="L145" s="99"/>
      <c r="M145" s="99"/>
      <c r="N145" s="43">
        <f t="shared" si="2"/>
        <v>305702.9375</v>
      </c>
      <c r="O145" s="43"/>
      <c r="P145" s="23"/>
      <c r="Q145" s="23"/>
    </row>
    <row r="146" spans="1:17">
      <c r="A146" s="23"/>
      <c r="B146" s="53">
        <v>136</v>
      </c>
      <c r="C146" s="58">
        <v>326797.71875</v>
      </c>
      <c r="D146" s="59">
        <v>1168.6650390625</v>
      </c>
      <c r="E146" s="59">
        <v>0</v>
      </c>
      <c r="F146" s="59">
        <v>-88.926727294921875</v>
      </c>
      <c r="G146" s="42">
        <v>0</v>
      </c>
      <c r="H146" s="23"/>
      <c r="I146" s="23"/>
      <c r="J146" s="99"/>
      <c r="K146" s="99"/>
      <c r="L146" s="99"/>
      <c r="M146" s="99"/>
      <c r="N146" s="43">
        <f t="shared" si="2"/>
        <v>326797.71875</v>
      </c>
      <c r="O146" s="43"/>
      <c r="P146" s="23"/>
      <c r="Q146" s="23"/>
    </row>
    <row r="147" spans="1:17">
      <c r="A147" s="23"/>
      <c r="B147" s="53">
        <v>137</v>
      </c>
      <c r="C147" s="58">
        <v>349348.125</v>
      </c>
      <c r="D147" s="59">
        <v>1093.85205078125</v>
      </c>
      <c r="E147" s="59">
        <v>0</v>
      </c>
      <c r="F147" s="59">
        <v>-88.914833068847656</v>
      </c>
      <c r="G147" s="42">
        <v>0</v>
      </c>
      <c r="H147" s="23"/>
      <c r="I147" s="23"/>
      <c r="J147" s="99"/>
      <c r="K147" s="99"/>
      <c r="L147" s="99"/>
      <c r="M147" s="99"/>
      <c r="N147" s="43">
        <f t="shared" si="2"/>
        <v>349348.125</v>
      </c>
      <c r="O147" s="43"/>
      <c r="P147" s="23"/>
      <c r="Q147" s="23"/>
    </row>
    <row r="148" spans="1:17">
      <c r="A148" s="23"/>
      <c r="B148" s="53">
        <v>138</v>
      </c>
      <c r="C148" s="58">
        <v>373454.59375</v>
      </c>
      <c r="D148" s="59">
        <v>1023.8419799804688</v>
      </c>
      <c r="E148" s="59">
        <v>0</v>
      </c>
      <c r="F148" s="59">
        <v>-88.902717590332031</v>
      </c>
      <c r="G148" s="42">
        <v>0</v>
      </c>
      <c r="H148" s="23"/>
      <c r="I148" s="23"/>
      <c r="J148" s="99"/>
      <c r="K148" s="99"/>
      <c r="L148" s="99"/>
      <c r="M148" s="99"/>
      <c r="N148" s="43">
        <f t="shared" si="2"/>
        <v>373454.59375</v>
      </c>
      <c r="O148" s="43"/>
      <c r="P148" s="23"/>
      <c r="Q148" s="23"/>
    </row>
    <row r="149" spans="1:17">
      <c r="A149" s="23"/>
      <c r="B149" s="53">
        <v>139</v>
      </c>
      <c r="C149" s="58">
        <v>399224.53125</v>
      </c>
      <c r="D149" s="59">
        <v>958.201416015625</v>
      </c>
      <c r="E149" s="59">
        <v>0</v>
      </c>
      <c r="F149" s="59">
        <v>-88.892776489257813</v>
      </c>
      <c r="G149" s="42">
        <v>0</v>
      </c>
      <c r="H149" s="23"/>
      <c r="I149" s="23"/>
      <c r="J149" s="99"/>
      <c r="K149" s="99"/>
      <c r="L149" s="99"/>
      <c r="M149" s="99"/>
      <c r="N149" s="43">
        <f t="shared" si="2"/>
        <v>399224.53125</v>
      </c>
      <c r="O149" s="43"/>
      <c r="P149" s="23"/>
      <c r="Q149" s="23"/>
    </row>
    <row r="150" spans="1:17">
      <c r="A150" s="23"/>
      <c r="B150" s="53">
        <v>140</v>
      </c>
      <c r="C150" s="58">
        <v>426772.6875</v>
      </c>
      <c r="D150" s="59">
        <v>896.79608154296875</v>
      </c>
      <c r="E150" s="59">
        <v>0</v>
      </c>
      <c r="F150" s="59">
        <v>-88.880119323730469</v>
      </c>
      <c r="G150" s="42">
        <v>0</v>
      </c>
      <c r="H150" s="23"/>
      <c r="I150" s="23"/>
      <c r="J150" s="99"/>
      <c r="K150" s="99"/>
      <c r="L150" s="99"/>
      <c r="M150" s="99"/>
      <c r="N150" s="43">
        <f t="shared" si="2"/>
        <v>426772.6875</v>
      </c>
      <c r="O150" s="43"/>
      <c r="P150" s="23"/>
      <c r="Q150" s="23"/>
    </row>
    <row r="151" spans="1:17">
      <c r="A151" s="23"/>
      <c r="B151" s="53">
        <v>141</v>
      </c>
      <c r="C151" s="58">
        <v>456221.78125</v>
      </c>
      <c r="D151" s="59">
        <v>839.28387451171875</v>
      </c>
      <c r="E151" s="59">
        <v>0</v>
      </c>
      <c r="F151" s="59">
        <v>-88.86358642578125</v>
      </c>
      <c r="G151" s="42">
        <v>0</v>
      </c>
      <c r="H151" s="23"/>
      <c r="I151" s="23"/>
      <c r="J151" s="99"/>
      <c r="K151" s="99"/>
      <c r="L151" s="99"/>
      <c r="M151" s="99"/>
      <c r="N151" s="43">
        <f t="shared" si="2"/>
        <v>456221.78125</v>
      </c>
      <c r="O151" s="43"/>
      <c r="P151" s="23"/>
      <c r="Q151" s="23"/>
    </row>
    <row r="152" spans="1:17">
      <c r="A152" s="23"/>
      <c r="B152" s="53">
        <v>142</v>
      </c>
      <c r="C152" s="58">
        <v>487702.96875</v>
      </c>
      <c r="D152" s="59">
        <v>785.4501953125</v>
      </c>
      <c r="E152" s="59">
        <v>0</v>
      </c>
      <c r="F152" s="59">
        <v>-88.84564208984375</v>
      </c>
      <c r="G152" s="42">
        <v>0</v>
      </c>
      <c r="H152" s="23"/>
      <c r="I152" s="23"/>
      <c r="J152" s="99"/>
      <c r="K152" s="99"/>
      <c r="L152" s="99"/>
      <c r="M152" s="99"/>
      <c r="N152" s="43">
        <f t="shared" si="2"/>
        <v>487702.96875</v>
      </c>
      <c r="O152" s="43"/>
      <c r="P152" s="23"/>
      <c r="Q152" s="23"/>
    </row>
    <row r="153" spans="1:17">
      <c r="A153" s="23"/>
      <c r="B153" s="53">
        <v>143</v>
      </c>
      <c r="C153" s="58">
        <v>521356.5</v>
      </c>
      <c r="D153" s="59">
        <v>735.0535888671875</v>
      </c>
      <c r="E153" s="59">
        <v>0</v>
      </c>
      <c r="F153" s="59">
        <v>-88.836029052734375</v>
      </c>
      <c r="G153" s="42">
        <v>0</v>
      </c>
      <c r="H153" s="23"/>
      <c r="I153" s="23"/>
      <c r="J153" s="99"/>
      <c r="K153" s="99"/>
      <c r="L153" s="99"/>
      <c r="M153" s="99"/>
      <c r="N153" s="43">
        <f t="shared" si="2"/>
        <v>521356.5</v>
      </c>
      <c r="O153" s="43"/>
      <c r="P153" s="23"/>
      <c r="Q153" s="23"/>
    </row>
    <row r="154" spans="1:17">
      <c r="A154" s="23"/>
      <c r="B154" s="53">
        <v>144</v>
      </c>
      <c r="C154" s="58">
        <v>557332.3125</v>
      </c>
      <c r="D154" s="59">
        <v>687.86419677734375</v>
      </c>
      <c r="E154" s="59">
        <v>0</v>
      </c>
      <c r="F154" s="59">
        <v>-88.81732177734375</v>
      </c>
      <c r="G154" s="42">
        <v>0</v>
      </c>
      <c r="H154" s="23"/>
      <c r="I154" s="23"/>
      <c r="J154" s="99"/>
      <c r="K154" s="99"/>
      <c r="L154" s="99"/>
      <c r="M154" s="99"/>
      <c r="N154" s="43">
        <f t="shared" si="2"/>
        <v>557332.3125</v>
      </c>
      <c r="O154" s="43"/>
      <c r="P154" s="23"/>
      <c r="Q154" s="23"/>
    </row>
    <row r="155" spans="1:17">
      <c r="A155" s="23"/>
      <c r="B155" s="53">
        <v>145</v>
      </c>
      <c r="C155" s="58">
        <v>595790.5625</v>
      </c>
      <c r="D155" s="59">
        <v>643.58721923828125</v>
      </c>
      <c r="E155" s="59">
        <v>0</v>
      </c>
      <c r="F155" s="59">
        <v>-88.80267333984375</v>
      </c>
      <c r="G155" s="42">
        <v>0</v>
      </c>
      <c r="H155" s="23"/>
      <c r="I155" s="23"/>
      <c r="J155" s="99"/>
      <c r="K155" s="99"/>
      <c r="L155" s="99"/>
      <c r="M155" s="99"/>
      <c r="N155" s="43">
        <f t="shared" si="2"/>
        <v>595790.5625</v>
      </c>
      <c r="O155" s="43"/>
      <c r="P155" s="23"/>
      <c r="Q155" s="23"/>
    </row>
    <row r="156" spans="1:17">
      <c r="A156" s="23"/>
      <c r="B156" s="53">
        <v>146</v>
      </c>
      <c r="C156" s="58">
        <v>636902.5625</v>
      </c>
      <c r="D156" s="59">
        <v>602.063720703125</v>
      </c>
      <c r="E156" s="59">
        <v>0</v>
      </c>
      <c r="F156" s="59">
        <v>-88.777442932128906</v>
      </c>
      <c r="G156" s="42">
        <v>0</v>
      </c>
      <c r="H156" s="23"/>
      <c r="I156" s="23"/>
      <c r="J156" s="99"/>
      <c r="K156" s="99"/>
      <c r="L156" s="99"/>
      <c r="M156" s="99"/>
      <c r="N156" s="43">
        <f t="shared" si="2"/>
        <v>636902.5625</v>
      </c>
      <c r="O156" s="43"/>
      <c r="P156" s="23"/>
      <c r="Q156" s="23"/>
    </row>
    <row r="157" spans="1:17">
      <c r="A157" s="23"/>
      <c r="B157" s="53">
        <v>147</v>
      </c>
      <c r="C157" s="58">
        <v>680851.5</v>
      </c>
      <c r="D157" s="59">
        <v>564.10101318359375</v>
      </c>
      <c r="E157" s="59">
        <v>0</v>
      </c>
      <c r="F157" s="59">
        <v>-88.73504638671875</v>
      </c>
      <c r="G157" s="42">
        <v>0</v>
      </c>
      <c r="H157" s="23"/>
      <c r="I157" s="23"/>
      <c r="J157" s="99"/>
      <c r="K157" s="99"/>
      <c r="L157" s="99"/>
      <c r="M157" s="99"/>
      <c r="N157" s="43">
        <f t="shared" si="2"/>
        <v>680851.5</v>
      </c>
      <c r="O157" s="43"/>
      <c r="P157" s="23"/>
      <c r="Q157" s="23"/>
    </row>
    <row r="158" spans="1:17">
      <c r="A158" s="23"/>
      <c r="B158" s="53">
        <v>148</v>
      </c>
      <c r="C158" s="58">
        <v>727833.125</v>
      </c>
      <c r="D158" s="59">
        <v>527.41888427734375</v>
      </c>
      <c r="E158" s="59">
        <v>0</v>
      </c>
      <c r="F158" s="59">
        <v>-88.749588012695313</v>
      </c>
      <c r="G158" s="42">
        <v>0</v>
      </c>
      <c r="H158" s="23"/>
      <c r="I158" s="23"/>
      <c r="J158" s="99"/>
      <c r="K158" s="99"/>
      <c r="L158" s="99"/>
      <c r="M158" s="99"/>
      <c r="N158" s="43">
        <f t="shared" si="2"/>
        <v>727833.125</v>
      </c>
      <c r="O158" s="43"/>
      <c r="P158" s="23"/>
      <c r="Q158" s="23"/>
    </row>
    <row r="159" spans="1:17">
      <c r="A159" s="23"/>
      <c r="B159" s="53">
        <v>149</v>
      </c>
      <c r="C159" s="58">
        <v>778056.625</v>
      </c>
      <c r="D159" s="59">
        <v>493.30319213867188</v>
      </c>
      <c r="E159" s="59">
        <v>0</v>
      </c>
      <c r="F159" s="59">
        <v>-88.715713500976563</v>
      </c>
      <c r="G159" s="42">
        <v>0</v>
      </c>
      <c r="H159" s="23"/>
      <c r="I159" s="23"/>
      <c r="J159" s="99"/>
      <c r="K159" s="99"/>
      <c r="L159" s="99"/>
      <c r="M159" s="99"/>
      <c r="N159" s="43">
        <f t="shared" si="2"/>
        <v>778056.625</v>
      </c>
      <c r="O159" s="43"/>
      <c r="P159" s="23"/>
      <c r="Q159" s="23"/>
    </row>
    <row r="160" spans="1:17">
      <c r="A160" s="23"/>
      <c r="B160" s="53">
        <v>150</v>
      </c>
      <c r="C160" s="58">
        <v>831745.75</v>
      </c>
      <c r="D160" s="59">
        <v>461.50250244140625</v>
      </c>
      <c r="E160" s="59">
        <v>0</v>
      </c>
      <c r="F160" s="59">
        <v>-88.690879821777344</v>
      </c>
      <c r="G160" s="42">
        <v>0</v>
      </c>
      <c r="H160" s="23"/>
      <c r="I160" s="23"/>
      <c r="J160" s="99"/>
      <c r="K160" s="99"/>
      <c r="L160" s="99"/>
      <c r="M160" s="99"/>
      <c r="N160" s="43">
        <f t="shared" si="2"/>
        <v>831745.75</v>
      </c>
      <c r="O160" s="43"/>
      <c r="P160" s="23"/>
      <c r="Q160" s="23"/>
    </row>
    <row r="161" spans="1:17">
      <c r="A161" s="23"/>
      <c r="B161" s="53">
        <v>151</v>
      </c>
      <c r="C161" s="58">
        <v>889139.6875</v>
      </c>
      <c r="D161" s="59">
        <v>431.50790405273438</v>
      </c>
      <c r="E161" s="59">
        <v>0</v>
      </c>
      <c r="F161" s="59">
        <v>-88.671463012695313</v>
      </c>
      <c r="G161" s="42">
        <v>0</v>
      </c>
      <c r="H161" s="23"/>
      <c r="I161" s="23"/>
      <c r="J161" s="99"/>
      <c r="K161" s="99"/>
      <c r="L161" s="99"/>
      <c r="M161" s="99"/>
      <c r="N161" s="43">
        <f t="shared" si="2"/>
        <v>889139.6875</v>
      </c>
      <c r="O161" s="43"/>
      <c r="P161" s="23"/>
      <c r="Q161" s="23"/>
    </row>
    <row r="162" spans="1:17">
      <c r="A162" s="23"/>
      <c r="B162" s="53">
        <v>152</v>
      </c>
      <c r="C162" s="58">
        <v>950494.0625</v>
      </c>
      <c r="D162" s="59">
        <v>403.533203125</v>
      </c>
      <c r="E162" s="59">
        <v>0</v>
      </c>
      <c r="F162" s="59">
        <v>-88.652450561523438</v>
      </c>
      <c r="G162" s="42">
        <v>0</v>
      </c>
      <c r="H162" s="23"/>
      <c r="I162" s="23"/>
      <c r="J162" s="99"/>
      <c r="K162" s="99"/>
      <c r="L162" s="99"/>
      <c r="M162" s="99"/>
      <c r="N162" s="43">
        <f t="shared" si="2"/>
        <v>950494.0625</v>
      </c>
      <c r="O162" s="43"/>
      <c r="P162" s="23"/>
      <c r="Q162" s="23"/>
    </row>
    <row r="163" spans="1:17">
      <c r="A163" s="23"/>
      <c r="B163" s="53">
        <v>153</v>
      </c>
      <c r="C163" s="58">
        <v>1016082.125</v>
      </c>
      <c r="D163" s="59">
        <v>377.28570556640625</v>
      </c>
      <c r="E163" s="59">
        <v>0</v>
      </c>
      <c r="F163" s="59">
        <v>-88.634407043457031</v>
      </c>
      <c r="G163" s="42">
        <v>0</v>
      </c>
      <c r="H163" s="23"/>
      <c r="I163" s="23"/>
      <c r="J163" s="99"/>
      <c r="K163" s="99"/>
      <c r="L163" s="99"/>
      <c r="M163" s="99"/>
      <c r="N163" s="43">
        <f t="shared" si="2"/>
        <v>1016082.125</v>
      </c>
      <c r="O163" s="43"/>
      <c r="P163" s="23"/>
      <c r="Q163" s="23"/>
    </row>
    <row r="164" spans="1:17">
      <c r="A164" s="23"/>
      <c r="B164" s="53">
        <v>154</v>
      </c>
      <c r="C164" s="58">
        <v>1086196</v>
      </c>
      <c r="D164" s="59">
        <v>352.51519775390625</v>
      </c>
      <c r="E164" s="59">
        <v>0</v>
      </c>
      <c r="F164" s="59">
        <v>-88.599853515625</v>
      </c>
      <c r="G164" s="42">
        <v>0</v>
      </c>
      <c r="H164" s="23"/>
      <c r="I164" s="23"/>
      <c r="J164" s="99"/>
      <c r="K164" s="99"/>
      <c r="L164" s="99"/>
      <c r="M164" s="99"/>
      <c r="N164" s="43">
        <f t="shared" si="2"/>
        <v>1086196</v>
      </c>
      <c r="O164" s="43"/>
      <c r="P164" s="23"/>
      <c r="Q164" s="23"/>
    </row>
    <row r="165" spans="1:17">
      <c r="A165" s="23"/>
      <c r="B165" s="53">
        <v>155</v>
      </c>
      <c r="C165" s="58">
        <v>1161148.125</v>
      </c>
      <c r="D165" s="59">
        <v>329.597412109375</v>
      </c>
      <c r="E165" s="59">
        <v>0</v>
      </c>
      <c r="F165" s="59">
        <v>-88.581787109375</v>
      </c>
      <c r="G165" s="42">
        <v>0</v>
      </c>
      <c r="H165" s="23"/>
      <c r="I165" s="23"/>
      <c r="J165" s="99"/>
      <c r="K165" s="99"/>
      <c r="L165" s="99"/>
      <c r="M165" s="99"/>
      <c r="N165" s="43">
        <f t="shared" si="2"/>
        <v>1161148.125</v>
      </c>
      <c r="O165" s="43"/>
      <c r="P165" s="23"/>
      <c r="Q165" s="23"/>
    </row>
    <row r="166" spans="1:17">
      <c r="A166" s="23"/>
      <c r="B166" s="53">
        <v>156</v>
      </c>
      <c r="C166" s="58">
        <v>1241272.125</v>
      </c>
      <c r="D166" s="59">
        <v>307.85861206054688</v>
      </c>
      <c r="E166" s="59">
        <v>0</v>
      </c>
      <c r="F166" s="59">
        <v>-88.555038452148438</v>
      </c>
      <c r="G166" s="42">
        <v>0</v>
      </c>
      <c r="H166" s="23"/>
      <c r="I166" s="23"/>
      <c r="J166" s="99"/>
      <c r="K166" s="99"/>
      <c r="L166" s="99"/>
      <c r="M166" s="99"/>
      <c r="N166" s="43">
        <f t="shared" si="2"/>
        <v>1241272.125</v>
      </c>
      <c r="O166" s="43"/>
      <c r="P166" s="23"/>
      <c r="Q166" s="23"/>
    </row>
    <row r="167" spans="1:17">
      <c r="A167" s="23"/>
      <c r="B167" s="53">
        <v>157</v>
      </c>
      <c r="C167" s="58">
        <v>1326925.125</v>
      </c>
      <c r="D167" s="59">
        <v>287.51370239257813</v>
      </c>
      <c r="E167" s="59">
        <v>0</v>
      </c>
      <c r="F167" s="59">
        <v>-88.527816772460938</v>
      </c>
      <c r="G167" s="42">
        <v>0</v>
      </c>
      <c r="H167" s="23"/>
      <c r="I167" s="23"/>
      <c r="J167" s="99"/>
      <c r="K167" s="99"/>
      <c r="L167" s="99"/>
      <c r="M167" s="99"/>
      <c r="N167" s="43">
        <f t="shared" si="2"/>
        <v>1326925.125</v>
      </c>
      <c r="O167" s="43"/>
      <c r="P167" s="23"/>
      <c r="Q167" s="23"/>
    </row>
    <row r="168" spans="1:17">
      <c r="A168" s="23"/>
      <c r="B168" s="53">
        <v>158</v>
      </c>
      <c r="C168" s="58">
        <v>1418488.5</v>
      </c>
      <c r="D168" s="59">
        <v>268.41290283203125</v>
      </c>
      <c r="E168" s="59">
        <v>0</v>
      </c>
      <c r="F168" s="59">
        <v>-88.495452880859375</v>
      </c>
      <c r="G168" s="42">
        <v>0</v>
      </c>
      <c r="H168" s="23"/>
      <c r="I168" s="23"/>
      <c r="J168" s="99"/>
      <c r="K168" s="99"/>
      <c r="L168" s="99"/>
      <c r="M168" s="99"/>
      <c r="N168" s="43">
        <f t="shared" si="2"/>
        <v>1418488.5</v>
      </c>
      <c r="O168" s="43"/>
      <c r="P168" s="23"/>
      <c r="Q168" s="23"/>
    </row>
    <row r="169" spans="1:17">
      <c r="A169" s="23"/>
      <c r="B169" s="53">
        <v>159</v>
      </c>
      <c r="C169" s="58">
        <v>1516370.125</v>
      </c>
      <c r="D169" s="59">
        <v>250.64909362792969</v>
      </c>
      <c r="E169" s="59">
        <v>0</v>
      </c>
      <c r="F169" s="59">
        <v>-88.43878173828125</v>
      </c>
      <c r="G169" s="42">
        <v>0</v>
      </c>
      <c r="H169" s="23"/>
      <c r="I169" s="23"/>
      <c r="J169" s="99"/>
      <c r="K169" s="99"/>
      <c r="L169" s="99"/>
      <c r="M169" s="99"/>
      <c r="N169" s="43">
        <f t="shared" si="2"/>
        <v>1516370.125</v>
      </c>
      <c r="O169" s="43"/>
      <c r="P169" s="23"/>
      <c r="Q169" s="23"/>
    </row>
    <row r="170" spans="1:17">
      <c r="A170" s="23"/>
      <c r="B170" s="53">
        <v>160</v>
      </c>
      <c r="C170" s="58">
        <v>1621005.875</v>
      </c>
      <c r="D170" s="59">
        <v>233.86540222167969</v>
      </c>
      <c r="E170" s="59">
        <v>0</v>
      </c>
      <c r="F170" s="59">
        <v>-88.398612976074219</v>
      </c>
      <c r="G170" s="42">
        <v>0</v>
      </c>
      <c r="H170" s="23"/>
      <c r="I170" s="23"/>
      <c r="J170" s="99"/>
      <c r="K170" s="99"/>
      <c r="L170" s="99"/>
      <c r="M170" s="99"/>
      <c r="N170" s="43">
        <f t="shared" si="2"/>
        <v>1621005.875</v>
      </c>
      <c r="O170" s="43"/>
      <c r="P170" s="23"/>
      <c r="Q170" s="23"/>
    </row>
    <row r="171" spans="1:17">
      <c r="A171" s="23"/>
      <c r="B171" s="53">
        <v>161</v>
      </c>
      <c r="C171" s="58">
        <v>1732862.125</v>
      </c>
      <c r="D171" s="59">
        <v>218.02900695800781</v>
      </c>
      <c r="E171" s="59">
        <v>0</v>
      </c>
      <c r="F171" s="59">
        <v>-88.369209289550781</v>
      </c>
      <c r="G171" s="42">
        <v>0</v>
      </c>
      <c r="H171" s="23"/>
      <c r="I171" s="23"/>
      <c r="J171" s="99"/>
      <c r="K171" s="99"/>
      <c r="L171" s="99"/>
      <c r="M171" s="99"/>
      <c r="N171" s="43">
        <f t="shared" si="2"/>
        <v>1732862.125</v>
      </c>
      <c r="O171" s="43"/>
      <c r="P171" s="23"/>
      <c r="Q171" s="23"/>
    </row>
    <row r="172" spans="1:17">
      <c r="A172" s="23"/>
      <c r="B172" s="53">
        <v>162</v>
      </c>
      <c r="C172" s="58">
        <v>1852436.875</v>
      </c>
      <c r="D172" s="59">
        <v>203.28500366210938</v>
      </c>
      <c r="E172" s="59">
        <v>0</v>
      </c>
      <c r="F172" s="59">
        <v>-88.314422607421875</v>
      </c>
      <c r="G172" s="42">
        <v>0</v>
      </c>
      <c r="H172" s="23"/>
      <c r="I172" s="23"/>
      <c r="J172" s="99"/>
      <c r="K172" s="99"/>
      <c r="L172" s="99"/>
      <c r="M172" s="99"/>
      <c r="N172" s="43">
        <f t="shared" si="2"/>
        <v>1852436.875</v>
      </c>
      <c r="O172" s="43"/>
      <c r="P172" s="23"/>
      <c r="Q172" s="23"/>
    </row>
    <row r="173" spans="1:17">
      <c r="A173" s="23"/>
      <c r="B173" s="53">
        <v>163</v>
      </c>
      <c r="C173" s="58">
        <v>1980262.75</v>
      </c>
      <c r="D173" s="59">
        <v>189.26530456542969</v>
      </c>
      <c r="E173" s="59">
        <v>0</v>
      </c>
      <c r="F173" s="59">
        <v>-88.248580932617188</v>
      </c>
      <c r="G173" s="42">
        <v>0</v>
      </c>
      <c r="H173" s="23"/>
      <c r="I173" s="23"/>
      <c r="J173" s="99"/>
      <c r="K173" s="99"/>
      <c r="L173" s="99"/>
      <c r="M173" s="99"/>
      <c r="N173" s="43">
        <f t="shared" si="2"/>
        <v>1980262.75</v>
      </c>
      <c r="O173" s="43"/>
      <c r="P173" s="23"/>
      <c r="Q173" s="23"/>
    </row>
    <row r="174" spans="1:17">
      <c r="A174" s="23"/>
      <c r="B174" s="53">
        <v>164</v>
      </c>
      <c r="C174" s="58">
        <v>2116909</v>
      </c>
      <c r="D174" s="59">
        <v>176.18449401855469</v>
      </c>
      <c r="E174" s="59">
        <v>0</v>
      </c>
      <c r="F174" s="59">
        <v>-88.186332702636719</v>
      </c>
      <c r="G174" s="42">
        <v>0</v>
      </c>
      <c r="H174" s="23"/>
      <c r="I174" s="23"/>
      <c r="J174" s="99"/>
      <c r="K174" s="99"/>
      <c r="L174" s="99"/>
      <c r="M174" s="99"/>
      <c r="N174" s="43">
        <f t="shared" si="2"/>
        <v>2116909</v>
      </c>
      <c r="O174" s="43"/>
      <c r="P174" s="23"/>
      <c r="Q174" s="23"/>
    </row>
    <row r="175" spans="1:17">
      <c r="A175" s="23"/>
      <c r="B175" s="53">
        <v>165</v>
      </c>
      <c r="C175" s="58">
        <v>2262984.75</v>
      </c>
      <c r="D175" s="59">
        <v>163.82229614257813</v>
      </c>
      <c r="E175" s="59">
        <v>0</v>
      </c>
      <c r="F175" s="59">
        <v>-88.075286865234375</v>
      </c>
      <c r="G175" s="42">
        <v>0</v>
      </c>
      <c r="H175" s="23"/>
      <c r="I175" s="23"/>
      <c r="J175" s="99"/>
      <c r="K175" s="99"/>
      <c r="L175" s="99"/>
      <c r="M175" s="99"/>
      <c r="N175" s="43">
        <f t="shared" si="2"/>
        <v>2262984.75</v>
      </c>
      <c r="O175" s="43"/>
      <c r="P175" s="23"/>
      <c r="Q175" s="23"/>
    </row>
    <row r="176" spans="1:17">
      <c r="A176" s="23"/>
      <c r="B176" s="53">
        <v>166</v>
      </c>
      <c r="C176" s="58">
        <v>2419140</v>
      </c>
      <c r="D176" s="59">
        <v>152.13270568847656</v>
      </c>
      <c r="E176" s="59">
        <v>0</v>
      </c>
      <c r="F176" s="59">
        <v>-88.009361267089844</v>
      </c>
      <c r="G176" s="42">
        <v>0</v>
      </c>
      <c r="H176" s="23"/>
      <c r="I176" s="23"/>
      <c r="J176" s="99"/>
      <c r="K176" s="99"/>
      <c r="L176" s="99"/>
      <c r="M176" s="99"/>
      <c r="N176" s="43">
        <f t="shared" si="2"/>
        <v>2419140</v>
      </c>
      <c r="O176" s="43"/>
      <c r="P176" s="23"/>
      <c r="Q176" s="23"/>
    </row>
    <row r="177" spans="1:17">
      <c r="A177" s="23"/>
      <c r="B177" s="53">
        <v>167</v>
      </c>
      <c r="C177" s="58">
        <v>2586070.75</v>
      </c>
      <c r="D177" s="59">
        <v>141.11160278320313</v>
      </c>
      <c r="E177" s="59">
        <v>0</v>
      </c>
      <c r="F177" s="59">
        <v>-87.909156799316406</v>
      </c>
      <c r="G177" s="42">
        <v>0</v>
      </c>
      <c r="H177" s="23"/>
      <c r="I177" s="23"/>
      <c r="J177" s="99"/>
      <c r="K177" s="99"/>
      <c r="L177" s="99"/>
      <c r="M177" s="99"/>
      <c r="N177" s="43">
        <f t="shared" si="2"/>
        <v>2586070.75</v>
      </c>
      <c r="O177" s="43"/>
      <c r="P177" s="23"/>
      <c r="Q177" s="23"/>
    </row>
    <row r="178" spans="1:17">
      <c r="A178" s="23"/>
      <c r="B178" s="53">
        <v>168</v>
      </c>
      <c r="C178" s="58">
        <v>2764520.5</v>
      </c>
      <c r="D178" s="59">
        <v>130.70719909667969</v>
      </c>
      <c r="E178" s="59">
        <v>0</v>
      </c>
      <c r="F178" s="59">
        <v>-87.768951416015625</v>
      </c>
      <c r="G178" s="42">
        <v>0</v>
      </c>
      <c r="H178" s="23"/>
      <c r="I178" s="23"/>
      <c r="J178" s="99"/>
      <c r="K178" s="99"/>
      <c r="L178" s="99"/>
      <c r="M178" s="99"/>
      <c r="N178" s="43">
        <f t="shared" si="2"/>
        <v>2764520.5</v>
      </c>
      <c r="O178" s="43"/>
      <c r="P178" s="23"/>
      <c r="Q178" s="23"/>
    </row>
    <row r="179" spans="1:17">
      <c r="A179" s="23"/>
      <c r="B179" s="53">
        <v>169</v>
      </c>
      <c r="C179" s="58">
        <v>2955284</v>
      </c>
      <c r="D179" s="59">
        <v>120.87830352783203</v>
      </c>
      <c r="E179" s="59">
        <v>0</v>
      </c>
      <c r="F179" s="59">
        <v>-87.601699829101563</v>
      </c>
      <c r="G179" s="42">
        <v>0</v>
      </c>
      <c r="H179" s="23"/>
      <c r="I179" s="23"/>
      <c r="J179" s="99"/>
      <c r="K179" s="99"/>
      <c r="L179" s="99"/>
      <c r="M179" s="99"/>
      <c r="N179" s="43">
        <f t="shared" si="2"/>
        <v>2955284</v>
      </c>
      <c r="O179" s="43"/>
      <c r="P179" s="23"/>
      <c r="Q179" s="23"/>
    </row>
    <row r="180" spans="1:17">
      <c r="A180" s="23"/>
      <c r="B180" s="53">
        <v>170</v>
      </c>
      <c r="C180" s="58">
        <v>3159210.75</v>
      </c>
      <c r="D180" s="59">
        <v>111.60410308837891</v>
      </c>
      <c r="E180" s="59">
        <v>0</v>
      </c>
      <c r="F180" s="59">
        <v>-87.398391723632813</v>
      </c>
      <c r="G180" s="42">
        <v>0</v>
      </c>
      <c r="H180" s="23"/>
      <c r="I180" s="23"/>
      <c r="J180" s="99"/>
      <c r="K180" s="99"/>
      <c r="L180" s="99"/>
      <c r="M180" s="99"/>
      <c r="N180" s="43">
        <f t="shared" si="2"/>
        <v>3159210.75</v>
      </c>
      <c r="O180" s="43"/>
      <c r="P180" s="23"/>
      <c r="Q180" s="23"/>
    </row>
    <row r="181" spans="1:17">
      <c r="A181" s="23"/>
      <c r="B181" s="53">
        <v>171</v>
      </c>
      <c r="C181" s="58">
        <v>3377209.5</v>
      </c>
      <c r="D181" s="59">
        <v>102.85569763183594</v>
      </c>
      <c r="E181" s="59">
        <v>0</v>
      </c>
      <c r="F181" s="59">
        <v>-87.165901184082031</v>
      </c>
      <c r="G181" s="42">
        <v>0</v>
      </c>
      <c r="H181" s="23"/>
      <c r="I181" s="23"/>
      <c r="J181" s="99"/>
      <c r="K181" s="99"/>
      <c r="L181" s="99"/>
      <c r="M181" s="99"/>
      <c r="N181" s="43">
        <f t="shared" si="2"/>
        <v>3377209.5</v>
      </c>
      <c r="O181" s="43"/>
      <c r="P181" s="23"/>
      <c r="Q181" s="23"/>
    </row>
    <row r="182" spans="1:17">
      <c r="A182" s="23"/>
      <c r="B182" s="53">
        <v>172</v>
      </c>
      <c r="C182" s="58">
        <v>3610251</v>
      </c>
      <c r="D182" s="59">
        <v>94.590896606445313</v>
      </c>
      <c r="E182" s="59">
        <v>0</v>
      </c>
      <c r="F182" s="59">
        <v>-86.912933349609375</v>
      </c>
      <c r="G182" s="42">
        <v>0</v>
      </c>
      <c r="H182" s="23"/>
      <c r="I182" s="23"/>
      <c r="J182" s="99"/>
      <c r="K182" s="99"/>
      <c r="L182" s="99"/>
      <c r="M182" s="99"/>
      <c r="N182" s="43">
        <f t="shared" si="2"/>
        <v>3610251</v>
      </c>
      <c r="O182" s="43"/>
      <c r="P182" s="23"/>
      <c r="Q182" s="23"/>
    </row>
    <row r="183" spans="1:17">
      <c r="A183" s="23"/>
      <c r="B183" s="53">
        <v>173</v>
      </c>
      <c r="C183" s="58">
        <v>3859373.5</v>
      </c>
      <c r="D183" s="59">
        <v>86.822250366210938</v>
      </c>
      <c r="E183" s="59">
        <v>0</v>
      </c>
      <c r="F183" s="59">
        <v>-86.645332336425781</v>
      </c>
      <c r="G183" s="42">
        <v>0</v>
      </c>
      <c r="H183" s="23"/>
      <c r="I183" s="23"/>
      <c r="J183" s="99"/>
      <c r="K183" s="99"/>
      <c r="L183" s="99"/>
      <c r="M183" s="99"/>
      <c r="N183" s="43">
        <f t="shared" si="2"/>
        <v>3859373.5</v>
      </c>
      <c r="O183" s="43"/>
      <c r="P183" s="23"/>
      <c r="Q183" s="23"/>
    </row>
    <row r="184" spans="1:17">
      <c r="A184" s="23"/>
      <c r="B184" s="53">
        <v>174</v>
      </c>
      <c r="C184" s="58">
        <v>4125686.25</v>
      </c>
      <c r="D184" s="59">
        <v>79.314216613769531</v>
      </c>
      <c r="E184" s="59">
        <v>0</v>
      </c>
      <c r="F184" s="59">
        <v>-86.44049072265625</v>
      </c>
      <c r="G184" s="42">
        <v>0</v>
      </c>
      <c r="H184" s="23"/>
      <c r="I184" s="23"/>
      <c r="J184" s="99"/>
      <c r="K184" s="99"/>
      <c r="L184" s="99"/>
      <c r="M184" s="99"/>
      <c r="N184" s="43">
        <f t="shared" si="2"/>
        <v>4125686.25</v>
      </c>
      <c r="O184" s="43"/>
      <c r="P184" s="23"/>
      <c r="Q184" s="23"/>
    </row>
    <row r="185" spans="1:17">
      <c r="A185" s="23"/>
      <c r="B185" s="53">
        <v>175</v>
      </c>
      <c r="C185" s="58">
        <v>4410376</v>
      </c>
      <c r="D185" s="59">
        <v>72.029693603515625</v>
      </c>
      <c r="E185" s="59">
        <v>0</v>
      </c>
      <c r="F185" s="59">
        <v>-86.159141540527344</v>
      </c>
      <c r="G185" s="42">
        <v>0</v>
      </c>
      <c r="H185" s="23"/>
      <c r="I185" s="23"/>
      <c r="J185" s="99"/>
      <c r="K185" s="99"/>
      <c r="L185" s="99"/>
      <c r="M185" s="99"/>
      <c r="N185" s="43">
        <f t="shared" si="2"/>
        <v>4410376</v>
      </c>
      <c r="O185" s="43"/>
      <c r="P185" s="23"/>
      <c r="Q185" s="23"/>
    </row>
    <row r="186" spans="1:17">
      <c r="A186" s="23"/>
      <c r="B186" s="53">
        <v>176</v>
      </c>
      <c r="C186" s="58">
        <v>4714710</v>
      </c>
      <c r="D186" s="59">
        <v>65.085136413574219</v>
      </c>
      <c r="E186" s="59">
        <v>0</v>
      </c>
      <c r="F186" s="59">
        <v>-85.804916381835938</v>
      </c>
      <c r="G186" s="42">
        <v>0</v>
      </c>
      <c r="H186" s="23"/>
      <c r="I186" s="23"/>
      <c r="J186" s="99"/>
      <c r="K186" s="99"/>
      <c r="L186" s="99"/>
      <c r="M186" s="99"/>
      <c r="N186" s="43">
        <f t="shared" si="2"/>
        <v>4714710</v>
      </c>
      <c r="O186" s="43"/>
      <c r="P186" s="23"/>
      <c r="Q186" s="23"/>
    </row>
    <row r="187" spans="1:17">
      <c r="A187" s="23"/>
      <c r="B187" s="53">
        <v>177</v>
      </c>
      <c r="C187" s="58">
        <v>5040045</v>
      </c>
      <c r="D187" s="59">
        <v>58.414268493652344</v>
      </c>
      <c r="E187" s="59">
        <v>0</v>
      </c>
      <c r="F187" s="59">
        <v>-85.477058410644531</v>
      </c>
      <c r="G187" s="42">
        <v>0</v>
      </c>
      <c r="H187" s="23"/>
      <c r="I187" s="23"/>
      <c r="J187" s="99"/>
      <c r="K187" s="99"/>
      <c r="L187" s="99"/>
      <c r="M187" s="99"/>
      <c r="N187" s="43">
        <f t="shared" si="2"/>
        <v>5040045</v>
      </c>
      <c r="O187" s="43"/>
      <c r="P187" s="23"/>
      <c r="Q187" s="23"/>
    </row>
    <row r="188" spans="1:17">
      <c r="A188" s="23"/>
      <c r="B188" s="53">
        <v>178</v>
      </c>
      <c r="C188" s="58">
        <v>5387829</v>
      </c>
      <c r="D188" s="59">
        <v>51.806549072265625</v>
      </c>
      <c r="E188" s="59">
        <v>0</v>
      </c>
      <c r="F188" s="59">
        <v>-85.174156188964844</v>
      </c>
      <c r="G188" s="42">
        <v>0</v>
      </c>
      <c r="H188" s="23"/>
      <c r="I188" s="23"/>
      <c r="J188" s="99"/>
      <c r="K188" s="99"/>
      <c r="L188" s="99"/>
      <c r="M188" s="99"/>
      <c r="N188" s="43">
        <f t="shared" si="2"/>
        <v>5387829</v>
      </c>
      <c r="O188" s="43"/>
      <c r="P188" s="23"/>
      <c r="Q188" s="23"/>
    </row>
    <row r="189" spans="1:17">
      <c r="A189" s="23"/>
      <c r="B189" s="53">
        <v>179</v>
      </c>
      <c r="C189" s="58">
        <v>5759611.5</v>
      </c>
      <c r="D189" s="59">
        <v>45.200088500976563</v>
      </c>
      <c r="E189" s="59">
        <v>0</v>
      </c>
      <c r="F189" s="59">
        <v>-84.790733337402344</v>
      </c>
      <c r="G189" s="42">
        <v>0</v>
      </c>
      <c r="H189" s="23"/>
      <c r="I189" s="23"/>
      <c r="J189" s="99"/>
      <c r="K189" s="99"/>
      <c r="L189" s="99"/>
      <c r="M189" s="99"/>
      <c r="N189" s="43">
        <f t="shared" si="2"/>
        <v>5759611.5</v>
      </c>
      <c r="O189" s="43"/>
      <c r="P189" s="23"/>
      <c r="Q189" s="23"/>
    </row>
    <row r="190" spans="1:17">
      <c r="A190" s="23"/>
      <c r="B190" s="53">
        <v>180</v>
      </c>
      <c r="C190" s="58">
        <v>6157049</v>
      </c>
      <c r="D190" s="59">
        <v>38.583518981933594</v>
      </c>
      <c r="E190" s="59">
        <v>0</v>
      </c>
      <c r="F190" s="59">
        <v>-84.289039611816406</v>
      </c>
      <c r="G190" s="42">
        <v>0</v>
      </c>
      <c r="H190" s="23"/>
      <c r="I190" s="23"/>
      <c r="J190" s="99"/>
      <c r="K190" s="99"/>
      <c r="L190" s="99"/>
      <c r="M190" s="99"/>
      <c r="N190" s="43">
        <f t="shared" si="2"/>
        <v>6157049</v>
      </c>
      <c r="O190" s="43"/>
      <c r="P190" s="23"/>
      <c r="Q190" s="23"/>
    </row>
    <row r="191" spans="1:17">
      <c r="A191" s="23"/>
      <c r="B191" s="53">
        <v>181</v>
      </c>
      <c r="C191" s="58">
        <v>6581911</v>
      </c>
      <c r="D191" s="59">
        <v>31.856779098510742</v>
      </c>
      <c r="E191" s="59">
        <v>0</v>
      </c>
      <c r="F191" s="59">
        <v>-83.487159729003906</v>
      </c>
      <c r="G191" s="42">
        <v>0</v>
      </c>
      <c r="H191" s="23"/>
      <c r="I191" s="23"/>
      <c r="J191" s="99"/>
      <c r="K191" s="99"/>
      <c r="L191" s="99"/>
      <c r="M191" s="99"/>
      <c r="N191" s="43">
        <f t="shared" si="2"/>
        <v>6581911</v>
      </c>
      <c r="O191" s="43"/>
      <c r="P191" s="23"/>
      <c r="Q191" s="23"/>
    </row>
    <row r="192" spans="1:17">
      <c r="A192" s="23"/>
      <c r="B192" s="53">
        <v>182</v>
      </c>
      <c r="C192" s="58">
        <v>7036090.5</v>
      </c>
      <c r="D192" s="59">
        <v>24.914630889892578</v>
      </c>
      <c r="E192" s="59">
        <v>0</v>
      </c>
      <c r="F192" s="59">
        <v>-82.061233520507813</v>
      </c>
      <c r="G192" s="42">
        <v>0</v>
      </c>
      <c r="H192" s="23"/>
      <c r="I192" s="23"/>
      <c r="J192" s="99"/>
      <c r="K192" s="99"/>
      <c r="L192" s="99"/>
      <c r="M192" s="99"/>
      <c r="N192" s="43">
        <f t="shared" si="2"/>
        <v>7036090.5</v>
      </c>
      <c r="O192" s="43"/>
      <c r="P192" s="23"/>
      <c r="Q192" s="23"/>
    </row>
    <row r="193" spans="1:17">
      <c r="A193" s="23"/>
      <c r="B193" s="53">
        <v>183</v>
      </c>
      <c r="C193" s="58">
        <v>7521610</v>
      </c>
      <c r="D193" s="59">
        <v>17.611860275268555</v>
      </c>
      <c r="E193" s="59">
        <v>0</v>
      </c>
      <c r="F193" s="59">
        <v>-79.018882751464844</v>
      </c>
      <c r="G193" s="42">
        <v>0</v>
      </c>
      <c r="H193" s="23"/>
      <c r="I193" s="23"/>
      <c r="J193" s="99"/>
      <c r="K193" s="99"/>
      <c r="L193" s="99"/>
      <c r="M193" s="99"/>
      <c r="N193" s="43">
        <f t="shared" si="2"/>
        <v>7521610</v>
      </c>
      <c r="O193" s="43"/>
      <c r="P193" s="23"/>
      <c r="Q193" s="23"/>
    </row>
    <row r="194" spans="1:17">
      <c r="A194" s="23"/>
      <c r="B194" s="53">
        <v>184</v>
      </c>
      <c r="C194" s="58">
        <v>8040632.5</v>
      </c>
      <c r="D194" s="59">
        <v>9.9415082931518555</v>
      </c>
      <c r="E194" s="59">
        <v>0</v>
      </c>
      <c r="F194" s="59">
        <v>-69.586967468261719</v>
      </c>
      <c r="G194" s="42">
        <v>0</v>
      </c>
      <c r="H194" s="23"/>
      <c r="I194" s="23"/>
      <c r="J194" s="99"/>
      <c r="K194" s="99"/>
      <c r="L194" s="99"/>
      <c r="M194" s="99"/>
      <c r="N194" s="43">
        <f t="shared" si="2"/>
        <v>8040632.5</v>
      </c>
      <c r="O194" s="43"/>
      <c r="P194" s="23"/>
      <c r="Q194" s="23"/>
    </row>
    <row r="195" spans="1:17">
      <c r="A195" s="23"/>
      <c r="B195" s="53">
        <v>185</v>
      </c>
      <c r="C195" s="58">
        <v>8595470</v>
      </c>
      <c r="D195" s="59">
        <v>3.9680509567260742</v>
      </c>
      <c r="E195" s="59">
        <v>0</v>
      </c>
      <c r="F195" s="59">
        <v>-7.2940130233764648</v>
      </c>
      <c r="G195" s="42">
        <v>0</v>
      </c>
      <c r="H195" s="23"/>
      <c r="I195" s="23"/>
      <c r="J195" s="99"/>
      <c r="K195" s="99"/>
      <c r="L195" s="99"/>
      <c r="M195" s="99"/>
      <c r="N195" s="43">
        <f t="shared" si="2"/>
        <v>8595470</v>
      </c>
      <c r="O195" s="43"/>
      <c r="P195" s="23"/>
      <c r="Q195" s="23"/>
    </row>
    <row r="196" spans="1:17">
      <c r="A196" s="23"/>
      <c r="B196" s="53">
        <v>186</v>
      </c>
      <c r="C196" s="58">
        <v>9188593</v>
      </c>
      <c r="D196" s="59">
        <v>10.710000038146973</v>
      </c>
      <c r="E196" s="59">
        <v>0</v>
      </c>
      <c r="F196" s="59">
        <v>62.201541900634766</v>
      </c>
      <c r="G196" s="42">
        <v>0</v>
      </c>
      <c r="H196" s="23"/>
      <c r="I196" s="23"/>
      <c r="J196" s="99"/>
      <c r="K196" s="99"/>
      <c r="L196" s="99"/>
      <c r="M196" s="99"/>
      <c r="N196" s="43">
        <f t="shared" si="2"/>
        <v>9188593</v>
      </c>
      <c r="O196" s="43"/>
      <c r="P196" s="23"/>
      <c r="Q196" s="23"/>
    </row>
    <row r="197" spans="1:17">
      <c r="A197" s="23"/>
      <c r="B197" s="53">
        <v>187</v>
      </c>
      <c r="C197" s="58">
        <v>9822644</v>
      </c>
      <c r="D197" s="59">
        <v>22.206809997558594</v>
      </c>
      <c r="E197" s="59">
        <v>0</v>
      </c>
      <c r="F197" s="59">
        <v>71.6546630859375</v>
      </c>
      <c r="G197" s="42">
        <v>0</v>
      </c>
      <c r="H197" s="23"/>
      <c r="I197" s="23"/>
      <c r="J197" s="99"/>
      <c r="K197" s="99"/>
      <c r="L197" s="99"/>
      <c r="M197" s="99"/>
      <c r="N197" s="43">
        <f t="shared" si="2"/>
        <v>9822644</v>
      </c>
      <c r="O197" s="43"/>
      <c r="P197" s="23"/>
      <c r="Q197" s="23"/>
    </row>
    <row r="198" spans="1:17">
      <c r="A198" s="23"/>
      <c r="B198" s="53">
        <v>188</v>
      </c>
      <c r="C198" s="58">
        <v>10500447</v>
      </c>
      <c r="D198" s="59">
        <v>36.641128540039063</v>
      </c>
      <c r="E198" s="59">
        <v>0</v>
      </c>
      <c r="F198" s="59">
        <v>73.163887023925781</v>
      </c>
      <c r="G198" s="42">
        <v>0</v>
      </c>
      <c r="H198" s="23"/>
      <c r="I198" s="23"/>
      <c r="J198" s="99"/>
      <c r="K198" s="99"/>
      <c r="L198" s="99"/>
      <c r="M198" s="99"/>
      <c r="N198" s="43">
        <f t="shared" si="2"/>
        <v>10500447</v>
      </c>
      <c r="O198" s="43"/>
      <c r="P198" s="23"/>
      <c r="Q198" s="23"/>
    </row>
    <row r="199" spans="1:17">
      <c r="A199" s="23"/>
      <c r="B199" s="53">
        <v>189</v>
      </c>
      <c r="C199" s="58">
        <v>11225022</v>
      </c>
      <c r="D199" s="59">
        <v>55.326240539550781</v>
      </c>
      <c r="E199" s="59">
        <v>0</v>
      </c>
      <c r="F199" s="59">
        <v>72.034736633300781</v>
      </c>
      <c r="G199" s="42">
        <v>0</v>
      </c>
      <c r="H199" s="23"/>
      <c r="I199" s="23"/>
      <c r="J199" s="99"/>
      <c r="K199" s="99"/>
      <c r="L199" s="99"/>
      <c r="M199" s="99"/>
      <c r="N199" s="43">
        <f t="shared" si="2"/>
        <v>11225022</v>
      </c>
      <c r="O199" s="43"/>
      <c r="P199" s="23"/>
      <c r="Q199" s="23"/>
    </row>
    <row r="200" spans="1:17">
      <c r="A200" s="23"/>
      <c r="B200" s="53">
        <v>190</v>
      </c>
      <c r="C200" s="58">
        <v>11999596</v>
      </c>
      <c r="D200" s="59">
        <v>81.685943603515625</v>
      </c>
      <c r="E200" s="59">
        <v>0</v>
      </c>
      <c r="F200" s="59">
        <v>68.922866821289063</v>
      </c>
      <c r="G200" s="42">
        <v>0</v>
      </c>
      <c r="H200" s="23"/>
      <c r="I200" s="23"/>
      <c r="J200" s="99"/>
      <c r="K200" s="99"/>
      <c r="L200" s="99"/>
      <c r="M200" s="99"/>
      <c r="N200" s="43">
        <f t="shared" si="2"/>
        <v>11999596</v>
      </c>
      <c r="O200" s="43"/>
      <c r="P200" s="23"/>
      <c r="Q200" s="23"/>
    </row>
    <row r="201" spans="1:17">
      <c r="A201" s="23"/>
      <c r="B201" s="53">
        <v>191</v>
      </c>
      <c r="C201" s="58">
        <v>12827618</v>
      </c>
      <c r="D201" s="59">
        <v>123.28800201416016</v>
      </c>
      <c r="E201" s="59">
        <v>0</v>
      </c>
      <c r="F201" s="59">
        <v>62.611930847167969</v>
      </c>
      <c r="G201" s="42">
        <v>0</v>
      </c>
      <c r="H201" s="23"/>
      <c r="I201" s="23"/>
      <c r="J201" s="99"/>
      <c r="K201" s="99"/>
      <c r="L201" s="99"/>
      <c r="M201" s="99"/>
      <c r="N201" s="43">
        <f t="shared" si="2"/>
        <v>12827618</v>
      </c>
      <c r="O201" s="43"/>
      <c r="P201" s="23"/>
      <c r="Q201" s="23"/>
    </row>
    <row r="202" spans="1:17">
      <c r="A202" s="23"/>
      <c r="B202" s="53">
        <v>192</v>
      </c>
      <c r="C202" s="58">
        <v>13712777</v>
      </c>
      <c r="D202" s="59">
        <v>196.58509826660156</v>
      </c>
      <c r="E202" s="59">
        <v>0</v>
      </c>
      <c r="F202" s="59">
        <v>49.037460327148438</v>
      </c>
      <c r="G202" s="42">
        <v>0</v>
      </c>
      <c r="H202" s="23"/>
      <c r="I202" s="23"/>
      <c r="J202" s="99"/>
      <c r="K202" s="99"/>
      <c r="L202" s="99"/>
      <c r="M202" s="99"/>
      <c r="N202" s="43">
        <f t="shared" si="2"/>
        <v>13712777</v>
      </c>
      <c r="O202" s="43"/>
      <c r="P202" s="23"/>
      <c r="Q202" s="23"/>
    </row>
    <row r="203" spans="1:17">
      <c r="A203" s="23"/>
      <c r="B203" s="53">
        <v>193</v>
      </c>
      <c r="C203" s="58">
        <v>14659016</v>
      </c>
      <c r="D203" s="59">
        <v>307.17279052734375</v>
      </c>
      <c r="E203" s="59">
        <v>0</v>
      </c>
      <c r="F203" s="59">
        <v>17.389549255371094</v>
      </c>
      <c r="G203" s="42">
        <v>0</v>
      </c>
      <c r="H203" s="23"/>
      <c r="I203" s="23"/>
      <c r="J203" s="99"/>
      <c r="K203" s="99"/>
      <c r="L203" s="99"/>
      <c r="M203" s="99"/>
      <c r="N203" s="43">
        <f t="shared" ref="N203:N266" si="3">IF($L$4=$C$10,C203,IF(D203="","",B203))</f>
        <v>14659016</v>
      </c>
      <c r="O203" s="43"/>
      <c r="P203" s="23"/>
      <c r="Q203" s="23"/>
    </row>
    <row r="204" spans="1:17">
      <c r="A204" s="23"/>
      <c r="B204" s="53">
        <v>194</v>
      </c>
      <c r="C204" s="58">
        <v>15670549</v>
      </c>
      <c r="D204" s="59">
        <v>43.423370361328125</v>
      </c>
      <c r="E204" s="59">
        <v>0</v>
      </c>
      <c r="F204" s="59">
        <v>30.926450729370117</v>
      </c>
      <c r="G204" s="42">
        <v>0</v>
      </c>
      <c r="H204" s="23"/>
      <c r="I204" s="23"/>
      <c r="J204" s="99"/>
      <c r="K204" s="99"/>
      <c r="L204" s="99"/>
      <c r="M204" s="99"/>
      <c r="N204" s="43">
        <f t="shared" si="3"/>
        <v>15670549</v>
      </c>
      <c r="O204" s="43"/>
      <c r="P204" s="23"/>
      <c r="Q204" s="23"/>
    </row>
    <row r="205" spans="1:17">
      <c r="A205" s="23"/>
      <c r="B205" s="53">
        <v>195</v>
      </c>
      <c r="C205" s="58">
        <v>16751882</v>
      </c>
      <c r="D205" s="59">
        <v>47.284919738769531</v>
      </c>
      <c r="E205" s="59">
        <v>0</v>
      </c>
      <c r="F205" s="59">
        <v>27.688459396362305</v>
      </c>
      <c r="G205" s="42">
        <v>0</v>
      </c>
      <c r="H205" s="23"/>
      <c r="I205" s="23"/>
      <c r="J205" s="99"/>
      <c r="K205" s="99"/>
      <c r="L205" s="99"/>
      <c r="M205" s="99"/>
      <c r="N205" s="43">
        <f t="shared" si="3"/>
        <v>16751882</v>
      </c>
      <c r="O205" s="43"/>
      <c r="P205" s="23"/>
      <c r="Q205" s="23"/>
    </row>
    <row r="206" spans="1:17">
      <c r="A206" s="23"/>
      <c r="B206" s="53">
        <v>196</v>
      </c>
      <c r="C206" s="58">
        <v>17907832</v>
      </c>
      <c r="D206" s="59">
        <v>50.845119476318359</v>
      </c>
      <c r="E206" s="59">
        <v>0</v>
      </c>
      <c r="F206" s="59">
        <v>24.137210845947266</v>
      </c>
      <c r="G206" s="42">
        <v>0</v>
      </c>
      <c r="H206" s="23"/>
      <c r="I206" s="23"/>
      <c r="J206" s="99"/>
      <c r="K206" s="99"/>
      <c r="L206" s="99"/>
      <c r="M206" s="99"/>
      <c r="N206" s="43">
        <f t="shared" si="3"/>
        <v>17907832</v>
      </c>
      <c r="O206" s="43"/>
      <c r="P206" s="23"/>
      <c r="Q206" s="23"/>
    </row>
    <row r="207" spans="1:17">
      <c r="A207" s="23"/>
      <c r="B207" s="53">
        <v>197</v>
      </c>
      <c r="C207" s="58">
        <v>19143546</v>
      </c>
      <c r="D207" s="59">
        <v>53.981800079345703</v>
      </c>
      <c r="E207" s="59">
        <v>0</v>
      </c>
      <c r="F207" s="59">
        <v>20.369380950927734</v>
      </c>
      <c r="G207" s="42">
        <v>0</v>
      </c>
      <c r="H207" s="23"/>
      <c r="I207" s="23"/>
      <c r="J207" s="99"/>
      <c r="K207" s="99"/>
      <c r="L207" s="99"/>
      <c r="M207" s="99"/>
      <c r="N207" s="43">
        <f t="shared" si="3"/>
        <v>19143546</v>
      </c>
      <c r="O207" s="43"/>
      <c r="P207" s="23"/>
      <c r="Q207" s="23"/>
    </row>
    <row r="208" spans="1:17">
      <c r="A208" s="23"/>
      <c r="B208" s="53">
        <v>198</v>
      </c>
      <c r="C208" s="58">
        <v>20464532</v>
      </c>
      <c r="D208" s="59">
        <v>56.656959533691406</v>
      </c>
      <c r="E208" s="59">
        <v>0</v>
      </c>
      <c r="F208" s="59">
        <v>16.381479263305664</v>
      </c>
      <c r="G208" s="42">
        <v>0</v>
      </c>
      <c r="H208" s="23"/>
      <c r="I208" s="23"/>
      <c r="J208" s="99"/>
      <c r="K208" s="99"/>
      <c r="L208" s="99"/>
      <c r="M208" s="99"/>
      <c r="N208" s="43">
        <f t="shared" si="3"/>
        <v>20464532</v>
      </c>
      <c r="O208" s="43"/>
      <c r="P208" s="23"/>
      <c r="Q208" s="23"/>
    </row>
    <row r="209" spans="1:17">
      <c r="A209" s="23"/>
      <c r="B209" s="53">
        <v>199</v>
      </c>
      <c r="C209" s="58">
        <v>21876670</v>
      </c>
      <c r="D209" s="59">
        <v>58.784210205078125</v>
      </c>
      <c r="E209" s="59">
        <v>0</v>
      </c>
      <c r="F209" s="59">
        <v>12.193449974060059</v>
      </c>
      <c r="G209" s="42">
        <v>0</v>
      </c>
      <c r="H209" s="23"/>
      <c r="I209" s="23"/>
      <c r="J209" s="99"/>
      <c r="K209" s="99"/>
      <c r="L209" s="99"/>
      <c r="M209" s="99"/>
      <c r="N209" s="43">
        <f t="shared" si="3"/>
        <v>21876670</v>
      </c>
      <c r="O209" s="43"/>
      <c r="P209" s="23"/>
      <c r="Q209" s="23"/>
    </row>
    <row r="210" spans="1:17">
      <c r="A210" s="23"/>
      <c r="B210" s="54">
        <v>200</v>
      </c>
      <c r="C210" s="58">
        <v>23386252</v>
      </c>
      <c r="D210" s="60">
        <v>60.354049682617188</v>
      </c>
      <c r="E210" s="59">
        <v>0</v>
      </c>
      <c r="F210" s="59">
        <v>7.786890983581543</v>
      </c>
      <c r="G210" s="42">
        <v>0</v>
      </c>
      <c r="H210" s="23"/>
      <c r="I210" s="23"/>
      <c r="J210" s="99"/>
      <c r="K210" s="99"/>
      <c r="L210" s="99"/>
      <c r="M210" s="99"/>
      <c r="N210" s="43">
        <f t="shared" si="3"/>
        <v>23386252</v>
      </c>
      <c r="O210" s="43"/>
      <c r="P210" s="23"/>
      <c r="Q210" s="23"/>
    </row>
    <row r="211" spans="1:17">
      <c r="A211" s="23"/>
      <c r="B211" s="55">
        <v>201</v>
      </c>
      <c r="C211" s="61">
        <v>25000000</v>
      </c>
      <c r="D211" s="61">
        <v>61.224048614501953</v>
      </c>
      <c r="E211" s="61">
        <v>0</v>
      </c>
      <c r="F211" s="61">
        <v>3.1424679756164551</v>
      </c>
      <c r="G211" s="62">
        <v>0</v>
      </c>
      <c r="H211" s="23"/>
      <c r="I211" s="23"/>
      <c r="J211" s="99"/>
      <c r="K211" s="99"/>
      <c r="L211" s="99"/>
      <c r="M211" s="99"/>
      <c r="N211" s="43">
        <f t="shared" si="3"/>
        <v>25000000</v>
      </c>
      <c r="O211" s="43"/>
      <c r="P211" s="23"/>
      <c r="Q211" s="23"/>
    </row>
    <row r="212" spans="1:17">
      <c r="A212" s="23"/>
      <c r="B212" s="56"/>
      <c r="C212" s="63"/>
      <c r="D212" s="63"/>
      <c r="E212" s="63"/>
      <c r="F212" s="64"/>
      <c r="G212" s="64"/>
      <c r="H212" s="23"/>
      <c r="I212" s="23"/>
      <c r="J212" s="99"/>
      <c r="K212" s="99"/>
      <c r="L212" s="99"/>
      <c r="M212" s="99"/>
      <c r="N212" s="43">
        <f t="shared" si="3"/>
        <v>0</v>
      </c>
      <c r="O212" s="43"/>
      <c r="P212" s="23"/>
      <c r="Q212" s="23"/>
    </row>
    <row r="213" spans="1:17">
      <c r="A213" s="23"/>
      <c r="B213" s="56"/>
      <c r="C213" s="63"/>
      <c r="D213" s="63"/>
      <c r="E213" s="63"/>
      <c r="F213" s="63"/>
      <c r="G213" s="63"/>
      <c r="H213" s="23"/>
      <c r="I213" s="23"/>
      <c r="J213" s="99"/>
      <c r="K213" s="99"/>
      <c r="L213" s="99"/>
      <c r="M213" s="99"/>
      <c r="N213" s="43">
        <f t="shared" si="3"/>
        <v>0</v>
      </c>
      <c r="O213" s="48"/>
      <c r="P213" s="23"/>
      <c r="Q213" s="23"/>
    </row>
    <row r="214" spans="1:17">
      <c r="A214" s="23"/>
      <c r="B214" s="56"/>
      <c r="C214" s="63"/>
      <c r="D214" s="63"/>
      <c r="E214" s="63"/>
      <c r="F214" s="63"/>
      <c r="G214" s="63"/>
      <c r="H214" s="23"/>
      <c r="I214" s="23"/>
      <c r="J214" s="99"/>
      <c r="K214" s="99"/>
      <c r="L214" s="99"/>
      <c r="M214" s="99"/>
      <c r="N214" s="43">
        <f t="shared" si="3"/>
        <v>0</v>
      </c>
      <c r="O214" s="48"/>
      <c r="P214" s="23"/>
      <c r="Q214" s="23"/>
    </row>
    <row r="215" spans="1:17">
      <c r="A215" s="23"/>
      <c r="B215" s="56"/>
      <c r="C215" s="63"/>
      <c r="D215" s="63"/>
      <c r="E215" s="63"/>
      <c r="F215" s="63"/>
      <c r="G215" s="63"/>
      <c r="H215" s="23"/>
      <c r="I215" s="23"/>
      <c r="J215" s="99"/>
      <c r="K215" s="99"/>
      <c r="L215" s="99"/>
      <c r="M215" s="99"/>
      <c r="N215" s="43">
        <f t="shared" si="3"/>
        <v>0</v>
      </c>
      <c r="O215" s="48"/>
      <c r="P215" s="23"/>
      <c r="Q215" s="23"/>
    </row>
    <row r="216" spans="1:17">
      <c r="A216" s="23"/>
      <c r="B216" s="56"/>
      <c r="C216" s="63"/>
      <c r="D216" s="63"/>
      <c r="E216" s="63"/>
      <c r="F216" s="63"/>
      <c r="G216" s="63"/>
      <c r="H216" s="23"/>
      <c r="I216" s="23"/>
      <c r="J216" s="99"/>
      <c r="K216" s="99"/>
      <c r="L216" s="99"/>
      <c r="M216" s="99"/>
      <c r="N216" s="43">
        <f t="shared" si="3"/>
        <v>0</v>
      </c>
      <c r="O216" s="48"/>
      <c r="P216" s="23"/>
      <c r="Q216" s="23"/>
    </row>
    <row r="217" spans="1:17">
      <c r="A217" s="23"/>
      <c r="B217" s="56"/>
      <c r="C217" s="63"/>
      <c r="D217" s="63"/>
      <c r="E217" s="63"/>
      <c r="F217" s="63"/>
      <c r="G217" s="63"/>
      <c r="H217" s="23"/>
      <c r="I217" s="23"/>
      <c r="J217" s="99"/>
      <c r="K217" s="99"/>
      <c r="L217" s="99"/>
      <c r="M217" s="99"/>
      <c r="N217" s="43">
        <f t="shared" si="3"/>
        <v>0</v>
      </c>
      <c r="O217" s="48"/>
      <c r="P217" s="23"/>
      <c r="Q217" s="23"/>
    </row>
    <row r="218" spans="1:17">
      <c r="A218" s="23"/>
      <c r="B218" s="56"/>
      <c r="C218" s="63"/>
      <c r="D218" s="63"/>
      <c r="E218" s="63"/>
      <c r="F218" s="63"/>
      <c r="G218" s="63"/>
      <c r="H218" s="23"/>
      <c r="I218" s="23"/>
      <c r="J218" s="99"/>
      <c r="K218" s="99"/>
      <c r="L218" s="99"/>
      <c r="M218" s="99"/>
      <c r="N218" s="43">
        <f t="shared" si="3"/>
        <v>0</v>
      </c>
      <c r="O218" s="48"/>
      <c r="P218" s="23"/>
      <c r="Q218" s="23"/>
    </row>
    <row r="219" spans="1:17">
      <c r="A219" s="23"/>
      <c r="B219" s="56"/>
      <c r="C219" s="63"/>
      <c r="D219" s="63"/>
      <c r="E219" s="63"/>
      <c r="F219" s="63"/>
      <c r="G219" s="63"/>
      <c r="H219" s="23"/>
      <c r="I219" s="23"/>
      <c r="J219" s="99"/>
      <c r="K219" s="99"/>
      <c r="L219" s="99"/>
      <c r="M219" s="99"/>
      <c r="N219" s="43">
        <f t="shared" si="3"/>
        <v>0</v>
      </c>
      <c r="O219" s="48"/>
      <c r="P219" s="23"/>
      <c r="Q219" s="23"/>
    </row>
    <row r="220" spans="1:17">
      <c r="A220" s="23"/>
      <c r="B220" s="56"/>
      <c r="C220" s="63"/>
      <c r="D220" s="63"/>
      <c r="E220" s="63"/>
      <c r="F220" s="63"/>
      <c r="G220" s="63"/>
      <c r="H220" s="23"/>
      <c r="I220" s="23"/>
      <c r="J220" s="99"/>
      <c r="K220" s="99"/>
      <c r="L220" s="99"/>
      <c r="M220" s="99"/>
      <c r="N220" s="43">
        <f t="shared" si="3"/>
        <v>0</v>
      </c>
      <c r="O220" s="48"/>
      <c r="P220" s="23"/>
      <c r="Q220" s="23"/>
    </row>
    <row r="221" spans="1:17">
      <c r="A221" s="23"/>
      <c r="B221" s="56"/>
      <c r="C221" s="63"/>
      <c r="D221" s="63"/>
      <c r="E221" s="63"/>
      <c r="F221" s="63"/>
      <c r="G221" s="63"/>
      <c r="H221" s="23"/>
      <c r="I221" s="23"/>
      <c r="J221" s="99"/>
      <c r="K221" s="99"/>
      <c r="L221" s="99"/>
      <c r="M221" s="99"/>
      <c r="N221" s="43">
        <f t="shared" si="3"/>
        <v>0</v>
      </c>
      <c r="O221" s="48"/>
      <c r="P221" s="23"/>
      <c r="Q221" s="23"/>
    </row>
    <row r="222" spans="1:17">
      <c r="A222" s="23"/>
      <c r="B222" s="56"/>
      <c r="C222" s="63"/>
      <c r="D222" s="63"/>
      <c r="E222" s="63"/>
      <c r="F222" s="63"/>
      <c r="G222" s="63"/>
      <c r="H222" s="23"/>
      <c r="I222" s="23"/>
      <c r="J222" s="99"/>
      <c r="K222" s="99"/>
      <c r="L222" s="99"/>
      <c r="M222" s="99"/>
      <c r="N222" s="43">
        <f t="shared" si="3"/>
        <v>0</v>
      </c>
      <c r="O222" s="48"/>
      <c r="P222" s="23"/>
      <c r="Q222" s="23"/>
    </row>
    <row r="223" spans="1:17">
      <c r="A223" s="23"/>
      <c r="B223" s="56"/>
      <c r="C223" s="63"/>
      <c r="D223" s="63"/>
      <c r="E223" s="63"/>
      <c r="F223" s="63"/>
      <c r="G223" s="63"/>
      <c r="H223" s="23"/>
      <c r="I223" s="23"/>
      <c r="J223" s="99"/>
      <c r="K223" s="99"/>
      <c r="L223" s="99"/>
      <c r="M223" s="99"/>
      <c r="N223" s="43">
        <f t="shared" si="3"/>
        <v>0</v>
      </c>
      <c r="O223" s="48"/>
      <c r="P223" s="23"/>
      <c r="Q223" s="23"/>
    </row>
    <row r="224" spans="1:17">
      <c r="A224" s="23"/>
      <c r="B224" s="56"/>
      <c r="C224" s="63"/>
      <c r="D224" s="63"/>
      <c r="E224" s="63"/>
      <c r="F224" s="63"/>
      <c r="G224" s="63"/>
      <c r="H224" s="23"/>
      <c r="I224" s="23"/>
      <c r="J224" s="99"/>
      <c r="K224" s="99"/>
      <c r="L224" s="99"/>
      <c r="M224" s="99"/>
      <c r="N224" s="43">
        <f t="shared" si="3"/>
        <v>0</v>
      </c>
      <c r="O224" s="48"/>
      <c r="P224" s="23"/>
      <c r="Q224" s="23"/>
    </row>
    <row r="225" spans="1:17">
      <c r="A225" s="23"/>
      <c r="B225" s="56"/>
      <c r="C225" s="63"/>
      <c r="D225" s="63"/>
      <c r="E225" s="63"/>
      <c r="F225" s="63"/>
      <c r="G225" s="63"/>
      <c r="H225" s="23"/>
      <c r="I225" s="23"/>
      <c r="J225" s="99"/>
      <c r="K225" s="99"/>
      <c r="L225" s="99"/>
      <c r="M225" s="99"/>
      <c r="N225" s="43">
        <f t="shared" si="3"/>
        <v>0</v>
      </c>
      <c r="O225" s="48"/>
      <c r="P225" s="23"/>
      <c r="Q225" s="23"/>
    </row>
    <row r="226" spans="1:17">
      <c r="A226" s="23"/>
      <c r="B226" s="56"/>
      <c r="C226" s="63"/>
      <c r="D226" s="63"/>
      <c r="E226" s="63"/>
      <c r="F226" s="63"/>
      <c r="G226" s="63"/>
      <c r="H226" s="23"/>
      <c r="I226" s="23"/>
      <c r="J226" s="99"/>
      <c r="K226" s="99"/>
      <c r="L226" s="99"/>
      <c r="M226" s="99"/>
      <c r="N226" s="43">
        <f t="shared" si="3"/>
        <v>0</v>
      </c>
      <c r="O226" s="48"/>
      <c r="P226" s="23"/>
      <c r="Q226" s="23"/>
    </row>
    <row r="227" spans="1:17">
      <c r="B227" s="57"/>
      <c r="C227" s="60"/>
      <c r="D227" s="60"/>
      <c r="E227" s="60"/>
      <c r="F227" s="60"/>
      <c r="G227" s="60"/>
      <c r="J227" s="99"/>
      <c r="K227" s="99"/>
      <c r="L227" s="99"/>
      <c r="M227" s="99"/>
      <c r="N227" s="43">
        <f t="shared" si="3"/>
        <v>0</v>
      </c>
    </row>
    <row r="228" spans="1:17">
      <c r="B228" s="57"/>
      <c r="C228" s="60"/>
      <c r="D228" s="60"/>
      <c r="E228" s="60"/>
      <c r="F228" s="60"/>
      <c r="G228" s="60"/>
      <c r="J228" s="99"/>
      <c r="K228" s="99"/>
      <c r="L228" s="99"/>
      <c r="M228" s="99"/>
      <c r="N228" s="43">
        <f t="shared" si="3"/>
        <v>0</v>
      </c>
    </row>
    <row r="229" spans="1:17">
      <c r="B229" s="57"/>
      <c r="C229" s="60"/>
      <c r="D229" s="60"/>
      <c r="E229" s="60"/>
      <c r="F229" s="60"/>
      <c r="G229" s="60"/>
      <c r="J229" s="99"/>
      <c r="K229" s="99"/>
      <c r="L229" s="99"/>
      <c r="M229" s="99"/>
      <c r="N229" s="43">
        <f t="shared" si="3"/>
        <v>0</v>
      </c>
    </row>
    <row r="230" spans="1:17">
      <c r="B230" s="57"/>
      <c r="C230" s="60"/>
      <c r="D230" s="60"/>
      <c r="E230" s="60"/>
      <c r="F230" s="60"/>
      <c r="G230" s="60"/>
      <c r="J230" s="99"/>
      <c r="K230" s="99"/>
      <c r="L230" s="99"/>
      <c r="M230" s="99"/>
      <c r="N230" s="43">
        <f t="shared" si="3"/>
        <v>0</v>
      </c>
    </row>
    <row r="231" spans="1:17">
      <c r="B231" s="57"/>
      <c r="C231" s="60"/>
      <c r="D231" s="60"/>
      <c r="E231" s="60"/>
      <c r="F231" s="60"/>
      <c r="G231" s="60"/>
      <c r="J231" s="99"/>
      <c r="K231" s="99"/>
      <c r="L231" s="99"/>
      <c r="M231" s="99"/>
      <c r="N231" s="43">
        <f t="shared" si="3"/>
        <v>0</v>
      </c>
    </row>
    <row r="232" spans="1:17">
      <c r="B232" s="57"/>
      <c r="C232" s="60"/>
      <c r="D232" s="60"/>
      <c r="E232" s="60"/>
      <c r="F232" s="60"/>
      <c r="G232" s="60"/>
      <c r="J232" s="99"/>
      <c r="K232" s="99"/>
      <c r="L232" s="99"/>
      <c r="M232" s="99"/>
      <c r="N232" s="43">
        <f t="shared" si="3"/>
        <v>0</v>
      </c>
    </row>
    <row r="233" spans="1:17">
      <c r="B233" s="57"/>
      <c r="C233" s="60"/>
      <c r="D233" s="60"/>
      <c r="E233" s="60"/>
      <c r="F233" s="60"/>
      <c r="G233" s="60"/>
      <c r="J233" s="99"/>
      <c r="K233" s="99"/>
      <c r="L233" s="99"/>
      <c r="M233" s="99"/>
      <c r="N233" s="43">
        <f t="shared" si="3"/>
        <v>0</v>
      </c>
    </row>
    <row r="234" spans="1:17">
      <c r="B234" s="57"/>
      <c r="C234" s="60"/>
      <c r="D234" s="60"/>
      <c r="E234" s="60"/>
      <c r="F234" s="60"/>
      <c r="G234" s="60"/>
      <c r="J234" s="99"/>
      <c r="K234" s="99"/>
      <c r="L234" s="99"/>
      <c r="M234" s="99"/>
      <c r="N234" s="43">
        <f t="shared" si="3"/>
        <v>0</v>
      </c>
    </row>
    <row r="235" spans="1:17">
      <c r="B235" s="57"/>
      <c r="C235" s="60"/>
      <c r="D235" s="60"/>
      <c r="E235" s="60"/>
      <c r="F235" s="60"/>
      <c r="G235" s="60"/>
      <c r="J235" s="99"/>
      <c r="K235" s="99"/>
      <c r="L235" s="99"/>
      <c r="M235" s="99"/>
      <c r="N235" s="43">
        <f t="shared" si="3"/>
        <v>0</v>
      </c>
    </row>
    <row r="236" spans="1:17">
      <c r="B236" s="57"/>
      <c r="C236" s="60"/>
      <c r="D236" s="60"/>
      <c r="E236" s="60"/>
      <c r="F236" s="60"/>
      <c r="G236" s="60"/>
      <c r="J236" s="99"/>
      <c r="K236" s="99"/>
      <c r="L236" s="99"/>
      <c r="M236" s="99"/>
      <c r="N236" s="43">
        <f t="shared" si="3"/>
        <v>0</v>
      </c>
    </row>
    <row r="237" spans="1:17">
      <c r="B237" s="57"/>
      <c r="C237" s="60"/>
      <c r="D237" s="60"/>
      <c r="E237" s="60"/>
      <c r="F237" s="60"/>
      <c r="G237" s="60"/>
      <c r="J237" s="99"/>
      <c r="K237" s="99"/>
      <c r="L237" s="99"/>
      <c r="M237" s="99"/>
      <c r="N237" s="43">
        <f t="shared" si="3"/>
        <v>0</v>
      </c>
    </row>
    <row r="238" spans="1:17">
      <c r="B238" s="57"/>
      <c r="C238" s="60"/>
      <c r="D238" s="60"/>
      <c r="E238" s="60"/>
      <c r="F238" s="60"/>
      <c r="G238" s="60"/>
      <c r="J238" s="99"/>
      <c r="K238" s="99"/>
      <c r="L238" s="99"/>
      <c r="M238" s="99"/>
      <c r="N238" s="43">
        <f t="shared" si="3"/>
        <v>0</v>
      </c>
    </row>
    <row r="239" spans="1:17">
      <c r="B239" s="57"/>
      <c r="C239" s="60"/>
      <c r="D239" s="60"/>
      <c r="E239" s="60"/>
      <c r="F239" s="60"/>
      <c r="G239" s="60"/>
      <c r="J239" s="99"/>
      <c r="K239" s="99"/>
      <c r="L239" s="99"/>
      <c r="M239" s="99"/>
      <c r="N239" s="43">
        <f t="shared" si="3"/>
        <v>0</v>
      </c>
    </row>
    <row r="240" spans="1:17">
      <c r="B240" s="57"/>
      <c r="C240" s="60"/>
      <c r="D240" s="60"/>
      <c r="E240" s="60"/>
      <c r="F240" s="60"/>
      <c r="G240" s="60"/>
      <c r="J240" s="99"/>
      <c r="K240" s="99"/>
      <c r="L240" s="99"/>
      <c r="M240" s="99"/>
      <c r="N240" s="43">
        <f t="shared" si="3"/>
        <v>0</v>
      </c>
    </row>
    <row r="241" spans="2:14">
      <c r="B241" s="57"/>
      <c r="C241" s="60"/>
      <c r="D241" s="60"/>
      <c r="E241" s="60"/>
      <c r="F241" s="60"/>
      <c r="G241" s="60"/>
      <c r="J241" s="99"/>
      <c r="K241" s="99"/>
      <c r="L241" s="99"/>
      <c r="M241" s="99"/>
      <c r="N241" s="43">
        <f t="shared" si="3"/>
        <v>0</v>
      </c>
    </row>
    <row r="242" spans="2:14">
      <c r="B242" s="57"/>
      <c r="C242" s="60"/>
      <c r="D242" s="60"/>
      <c r="E242" s="60"/>
      <c r="F242" s="60"/>
      <c r="G242" s="60"/>
      <c r="J242" s="99"/>
      <c r="K242" s="99"/>
      <c r="L242" s="99"/>
      <c r="M242" s="99"/>
      <c r="N242" s="43">
        <f t="shared" si="3"/>
        <v>0</v>
      </c>
    </row>
    <row r="243" spans="2:14">
      <c r="B243" s="57"/>
      <c r="C243" s="60"/>
      <c r="D243" s="60"/>
      <c r="E243" s="60"/>
      <c r="F243" s="60"/>
      <c r="G243" s="60"/>
      <c r="J243" s="99"/>
      <c r="K243" s="99"/>
      <c r="L243" s="99"/>
      <c r="M243" s="99"/>
      <c r="N243" s="43">
        <f t="shared" si="3"/>
        <v>0</v>
      </c>
    </row>
    <row r="244" spans="2:14">
      <c r="B244" s="57"/>
      <c r="C244" s="60"/>
      <c r="D244" s="60"/>
      <c r="E244" s="60"/>
      <c r="F244" s="60"/>
      <c r="G244" s="60"/>
      <c r="J244" s="99"/>
      <c r="K244" s="99"/>
      <c r="L244" s="99"/>
      <c r="M244" s="99"/>
      <c r="N244" s="43">
        <f t="shared" si="3"/>
        <v>0</v>
      </c>
    </row>
    <row r="245" spans="2:14">
      <c r="B245" s="57"/>
      <c r="C245" s="60"/>
      <c r="D245" s="60"/>
      <c r="E245" s="60"/>
      <c r="F245" s="60"/>
      <c r="G245" s="60"/>
      <c r="J245" s="99"/>
      <c r="K245" s="99"/>
      <c r="L245" s="99"/>
      <c r="M245" s="99"/>
      <c r="N245" s="43">
        <f t="shared" si="3"/>
        <v>0</v>
      </c>
    </row>
    <row r="246" spans="2:14">
      <c r="B246" s="57"/>
      <c r="C246" s="60"/>
      <c r="D246" s="60"/>
      <c r="E246" s="60"/>
      <c r="F246" s="60"/>
      <c r="G246" s="60"/>
      <c r="J246" s="99"/>
      <c r="K246" s="99"/>
      <c r="L246" s="99"/>
      <c r="M246" s="99"/>
      <c r="N246" s="43">
        <f t="shared" si="3"/>
        <v>0</v>
      </c>
    </row>
    <row r="247" spans="2:14">
      <c r="B247" s="57"/>
      <c r="C247" s="60"/>
      <c r="D247" s="60"/>
      <c r="E247" s="60"/>
      <c r="F247" s="60"/>
      <c r="G247" s="60"/>
      <c r="J247" s="99"/>
      <c r="K247" s="99"/>
      <c r="L247" s="99"/>
      <c r="M247" s="99"/>
      <c r="N247" s="43">
        <f t="shared" si="3"/>
        <v>0</v>
      </c>
    </row>
    <row r="248" spans="2:14">
      <c r="B248" s="57"/>
      <c r="C248" s="60"/>
      <c r="D248" s="60"/>
      <c r="E248" s="60"/>
      <c r="F248" s="60"/>
      <c r="G248" s="60"/>
      <c r="J248" s="99"/>
      <c r="K248" s="99"/>
      <c r="L248" s="99"/>
      <c r="M248" s="99"/>
      <c r="N248" s="43">
        <f t="shared" si="3"/>
        <v>0</v>
      </c>
    </row>
    <row r="249" spans="2:14">
      <c r="B249" s="57"/>
      <c r="C249" s="60"/>
      <c r="D249" s="60"/>
      <c r="E249" s="60"/>
      <c r="F249" s="60"/>
      <c r="G249" s="60"/>
      <c r="J249" s="99"/>
      <c r="K249" s="99"/>
      <c r="L249" s="99"/>
      <c r="M249" s="99"/>
      <c r="N249" s="43">
        <f t="shared" si="3"/>
        <v>0</v>
      </c>
    </row>
    <row r="250" spans="2:14">
      <c r="B250" s="57"/>
      <c r="C250" s="60"/>
      <c r="D250" s="60"/>
      <c r="E250" s="60"/>
      <c r="F250" s="60"/>
      <c r="G250" s="60"/>
      <c r="J250" s="99"/>
      <c r="K250" s="99"/>
      <c r="L250" s="99"/>
      <c r="M250" s="99"/>
      <c r="N250" s="43">
        <f t="shared" si="3"/>
        <v>0</v>
      </c>
    </row>
    <row r="251" spans="2:14">
      <c r="B251" s="57"/>
      <c r="C251" s="60"/>
      <c r="D251" s="60"/>
      <c r="E251" s="60"/>
      <c r="F251" s="60"/>
      <c r="G251" s="60"/>
      <c r="J251" s="99"/>
      <c r="K251" s="99"/>
      <c r="L251" s="99"/>
      <c r="M251" s="99"/>
      <c r="N251" s="43">
        <f t="shared" si="3"/>
        <v>0</v>
      </c>
    </row>
    <row r="252" spans="2:14">
      <c r="B252" s="57"/>
      <c r="C252" s="60"/>
      <c r="D252" s="60"/>
      <c r="E252" s="60"/>
      <c r="F252" s="60"/>
      <c r="G252" s="60"/>
      <c r="J252" s="99"/>
      <c r="K252" s="99"/>
      <c r="L252" s="99"/>
      <c r="M252" s="99"/>
      <c r="N252" s="43">
        <f t="shared" si="3"/>
        <v>0</v>
      </c>
    </row>
    <row r="253" spans="2:14">
      <c r="B253" s="57"/>
      <c r="C253" s="60"/>
      <c r="D253" s="60"/>
      <c r="E253" s="60"/>
      <c r="F253" s="60"/>
      <c r="G253" s="60"/>
      <c r="J253" s="99"/>
      <c r="K253" s="99"/>
      <c r="L253" s="99"/>
      <c r="M253" s="99"/>
      <c r="N253" s="43">
        <f t="shared" si="3"/>
        <v>0</v>
      </c>
    </row>
    <row r="254" spans="2:14">
      <c r="B254" s="57"/>
      <c r="C254" s="60"/>
      <c r="D254" s="60"/>
      <c r="E254" s="60"/>
      <c r="F254" s="60"/>
      <c r="G254" s="60"/>
      <c r="J254" s="99"/>
      <c r="K254" s="99"/>
      <c r="L254" s="99"/>
      <c r="M254" s="99"/>
      <c r="N254" s="43">
        <f t="shared" si="3"/>
        <v>0</v>
      </c>
    </row>
    <row r="255" spans="2:14">
      <c r="B255" s="57"/>
      <c r="C255" s="60"/>
      <c r="D255" s="60"/>
      <c r="E255" s="60"/>
      <c r="F255" s="60"/>
      <c r="G255" s="60"/>
      <c r="J255" s="99"/>
      <c r="K255" s="99"/>
      <c r="L255" s="99"/>
      <c r="M255" s="99"/>
      <c r="N255" s="43">
        <f t="shared" si="3"/>
        <v>0</v>
      </c>
    </row>
    <row r="256" spans="2:14">
      <c r="B256" s="57"/>
      <c r="C256" s="60"/>
      <c r="D256" s="60"/>
      <c r="E256" s="60"/>
      <c r="F256" s="60"/>
      <c r="G256" s="60"/>
      <c r="J256" s="99"/>
      <c r="K256" s="99"/>
      <c r="L256" s="99"/>
      <c r="M256" s="99"/>
      <c r="N256" s="43">
        <f t="shared" si="3"/>
        <v>0</v>
      </c>
    </row>
    <row r="257" spans="2:14">
      <c r="B257" s="57"/>
      <c r="C257" s="60"/>
      <c r="D257" s="60"/>
      <c r="E257" s="60"/>
      <c r="F257" s="60"/>
      <c r="G257" s="60"/>
      <c r="J257" s="99"/>
      <c r="K257" s="99"/>
      <c r="L257" s="99"/>
      <c r="M257" s="99"/>
      <c r="N257" s="43">
        <f t="shared" si="3"/>
        <v>0</v>
      </c>
    </row>
    <row r="258" spans="2:14">
      <c r="B258" s="57"/>
      <c r="C258" s="60"/>
      <c r="D258" s="60"/>
      <c r="E258" s="60"/>
      <c r="F258" s="60"/>
      <c r="G258" s="60"/>
      <c r="J258" s="99"/>
      <c r="K258" s="99"/>
      <c r="L258" s="99"/>
      <c r="M258" s="99"/>
      <c r="N258" s="43">
        <f t="shared" si="3"/>
        <v>0</v>
      </c>
    </row>
    <row r="259" spans="2:14">
      <c r="B259" s="57"/>
      <c r="C259" s="60"/>
      <c r="D259" s="60"/>
      <c r="E259" s="60"/>
      <c r="F259" s="60"/>
      <c r="G259" s="60"/>
      <c r="J259" s="99"/>
      <c r="K259" s="99"/>
      <c r="L259" s="99"/>
      <c r="M259" s="99"/>
      <c r="N259" s="43">
        <f t="shared" si="3"/>
        <v>0</v>
      </c>
    </row>
    <row r="260" spans="2:14">
      <c r="B260" s="57"/>
      <c r="C260" s="60"/>
      <c r="D260" s="60"/>
      <c r="E260" s="60"/>
      <c r="F260" s="60"/>
      <c r="G260" s="60"/>
      <c r="J260" s="99"/>
      <c r="K260" s="99"/>
      <c r="L260" s="99"/>
      <c r="M260" s="99"/>
      <c r="N260" s="43">
        <f t="shared" si="3"/>
        <v>0</v>
      </c>
    </row>
    <row r="261" spans="2:14">
      <c r="B261" s="57"/>
      <c r="C261" s="60"/>
      <c r="D261" s="60"/>
      <c r="E261" s="60"/>
      <c r="F261" s="60"/>
      <c r="G261" s="60"/>
      <c r="J261" s="99"/>
      <c r="K261" s="99"/>
      <c r="L261" s="99"/>
      <c r="M261" s="99"/>
      <c r="N261" s="43">
        <f t="shared" si="3"/>
        <v>0</v>
      </c>
    </row>
    <row r="262" spans="2:14">
      <c r="B262" s="57"/>
      <c r="C262" s="60"/>
      <c r="D262" s="60"/>
      <c r="E262" s="60"/>
      <c r="F262" s="60"/>
      <c r="G262" s="60"/>
      <c r="J262" s="99"/>
      <c r="K262" s="99"/>
      <c r="L262" s="99"/>
      <c r="M262" s="99"/>
      <c r="N262" s="43">
        <f t="shared" si="3"/>
        <v>0</v>
      </c>
    </row>
    <row r="263" spans="2:14">
      <c r="B263" s="57"/>
      <c r="C263" s="60"/>
      <c r="D263" s="60"/>
      <c r="E263" s="60"/>
      <c r="F263" s="60"/>
      <c r="G263" s="60"/>
      <c r="J263" s="99"/>
      <c r="K263" s="99"/>
      <c r="L263" s="99"/>
      <c r="M263" s="99"/>
      <c r="N263" s="43">
        <f t="shared" si="3"/>
        <v>0</v>
      </c>
    </row>
    <row r="264" spans="2:14">
      <c r="B264" s="57"/>
      <c r="C264" s="60"/>
      <c r="D264" s="60"/>
      <c r="E264" s="60"/>
      <c r="F264" s="60"/>
      <c r="G264" s="60"/>
      <c r="J264" s="99"/>
      <c r="K264" s="99"/>
      <c r="L264" s="99"/>
      <c r="M264" s="99"/>
      <c r="N264" s="43">
        <f t="shared" si="3"/>
        <v>0</v>
      </c>
    </row>
    <row r="265" spans="2:14">
      <c r="B265" s="57"/>
      <c r="C265" s="60"/>
      <c r="D265" s="60"/>
      <c r="E265" s="60"/>
      <c r="F265" s="60"/>
      <c r="G265" s="60"/>
      <c r="J265" s="99"/>
      <c r="K265" s="99"/>
      <c r="L265" s="99"/>
      <c r="M265" s="99"/>
      <c r="N265" s="43">
        <f t="shared" si="3"/>
        <v>0</v>
      </c>
    </row>
    <row r="266" spans="2:14">
      <c r="B266" s="57"/>
      <c r="C266" s="60"/>
      <c r="D266" s="60"/>
      <c r="E266" s="60"/>
      <c r="F266" s="60"/>
      <c r="G266" s="60"/>
      <c r="J266" s="99"/>
      <c r="K266" s="99"/>
      <c r="L266" s="99"/>
      <c r="M266" s="99"/>
      <c r="N266" s="43">
        <f t="shared" si="3"/>
        <v>0</v>
      </c>
    </row>
    <row r="267" spans="2:14">
      <c r="B267" s="57"/>
      <c r="C267" s="60"/>
      <c r="D267" s="60"/>
      <c r="E267" s="60"/>
      <c r="F267" s="60"/>
      <c r="G267" s="60"/>
      <c r="J267" s="99"/>
      <c r="K267" s="99"/>
      <c r="L267" s="99"/>
      <c r="M267" s="99"/>
      <c r="N267" s="43">
        <f t="shared" ref="N267:N330" si="4">IF($L$4=$C$10,C267,IF(D267="","",B267))</f>
        <v>0</v>
      </c>
    </row>
    <row r="268" spans="2:14">
      <c r="B268" s="57"/>
      <c r="C268" s="60"/>
      <c r="D268" s="60"/>
      <c r="E268" s="60"/>
      <c r="F268" s="60"/>
      <c r="G268" s="60"/>
      <c r="J268" s="99"/>
      <c r="K268" s="99"/>
      <c r="L268" s="99"/>
      <c r="M268" s="99"/>
      <c r="N268" s="43">
        <f t="shared" si="4"/>
        <v>0</v>
      </c>
    </row>
    <row r="269" spans="2:14">
      <c r="B269" s="57"/>
      <c r="C269" s="60"/>
      <c r="D269" s="60"/>
      <c r="E269" s="60"/>
      <c r="F269" s="60"/>
      <c r="G269" s="60"/>
      <c r="J269" s="99"/>
      <c r="K269" s="99"/>
      <c r="L269" s="99"/>
      <c r="M269" s="99"/>
      <c r="N269" s="43">
        <f t="shared" si="4"/>
        <v>0</v>
      </c>
    </row>
    <row r="270" spans="2:14">
      <c r="B270" s="57"/>
      <c r="C270" s="60"/>
      <c r="D270" s="60"/>
      <c r="E270" s="60"/>
      <c r="F270" s="60"/>
      <c r="G270" s="60"/>
      <c r="J270" s="99"/>
      <c r="K270" s="99"/>
      <c r="L270" s="99"/>
      <c r="M270" s="99"/>
      <c r="N270" s="43">
        <f t="shared" si="4"/>
        <v>0</v>
      </c>
    </row>
    <row r="271" spans="2:14">
      <c r="B271" s="57"/>
      <c r="C271" s="60"/>
      <c r="D271" s="60"/>
      <c r="E271" s="60"/>
      <c r="F271" s="60"/>
      <c r="G271" s="60"/>
      <c r="J271" s="99"/>
      <c r="K271" s="99"/>
      <c r="L271" s="99"/>
      <c r="M271" s="99"/>
      <c r="N271" s="43">
        <f t="shared" si="4"/>
        <v>0</v>
      </c>
    </row>
    <row r="272" spans="2:14">
      <c r="B272" s="57"/>
      <c r="C272" s="60"/>
      <c r="D272" s="60"/>
      <c r="E272" s="60"/>
      <c r="F272" s="60"/>
      <c r="G272" s="60"/>
      <c r="J272" s="99"/>
      <c r="K272" s="99"/>
      <c r="L272" s="99"/>
      <c r="M272" s="99"/>
      <c r="N272" s="43">
        <f t="shared" si="4"/>
        <v>0</v>
      </c>
    </row>
    <row r="273" spans="2:14">
      <c r="B273" s="57"/>
      <c r="C273" s="60"/>
      <c r="D273" s="60"/>
      <c r="E273" s="60"/>
      <c r="F273" s="60"/>
      <c r="G273" s="60"/>
      <c r="J273" s="99"/>
      <c r="K273" s="99"/>
      <c r="L273" s="99"/>
      <c r="M273" s="99"/>
      <c r="N273" s="43">
        <f t="shared" si="4"/>
        <v>0</v>
      </c>
    </row>
    <row r="274" spans="2:14">
      <c r="B274" s="57"/>
      <c r="C274" s="60"/>
      <c r="D274" s="60"/>
      <c r="E274" s="60"/>
      <c r="F274" s="60"/>
      <c r="G274" s="60"/>
      <c r="J274" s="99"/>
      <c r="K274" s="99"/>
      <c r="L274" s="99"/>
      <c r="M274" s="99"/>
      <c r="N274" s="43">
        <f t="shared" si="4"/>
        <v>0</v>
      </c>
    </row>
    <row r="275" spans="2:14">
      <c r="B275" s="57"/>
      <c r="C275" s="60"/>
      <c r="D275" s="60"/>
      <c r="E275" s="60"/>
      <c r="F275" s="60"/>
      <c r="G275" s="60"/>
      <c r="J275" s="99"/>
      <c r="K275" s="99"/>
      <c r="L275" s="99"/>
      <c r="M275" s="99"/>
      <c r="N275" s="43">
        <f t="shared" si="4"/>
        <v>0</v>
      </c>
    </row>
    <row r="276" spans="2:14">
      <c r="B276" s="57"/>
      <c r="C276" s="60"/>
      <c r="D276" s="60"/>
      <c r="E276" s="60"/>
      <c r="F276" s="60"/>
      <c r="G276" s="60"/>
      <c r="J276" s="99"/>
      <c r="K276" s="99"/>
      <c r="L276" s="99"/>
      <c r="M276" s="99"/>
      <c r="N276" s="43">
        <f t="shared" si="4"/>
        <v>0</v>
      </c>
    </row>
    <row r="277" spans="2:14">
      <c r="B277" s="57"/>
      <c r="C277" s="60"/>
      <c r="D277" s="60"/>
      <c r="E277" s="60"/>
      <c r="F277" s="60"/>
      <c r="G277" s="60"/>
      <c r="J277" s="99"/>
      <c r="K277" s="99"/>
      <c r="L277" s="99"/>
      <c r="M277" s="99"/>
      <c r="N277" s="43">
        <f t="shared" si="4"/>
        <v>0</v>
      </c>
    </row>
    <row r="278" spans="2:14">
      <c r="B278" s="57"/>
      <c r="C278" s="60"/>
      <c r="D278" s="60"/>
      <c r="E278" s="60"/>
      <c r="F278" s="60"/>
      <c r="G278" s="60"/>
      <c r="J278" s="99"/>
      <c r="K278" s="99"/>
      <c r="L278" s="99"/>
      <c r="M278" s="99"/>
      <c r="N278" s="43">
        <f t="shared" si="4"/>
        <v>0</v>
      </c>
    </row>
    <row r="279" spans="2:14">
      <c r="B279" s="57"/>
      <c r="C279" s="60"/>
      <c r="D279" s="60"/>
      <c r="E279" s="60"/>
      <c r="F279" s="60"/>
      <c r="G279" s="60"/>
      <c r="J279" s="99"/>
      <c r="K279" s="99"/>
      <c r="L279" s="99"/>
      <c r="M279" s="99"/>
      <c r="N279" s="43">
        <f t="shared" si="4"/>
        <v>0</v>
      </c>
    </row>
    <row r="280" spans="2:14">
      <c r="B280" s="57"/>
      <c r="C280" s="60"/>
      <c r="D280" s="60"/>
      <c r="E280" s="60"/>
      <c r="F280" s="60"/>
      <c r="G280" s="60"/>
      <c r="J280" s="99"/>
      <c r="K280" s="99"/>
      <c r="L280" s="99"/>
      <c r="M280" s="99"/>
      <c r="N280" s="43">
        <f t="shared" si="4"/>
        <v>0</v>
      </c>
    </row>
    <row r="281" spans="2:14">
      <c r="B281" s="57"/>
      <c r="C281" s="60"/>
      <c r="D281" s="60"/>
      <c r="E281" s="60"/>
      <c r="F281" s="60"/>
      <c r="G281" s="60"/>
      <c r="J281" s="99"/>
      <c r="K281" s="99"/>
      <c r="L281" s="99"/>
      <c r="M281" s="99"/>
      <c r="N281" s="43">
        <f t="shared" si="4"/>
        <v>0</v>
      </c>
    </row>
    <row r="282" spans="2:14">
      <c r="B282" s="57"/>
      <c r="C282" s="60"/>
      <c r="D282" s="60"/>
      <c r="E282" s="60"/>
      <c r="F282" s="60"/>
      <c r="G282" s="60"/>
      <c r="J282" s="99"/>
      <c r="K282" s="99"/>
      <c r="L282" s="99"/>
      <c r="M282" s="99"/>
      <c r="N282" s="43">
        <f t="shared" si="4"/>
        <v>0</v>
      </c>
    </row>
    <row r="283" spans="2:14">
      <c r="B283" s="57"/>
      <c r="C283" s="60"/>
      <c r="D283" s="60"/>
      <c r="E283" s="60"/>
      <c r="F283" s="60"/>
      <c r="G283" s="60"/>
      <c r="J283" s="99"/>
      <c r="K283" s="99"/>
      <c r="L283" s="99"/>
      <c r="M283" s="99"/>
      <c r="N283" s="43">
        <f t="shared" si="4"/>
        <v>0</v>
      </c>
    </row>
    <row r="284" spans="2:14">
      <c r="B284" s="57"/>
      <c r="C284" s="60"/>
      <c r="D284" s="60"/>
      <c r="E284" s="60"/>
      <c r="F284" s="60"/>
      <c r="G284" s="60"/>
      <c r="J284" s="99"/>
      <c r="K284" s="99"/>
      <c r="L284" s="99"/>
      <c r="M284" s="99"/>
      <c r="N284" s="43">
        <f t="shared" si="4"/>
        <v>0</v>
      </c>
    </row>
    <row r="285" spans="2:14">
      <c r="B285" s="57"/>
      <c r="C285" s="60"/>
      <c r="D285" s="60"/>
      <c r="E285" s="60"/>
      <c r="F285" s="60"/>
      <c r="G285" s="60"/>
      <c r="J285" s="99"/>
      <c r="K285" s="99"/>
      <c r="L285" s="99"/>
      <c r="M285" s="99"/>
      <c r="N285" s="43">
        <f t="shared" si="4"/>
        <v>0</v>
      </c>
    </row>
    <row r="286" spans="2:14">
      <c r="B286" s="57"/>
      <c r="C286" s="60"/>
      <c r="D286" s="60"/>
      <c r="E286" s="60"/>
      <c r="F286" s="60"/>
      <c r="G286" s="60"/>
      <c r="J286" s="99"/>
      <c r="K286" s="99"/>
      <c r="L286" s="99"/>
      <c r="M286" s="99"/>
      <c r="N286" s="43">
        <f t="shared" si="4"/>
        <v>0</v>
      </c>
    </row>
    <row r="287" spans="2:14">
      <c r="B287" s="57"/>
      <c r="C287" s="60"/>
      <c r="D287" s="60"/>
      <c r="E287" s="60"/>
      <c r="F287" s="60"/>
      <c r="G287" s="60"/>
      <c r="J287" s="99"/>
      <c r="K287" s="99"/>
      <c r="L287" s="99"/>
      <c r="M287" s="99"/>
      <c r="N287" s="43">
        <f t="shared" si="4"/>
        <v>0</v>
      </c>
    </row>
    <row r="288" spans="2:14">
      <c r="B288" s="57"/>
      <c r="C288" s="60"/>
      <c r="D288" s="60"/>
      <c r="E288" s="60"/>
      <c r="F288" s="60"/>
      <c r="G288" s="60"/>
      <c r="J288" s="99"/>
      <c r="K288" s="99"/>
      <c r="L288" s="99"/>
      <c r="M288" s="99"/>
      <c r="N288" s="43">
        <f t="shared" si="4"/>
        <v>0</v>
      </c>
    </row>
    <row r="289" spans="2:14">
      <c r="B289" s="57"/>
      <c r="C289" s="60"/>
      <c r="D289" s="60"/>
      <c r="E289" s="60"/>
      <c r="F289" s="60"/>
      <c r="G289" s="60"/>
      <c r="J289" s="99"/>
      <c r="K289" s="99"/>
      <c r="L289" s="99"/>
      <c r="M289" s="99"/>
      <c r="N289" s="43">
        <f t="shared" si="4"/>
        <v>0</v>
      </c>
    </row>
    <row r="290" spans="2:14">
      <c r="B290" s="57"/>
      <c r="C290" s="60"/>
      <c r="D290" s="60"/>
      <c r="E290" s="60"/>
      <c r="F290" s="60"/>
      <c r="G290" s="60"/>
      <c r="J290" s="99"/>
      <c r="K290" s="99"/>
      <c r="L290" s="99"/>
      <c r="M290" s="99"/>
      <c r="N290" s="43">
        <f t="shared" si="4"/>
        <v>0</v>
      </c>
    </row>
    <row r="291" spans="2:14">
      <c r="B291" s="57"/>
      <c r="C291" s="60"/>
      <c r="D291" s="60"/>
      <c r="E291" s="60"/>
      <c r="F291" s="60"/>
      <c r="G291" s="60"/>
      <c r="J291" s="99"/>
      <c r="K291" s="99"/>
      <c r="L291" s="99"/>
      <c r="M291" s="99"/>
      <c r="N291" s="43">
        <f t="shared" si="4"/>
        <v>0</v>
      </c>
    </row>
    <row r="292" spans="2:14">
      <c r="B292" s="57"/>
      <c r="C292" s="60"/>
      <c r="D292" s="60"/>
      <c r="E292" s="60"/>
      <c r="F292" s="60"/>
      <c r="G292" s="60"/>
      <c r="J292" s="99"/>
      <c r="K292" s="99"/>
      <c r="L292" s="99"/>
      <c r="M292" s="99"/>
      <c r="N292" s="43">
        <f t="shared" si="4"/>
        <v>0</v>
      </c>
    </row>
    <row r="293" spans="2:14">
      <c r="B293" s="57"/>
      <c r="C293" s="60"/>
      <c r="D293" s="60"/>
      <c r="E293" s="60"/>
      <c r="F293" s="60"/>
      <c r="G293" s="60"/>
      <c r="J293" s="99"/>
      <c r="K293" s="99"/>
      <c r="L293" s="99"/>
      <c r="M293" s="99"/>
      <c r="N293" s="43">
        <f t="shared" si="4"/>
        <v>0</v>
      </c>
    </row>
    <row r="294" spans="2:14">
      <c r="B294" s="57"/>
      <c r="C294" s="60"/>
      <c r="D294" s="60"/>
      <c r="E294" s="60"/>
      <c r="F294" s="60"/>
      <c r="G294" s="60"/>
      <c r="J294" s="99"/>
      <c r="K294" s="99"/>
      <c r="L294" s="99"/>
      <c r="M294" s="99"/>
      <c r="N294" s="43">
        <f t="shared" si="4"/>
        <v>0</v>
      </c>
    </row>
    <row r="295" spans="2:14">
      <c r="B295" s="57"/>
      <c r="C295" s="60"/>
      <c r="D295" s="60"/>
      <c r="E295" s="60"/>
      <c r="F295" s="60"/>
      <c r="G295" s="60"/>
      <c r="J295" s="99"/>
      <c r="K295" s="99"/>
      <c r="L295" s="99"/>
      <c r="M295" s="99"/>
      <c r="N295" s="43">
        <f t="shared" si="4"/>
        <v>0</v>
      </c>
    </row>
    <row r="296" spans="2:14">
      <c r="B296" s="57"/>
      <c r="C296" s="60"/>
      <c r="D296" s="60"/>
      <c r="E296" s="60"/>
      <c r="F296" s="60"/>
      <c r="G296" s="60"/>
      <c r="J296" s="99"/>
      <c r="K296" s="99"/>
      <c r="L296" s="99"/>
      <c r="M296" s="99"/>
      <c r="N296" s="43">
        <f t="shared" si="4"/>
        <v>0</v>
      </c>
    </row>
    <row r="297" spans="2:14">
      <c r="B297" s="57"/>
      <c r="C297" s="60"/>
      <c r="D297" s="60"/>
      <c r="E297" s="60"/>
      <c r="F297" s="60"/>
      <c r="G297" s="60"/>
      <c r="J297" s="99"/>
      <c r="K297" s="99"/>
      <c r="L297" s="99"/>
      <c r="M297" s="99"/>
      <c r="N297" s="43">
        <f t="shared" si="4"/>
        <v>0</v>
      </c>
    </row>
    <row r="298" spans="2:14">
      <c r="B298" s="57"/>
      <c r="C298" s="60"/>
      <c r="D298" s="60"/>
      <c r="E298" s="60"/>
      <c r="F298" s="60"/>
      <c r="G298" s="60"/>
      <c r="J298" s="99"/>
      <c r="K298" s="99"/>
      <c r="L298" s="99"/>
      <c r="M298" s="99"/>
      <c r="N298" s="43">
        <f t="shared" si="4"/>
        <v>0</v>
      </c>
    </row>
    <row r="299" spans="2:14">
      <c r="B299" s="57"/>
      <c r="C299" s="60"/>
      <c r="D299" s="60"/>
      <c r="E299" s="60"/>
      <c r="F299" s="60"/>
      <c r="G299" s="60"/>
      <c r="J299" s="99"/>
      <c r="K299" s="99"/>
      <c r="L299" s="99"/>
      <c r="M299" s="99"/>
      <c r="N299" s="43">
        <f t="shared" si="4"/>
        <v>0</v>
      </c>
    </row>
    <row r="300" spans="2:14">
      <c r="B300" s="57"/>
      <c r="C300" s="60"/>
      <c r="D300" s="60"/>
      <c r="E300" s="60"/>
      <c r="F300" s="60"/>
      <c r="G300" s="60"/>
      <c r="J300" s="99"/>
      <c r="K300" s="99"/>
      <c r="L300" s="99"/>
      <c r="M300" s="99"/>
      <c r="N300" s="43">
        <f t="shared" si="4"/>
        <v>0</v>
      </c>
    </row>
    <row r="301" spans="2:14">
      <c r="B301" s="57"/>
      <c r="C301" s="60"/>
      <c r="D301" s="60"/>
      <c r="E301" s="60"/>
      <c r="F301" s="60"/>
      <c r="G301" s="60"/>
      <c r="J301" s="99"/>
      <c r="K301" s="99"/>
      <c r="L301" s="99"/>
      <c r="M301" s="99"/>
      <c r="N301" s="43">
        <f t="shared" si="4"/>
        <v>0</v>
      </c>
    </row>
    <row r="302" spans="2:14">
      <c r="B302" s="57"/>
      <c r="C302" s="60"/>
      <c r="D302" s="60"/>
      <c r="E302" s="60"/>
      <c r="F302" s="60"/>
      <c r="G302" s="60"/>
      <c r="J302" s="99"/>
      <c r="K302" s="99"/>
      <c r="L302" s="99"/>
      <c r="M302" s="99"/>
      <c r="N302" s="43">
        <f t="shared" si="4"/>
        <v>0</v>
      </c>
    </row>
    <row r="303" spans="2:14">
      <c r="B303" s="57"/>
      <c r="C303" s="60"/>
      <c r="D303" s="60"/>
      <c r="E303" s="60"/>
      <c r="F303" s="60"/>
      <c r="G303" s="60"/>
      <c r="J303" s="99"/>
      <c r="K303" s="99"/>
      <c r="L303" s="99"/>
      <c r="M303" s="99"/>
      <c r="N303" s="43">
        <f t="shared" si="4"/>
        <v>0</v>
      </c>
    </row>
    <row r="304" spans="2:14">
      <c r="B304" s="57"/>
      <c r="C304" s="60"/>
      <c r="D304" s="60"/>
      <c r="E304" s="60"/>
      <c r="F304" s="60"/>
      <c r="G304" s="60"/>
      <c r="J304" s="99"/>
      <c r="K304" s="99"/>
      <c r="L304" s="99"/>
      <c r="M304" s="99"/>
      <c r="N304" s="43">
        <f t="shared" si="4"/>
        <v>0</v>
      </c>
    </row>
    <row r="305" spans="2:14">
      <c r="B305" s="57"/>
      <c r="C305" s="60"/>
      <c r="D305" s="60"/>
      <c r="E305" s="60"/>
      <c r="F305" s="60"/>
      <c r="G305" s="60"/>
      <c r="J305" s="99"/>
      <c r="K305" s="99"/>
      <c r="L305" s="99"/>
      <c r="M305" s="99"/>
      <c r="N305" s="43">
        <f t="shared" si="4"/>
        <v>0</v>
      </c>
    </row>
    <row r="306" spans="2:14">
      <c r="B306" s="57"/>
      <c r="C306" s="60"/>
      <c r="D306" s="60"/>
      <c r="E306" s="60"/>
      <c r="F306" s="60"/>
      <c r="G306" s="60"/>
      <c r="J306" s="99"/>
      <c r="K306" s="99"/>
      <c r="L306" s="99"/>
      <c r="M306" s="99"/>
      <c r="N306" s="43">
        <f t="shared" si="4"/>
        <v>0</v>
      </c>
    </row>
    <row r="307" spans="2:14">
      <c r="B307" s="57"/>
      <c r="C307" s="60"/>
      <c r="D307" s="60"/>
      <c r="E307" s="60"/>
      <c r="F307" s="60"/>
      <c r="G307" s="60"/>
      <c r="J307" s="99"/>
      <c r="K307" s="99"/>
      <c r="L307" s="99"/>
      <c r="M307" s="99"/>
      <c r="N307" s="43">
        <f t="shared" si="4"/>
        <v>0</v>
      </c>
    </row>
    <row r="308" spans="2:14">
      <c r="B308" s="57"/>
      <c r="C308" s="60"/>
      <c r="D308" s="60"/>
      <c r="E308" s="60"/>
      <c r="F308" s="60"/>
      <c r="G308" s="60"/>
      <c r="J308" s="99"/>
      <c r="K308" s="99"/>
      <c r="L308" s="99"/>
      <c r="M308" s="99"/>
      <c r="N308" s="43">
        <f t="shared" si="4"/>
        <v>0</v>
      </c>
    </row>
    <row r="309" spans="2:14">
      <c r="B309" s="57"/>
      <c r="C309" s="60"/>
      <c r="D309" s="60"/>
      <c r="E309" s="60"/>
      <c r="F309" s="60"/>
      <c r="G309" s="60"/>
      <c r="J309" s="99"/>
      <c r="K309" s="99"/>
      <c r="L309" s="99"/>
      <c r="M309" s="99"/>
      <c r="N309" s="43">
        <f t="shared" si="4"/>
        <v>0</v>
      </c>
    </row>
    <row r="310" spans="2:14">
      <c r="B310" s="57"/>
      <c r="C310" s="60"/>
      <c r="D310" s="60"/>
      <c r="E310" s="60"/>
      <c r="F310" s="60"/>
      <c r="G310" s="60"/>
      <c r="J310" s="99"/>
      <c r="K310" s="99"/>
      <c r="L310" s="99"/>
      <c r="M310" s="99"/>
      <c r="N310" s="43">
        <f t="shared" si="4"/>
        <v>0</v>
      </c>
    </row>
    <row r="311" spans="2:14">
      <c r="B311" s="57"/>
      <c r="C311" s="60"/>
      <c r="D311" s="60"/>
      <c r="E311" s="60"/>
      <c r="F311" s="60"/>
      <c r="G311" s="60"/>
      <c r="J311" s="99"/>
      <c r="K311" s="99"/>
      <c r="L311" s="99"/>
      <c r="M311" s="99"/>
      <c r="N311" s="43">
        <f t="shared" si="4"/>
        <v>0</v>
      </c>
    </row>
    <row r="312" spans="2:14">
      <c r="B312" s="57"/>
      <c r="C312" s="60"/>
      <c r="D312" s="60"/>
      <c r="E312" s="60"/>
      <c r="F312" s="60"/>
      <c r="G312" s="60"/>
      <c r="J312" s="99"/>
      <c r="K312" s="99"/>
      <c r="L312" s="99"/>
      <c r="M312" s="99"/>
      <c r="N312" s="43">
        <f t="shared" si="4"/>
        <v>0</v>
      </c>
    </row>
    <row r="313" spans="2:14">
      <c r="B313" s="57"/>
      <c r="C313" s="60"/>
      <c r="D313" s="60"/>
      <c r="E313" s="60"/>
      <c r="F313" s="60"/>
      <c r="G313" s="60"/>
      <c r="J313" s="99"/>
      <c r="K313" s="99"/>
      <c r="L313" s="99"/>
      <c r="M313" s="99"/>
      <c r="N313" s="43">
        <f t="shared" si="4"/>
        <v>0</v>
      </c>
    </row>
    <row r="314" spans="2:14">
      <c r="B314" s="57"/>
      <c r="C314" s="60"/>
      <c r="D314" s="60"/>
      <c r="E314" s="60"/>
      <c r="F314" s="60"/>
      <c r="G314" s="60"/>
      <c r="J314" s="99"/>
      <c r="K314" s="99"/>
      <c r="L314" s="99"/>
      <c r="M314" s="99"/>
      <c r="N314" s="43">
        <f t="shared" si="4"/>
        <v>0</v>
      </c>
    </row>
    <row r="315" spans="2:14">
      <c r="B315" s="57"/>
      <c r="C315" s="60"/>
      <c r="D315" s="60"/>
      <c r="E315" s="60"/>
      <c r="F315" s="60"/>
      <c r="G315" s="60"/>
      <c r="J315" s="99"/>
      <c r="K315" s="99"/>
      <c r="L315" s="99"/>
      <c r="M315" s="99"/>
      <c r="N315" s="43">
        <f t="shared" si="4"/>
        <v>0</v>
      </c>
    </row>
    <row r="316" spans="2:14">
      <c r="B316" s="57"/>
      <c r="C316" s="60"/>
      <c r="D316" s="60"/>
      <c r="E316" s="60"/>
      <c r="F316" s="60"/>
      <c r="G316" s="60"/>
      <c r="J316" s="99"/>
      <c r="K316" s="99"/>
      <c r="L316" s="99"/>
      <c r="M316" s="99"/>
      <c r="N316" s="43">
        <f t="shared" si="4"/>
        <v>0</v>
      </c>
    </row>
    <row r="317" spans="2:14">
      <c r="B317" s="57"/>
      <c r="C317" s="60"/>
      <c r="D317" s="60"/>
      <c r="E317" s="60"/>
      <c r="F317" s="60"/>
      <c r="G317" s="60"/>
      <c r="J317" s="99"/>
      <c r="K317" s="99"/>
      <c r="L317" s="99"/>
      <c r="M317" s="99"/>
      <c r="N317" s="43">
        <f t="shared" si="4"/>
        <v>0</v>
      </c>
    </row>
    <row r="318" spans="2:14">
      <c r="B318" s="57"/>
      <c r="C318" s="60"/>
      <c r="D318" s="60"/>
      <c r="E318" s="60"/>
      <c r="F318" s="60"/>
      <c r="G318" s="60"/>
      <c r="J318" s="99"/>
      <c r="K318" s="99"/>
      <c r="L318" s="99"/>
      <c r="M318" s="99"/>
      <c r="N318" s="43">
        <f t="shared" si="4"/>
        <v>0</v>
      </c>
    </row>
    <row r="319" spans="2:14">
      <c r="B319" s="57"/>
      <c r="C319" s="60"/>
      <c r="D319" s="60"/>
      <c r="E319" s="60"/>
      <c r="F319" s="60"/>
      <c r="G319" s="60"/>
      <c r="J319" s="99"/>
      <c r="K319" s="99"/>
      <c r="L319" s="99"/>
      <c r="M319" s="99"/>
      <c r="N319" s="43">
        <f t="shared" si="4"/>
        <v>0</v>
      </c>
    </row>
    <row r="320" spans="2:14">
      <c r="B320" s="57"/>
      <c r="C320" s="60"/>
      <c r="D320" s="60"/>
      <c r="E320" s="60"/>
      <c r="F320" s="60"/>
      <c r="G320" s="60"/>
      <c r="J320" s="99"/>
      <c r="K320" s="99"/>
      <c r="L320" s="99"/>
      <c r="M320" s="99"/>
      <c r="N320" s="43">
        <f t="shared" si="4"/>
        <v>0</v>
      </c>
    </row>
    <row r="321" spans="2:14">
      <c r="B321" s="57"/>
      <c r="C321" s="60"/>
      <c r="D321" s="60"/>
      <c r="E321" s="60"/>
      <c r="F321" s="60"/>
      <c r="G321" s="60"/>
      <c r="J321" s="99"/>
      <c r="K321" s="99"/>
      <c r="L321" s="99"/>
      <c r="M321" s="99"/>
      <c r="N321" s="43">
        <f t="shared" si="4"/>
        <v>0</v>
      </c>
    </row>
    <row r="322" spans="2:14">
      <c r="B322" s="57"/>
      <c r="C322" s="60"/>
      <c r="D322" s="60"/>
      <c r="E322" s="60"/>
      <c r="F322" s="60"/>
      <c r="G322" s="60"/>
      <c r="J322" s="99"/>
      <c r="K322" s="99"/>
      <c r="L322" s="99"/>
      <c r="M322" s="99"/>
      <c r="N322" s="43">
        <f t="shared" si="4"/>
        <v>0</v>
      </c>
    </row>
    <row r="323" spans="2:14">
      <c r="B323" s="57"/>
      <c r="C323" s="60"/>
      <c r="D323" s="60"/>
      <c r="E323" s="60"/>
      <c r="F323" s="60"/>
      <c r="G323" s="60"/>
      <c r="J323" s="99"/>
      <c r="K323" s="99"/>
      <c r="L323" s="99"/>
      <c r="M323" s="99"/>
      <c r="N323" s="43">
        <f t="shared" si="4"/>
        <v>0</v>
      </c>
    </row>
    <row r="324" spans="2:14">
      <c r="B324" s="57"/>
      <c r="C324" s="60"/>
      <c r="D324" s="60"/>
      <c r="E324" s="60"/>
      <c r="F324" s="60"/>
      <c r="G324" s="60"/>
      <c r="J324" s="99"/>
      <c r="K324" s="99"/>
      <c r="L324" s="99"/>
      <c r="M324" s="99"/>
      <c r="N324" s="43">
        <f t="shared" si="4"/>
        <v>0</v>
      </c>
    </row>
    <row r="325" spans="2:14">
      <c r="B325" s="57"/>
      <c r="C325" s="60"/>
      <c r="D325" s="60"/>
      <c r="E325" s="60"/>
      <c r="F325" s="60"/>
      <c r="G325" s="60"/>
      <c r="J325" s="99"/>
      <c r="K325" s="99"/>
      <c r="L325" s="99"/>
      <c r="M325" s="99"/>
      <c r="N325" s="43">
        <f t="shared" si="4"/>
        <v>0</v>
      </c>
    </row>
    <row r="326" spans="2:14">
      <c r="B326" s="57"/>
      <c r="C326" s="60"/>
      <c r="D326" s="60"/>
      <c r="E326" s="60"/>
      <c r="F326" s="60"/>
      <c r="G326" s="60"/>
      <c r="J326" s="99"/>
      <c r="K326" s="99"/>
      <c r="L326" s="99"/>
      <c r="M326" s="99"/>
      <c r="N326" s="43">
        <f t="shared" si="4"/>
        <v>0</v>
      </c>
    </row>
    <row r="327" spans="2:14">
      <c r="B327" s="57"/>
      <c r="C327" s="60"/>
      <c r="D327" s="60"/>
      <c r="E327" s="60"/>
      <c r="F327" s="60"/>
      <c r="G327" s="60"/>
      <c r="J327" s="99"/>
      <c r="K327" s="99"/>
      <c r="L327" s="99"/>
      <c r="M327" s="99"/>
      <c r="N327" s="43">
        <f t="shared" si="4"/>
        <v>0</v>
      </c>
    </row>
    <row r="328" spans="2:14">
      <c r="B328" s="57"/>
      <c r="C328" s="60"/>
      <c r="D328" s="60"/>
      <c r="E328" s="60"/>
      <c r="F328" s="60"/>
      <c r="G328" s="60"/>
      <c r="J328" s="99"/>
      <c r="K328" s="99"/>
      <c r="L328" s="99"/>
      <c r="M328" s="99"/>
      <c r="N328" s="43">
        <f t="shared" si="4"/>
        <v>0</v>
      </c>
    </row>
    <row r="329" spans="2:14">
      <c r="B329" s="57"/>
      <c r="C329" s="60"/>
      <c r="D329" s="60"/>
      <c r="E329" s="60"/>
      <c r="F329" s="60"/>
      <c r="G329" s="60"/>
      <c r="J329" s="99"/>
      <c r="K329" s="99"/>
      <c r="L329" s="99"/>
      <c r="M329" s="99"/>
      <c r="N329" s="43">
        <f t="shared" si="4"/>
        <v>0</v>
      </c>
    </row>
    <row r="330" spans="2:14">
      <c r="B330" s="57"/>
      <c r="C330" s="60"/>
      <c r="D330" s="60"/>
      <c r="E330" s="60"/>
      <c r="F330" s="60"/>
      <c r="G330" s="60"/>
      <c r="J330" s="99"/>
      <c r="K330" s="99"/>
      <c r="L330" s="99"/>
      <c r="M330" s="99"/>
      <c r="N330" s="43">
        <f t="shared" si="4"/>
        <v>0</v>
      </c>
    </row>
    <row r="331" spans="2:14">
      <c r="B331" s="57"/>
      <c r="C331" s="60"/>
      <c r="D331" s="60"/>
      <c r="E331" s="60"/>
      <c r="F331" s="60"/>
      <c r="G331" s="60"/>
      <c r="J331" s="99"/>
      <c r="K331" s="99"/>
      <c r="L331" s="99"/>
      <c r="M331" s="99"/>
      <c r="N331" s="43">
        <f t="shared" ref="N331:N394" si="5">IF($L$4=$C$10,C331,IF(D331="","",B331))</f>
        <v>0</v>
      </c>
    </row>
    <row r="332" spans="2:14">
      <c r="B332" s="57"/>
      <c r="C332" s="60"/>
      <c r="D332" s="60"/>
      <c r="E332" s="60"/>
      <c r="F332" s="60"/>
      <c r="G332" s="60"/>
      <c r="J332" s="99"/>
      <c r="K332" s="99"/>
      <c r="L332" s="99"/>
      <c r="M332" s="99"/>
      <c r="N332" s="43">
        <f t="shared" si="5"/>
        <v>0</v>
      </c>
    </row>
    <row r="333" spans="2:14">
      <c r="B333" s="57"/>
      <c r="C333" s="60"/>
      <c r="D333" s="60"/>
      <c r="E333" s="60"/>
      <c r="F333" s="60"/>
      <c r="G333" s="60"/>
      <c r="J333" s="99"/>
      <c r="K333" s="99"/>
      <c r="L333" s="99"/>
      <c r="M333" s="99"/>
      <c r="N333" s="43">
        <f t="shared" si="5"/>
        <v>0</v>
      </c>
    </row>
    <row r="334" spans="2:14">
      <c r="B334" s="57"/>
      <c r="C334" s="60"/>
      <c r="D334" s="60"/>
      <c r="E334" s="60"/>
      <c r="F334" s="60"/>
      <c r="G334" s="60"/>
      <c r="J334" s="99"/>
      <c r="K334" s="99"/>
      <c r="L334" s="99"/>
      <c r="M334" s="99"/>
      <c r="N334" s="43">
        <f t="shared" si="5"/>
        <v>0</v>
      </c>
    </row>
    <row r="335" spans="2:14">
      <c r="B335" s="57"/>
      <c r="C335" s="60"/>
      <c r="D335" s="60"/>
      <c r="E335" s="60"/>
      <c r="F335" s="60"/>
      <c r="G335" s="60"/>
      <c r="J335" s="99"/>
      <c r="K335" s="99"/>
      <c r="L335" s="99"/>
      <c r="M335" s="99"/>
      <c r="N335" s="43">
        <f t="shared" si="5"/>
        <v>0</v>
      </c>
    </row>
    <row r="336" spans="2:14">
      <c r="B336" s="57"/>
      <c r="C336" s="60"/>
      <c r="D336" s="60"/>
      <c r="E336" s="60"/>
      <c r="F336" s="60"/>
      <c r="G336" s="60"/>
      <c r="J336" s="99"/>
      <c r="K336" s="99"/>
      <c r="L336" s="99"/>
      <c r="M336" s="99"/>
      <c r="N336" s="43">
        <f t="shared" si="5"/>
        <v>0</v>
      </c>
    </row>
    <row r="337" spans="2:14">
      <c r="B337" s="57"/>
      <c r="C337" s="60"/>
      <c r="D337" s="60"/>
      <c r="E337" s="60"/>
      <c r="F337" s="60"/>
      <c r="G337" s="60"/>
      <c r="J337" s="99"/>
      <c r="K337" s="99"/>
      <c r="L337" s="99"/>
      <c r="M337" s="99"/>
      <c r="N337" s="43">
        <f t="shared" si="5"/>
        <v>0</v>
      </c>
    </row>
    <row r="338" spans="2:14">
      <c r="B338" s="57"/>
      <c r="C338" s="60"/>
      <c r="D338" s="60"/>
      <c r="E338" s="60"/>
      <c r="F338" s="60"/>
      <c r="G338" s="60"/>
      <c r="J338" s="99"/>
      <c r="K338" s="99"/>
      <c r="L338" s="99"/>
      <c r="M338" s="99"/>
      <c r="N338" s="43">
        <f t="shared" si="5"/>
        <v>0</v>
      </c>
    </row>
    <row r="339" spans="2:14">
      <c r="B339" s="57"/>
      <c r="C339" s="60"/>
      <c r="D339" s="60"/>
      <c r="E339" s="60"/>
      <c r="F339" s="60"/>
      <c r="G339" s="60"/>
      <c r="J339" s="99"/>
      <c r="K339" s="99"/>
      <c r="L339" s="99"/>
      <c r="M339" s="99"/>
      <c r="N339" s="43">
        <f t="shared" si="5"/>
        <v>0</v>
      </c>
    </row>
    <row r="340" spans="2:14">
      <c r="B340" s="57"/>
      <c r="C340" s="60"/>
      <c r="D340" s="60"/>
      <c r="E340" s="60"/>
      <c r="F340" s="60"/>
      <c r="G340" s="60"/>
      <c r="J340" s="99"/>
      <c r="K340" s="99"/>
      <c r="L340" s="99"/>
      <c r="M340" s="99"/>
      <c r="N340" s="43">
        <f t="shared" si="5"/>
        <v>0</v>
      </c>
    </row>
    <row r="341" spans="2:14">
      <c r="B341" s="57"/>
      <c r="C341" s="60"/>
      <c r="D341" s="60"/>
      <c r="E341" s="60"/>
      <c r="F341" s="60"/>
      <c r="G341" s="60"/>
      <c r="J341" s="99"/>
      <c r="K341" s="99"/>
      <c r="L341" s="99"/>
      <c r="M341" s="99"/>
      <c r="N341" s="43">
        <f t="shared" si="5"/>
        <v>0</v>
      </c>
    </row>
    <row r="342" spans="2:14">
      <c r="B342" s="57"/>
      <c r="C342" s="60"/>
      <c r="D342" s="60"/>
      <c r="E342" s="60"/>
      <c r="F342" s="60"/>
      <c r="G342" s="60"/>
      <c r="J342" s="99"/>
      <c r="K342" s="99"/>
      <c r="L342" s="99"/>
      <c r="M342" s="99"/>
      <c r="N342" s="43">
        <f t="shared" si="5"/>
        <v>0</v>
      </c>
    </row>
    <row r="343" spans="2:14">
      <c r="B343" s="57"/>
      <c r="C343" s="60"/>
      <c r="D343" s="60"/>
      <c r="E343" s="60"/>
      <c r="F343" s="60"/>
      <c r="G343" s="60"/>
      <c r="J343" s="99"/>
      <c r="K343" s="99"/>
      <c r="L343" s="99"/>
      <c r="M343" s="99"/>
      <c r="N343" s="43">
        <f t="shared" si="5"/>
        <v>0</v>
      </c>
    </row>
    <row r="344" spans="2:14">
      <c r="B344" s="57"/>
      <c r="C344" s="60"/>
      <c r="D344" s="60"/>
      <c r="E344" s="60"/>
      <c r="F344" s="60"/>
      <c r="G344" s="60"/>
      <c r="J344" s="99"/>
      <c r="K344" s="99"/>
      <c r="L344" s="99"/>
      <c r="M344" s="99"/>
      <c r="N344" s="43">
        <f t="shared" si="5"/>
        <v>0</v>
      </c>
    </row>
    <row r="345" spans="2:14">
      <c r="B345" s="57"/>
      <c r="C345" s="60"/>
      <c r="D345" s="60"/>
      <c r="E345" s="60"/>
      <c r="F345" s="60"/>
      <c r="G345" s="60"/>
      <c r="J345" s="99"/>
      <c r="K345" s="99"/>
      <c r="L345" s="99"/>
      <c r="M345" s="99"/>
      <c r="N345" s="43">
        <f t="shared" si="5"/>
        <v>0</v>
      </c>
    </row>
    <row r="346" spans="2:14">
      <c r="B346" s="57"/>
      <c r="C346" s="60"/>
      <c r="D346" s="60"/>
      <c r="E346" s="60"/>
      <c r="F346" s="60"/>
      <c r="G346" s="60"/>
      <c r="J346" s="99"/>
      <c r="K346" s="99"/>
      <c r="L346" s="99"/>
      <c r="M346" s="99"/>
      <c r="N346" s="43">
        <f t="shared" si="5"/>
        <v>0</v>
      </c>
    </row>
    <row r="347" spans="2:14">
      <c r="B347" s="57"/>
      <c r="C347" s="60"/>
      <c r="D347" s="60"/>
      <c r="E347" s="60"/>
      <c r="F347" s="60"/>
      <c r="G347" s="60"/>
      <c r="J347" s="99"/>
      <c r="K347" s="99"/>
      <c r="L347" s="99"/>
      <c r="M347" s="99"/>
      <c r="N347" s="43">
        <f t="shared" si="5"/>
        <v>0</v>
      </c>
    </row>
    <row r="348" spans="2:14">
      <c r="B348" s="57"/>
      <c r="C348" s="60"/>
      <c r="D348" s="60"/>
      <c r="E348" s="60"/>
      <c r="F348" s="60"/>
      <c r="G348" s="60"/>
      <c r="J348" s="99"/>
      <c r="K348" s="99"/>
      <c r="L348" s="99"/>
      <c r="M348" s="99"/>
      <c r="N348" s="43">
        <f t="shared" si="5"/>
        <v>0</v>
      </c>
    </row>
    <row r="349" spans="2:14">
      <c r="B349" s="57"/>
      <c r="C349" s="60"/>
      <c r="D349" s="60"/>
      <c r="E349" s="60"/>
      <c r="F349" s="60"/>
      <c r="G349" s="60"/>
      <c r="J349" s="99"/>
      <c r="K349" s="99"/>
      <c r="L349" s="99"/>
      <c r="M349" s="99"/>
      <c r="N349" s="43">
        <f t="shared" si="5"/>
        <v>0</v>
      </c>
    </row>
    <row r="350" spans="2:14">
      <c r="B350" s="57"/>
      <c r="C350" s="60"/>
      <c r="D350" s="60"/>
      <c r="E350" s="60"/>
      <c r="F350" s="60"/>
      <c r="G350" s="60"/>
      <c r="J350" s="99"/>
      <c r="K350" s="99"/>
      <c r="L350" s="99"/>
      <c r="M350" s="99"/>
      <c r="N350" s="43">
        <f t="shared" si="5"/>
        <v>0</v>
      </c>
    </row>
    <row r="351" spans="2:14">
      <c r="B351" s="57"/>
      <c r="C351" s="60"/>
      <c r="D351" s="60"/>
      <c r="E351" s="60"/>
      <c r="F351" s="60"/>
      <c r="G351" s="60"/>
      <c r="J351" s="99"/>
      <c r="K351" s="99"/>
      <c r="L351" s="99"/>
      <c r="M351" s="99"/>
      <c r="N351" s="43">
        <f t="shared" si="5"/>
        <v>0</v>
      </c>
    </row>
    <row r="352" spans="2:14">
      <c r="B352" s="57"/>
      <c r="C352" s="60"/>
      <c r="D352" s="60"/>
      <c r="E352" s="60"/>
      <c r="F352" s="60"/>
      <c r="G352" s="60"/>
      <c r="J352" s="99"/>
      <c r="K352" s="99"/>
      <c r="L352" s="99"/>
      <c r="M352" s="99"/>
      <c r="N352" s="43">
        <f t="shared" si="5"/>
        <v>0</v>
      </c>
    </row>
    <row r="353" spans="2:14">
      <c r="B353" s="57"/>
      <c r="C353" s="60"/>
      <c r="D353" s="60"/>
      <c r="E353" s="60"/>
      <c r="F353" s="60"/>
      <c r="G353" s="60"/>
      <c r="J353" s="99"/>
      <c r="K353" s="99"/>
      <c r="L353" s="99"/>
      <c r="M353" s="99"/>
      <c r="N353" s="43">
        <f t="shared" si="5"/>
        <v>0</v>
      </c>
    </row>
    <row r="354" spans="2:14">
      <c r="B354" s="57"/>
      <c r="C354" s="60"/>
      <c r="D354" s="60"/>
      <c r="E354" s="60"/>
      <c r="F354" s="60"/>
      <c r="G354" s="60"/>
      <c r="J354" s="99"/>
      <c r="K354" s="99"/>
      <c r="L354" s="99"/>
      <c r="M354" s="99"/>
      <c r="N354" s="43">
        <f t="shared" si="5"/>
        <v>0</v>
      </c>
    </row>
    <row r="355" spans="2:14">
      <c r="B355" s="57"/>
      <c r="C355" s="60"/>
      <c r="D355" s="60"/>
      <c r="E355" s="60"/>
      <c r="F355" s="60"/>
      <c r="G355" s="60"/>
      <c r="J355" s="99"/>
      <c r="K355" s="99"/>
      <c r="L355" s="99"/>
      <c r="M355" s="99"/>
      <c r="N355" s="43">
        <f t="shared" si="5"/>
        <v>0</v>
      </c>
    </row>
    <row r="356" spans="2:14">
      <c r="B356" s="57"/>
      <c r="C356" s="60"/>
      <c r="D356" s="60"/>
      <c r="E356" s="60"/>
      <c r="F356" s="60"/>
      <c r="G356" s="60"/>
      <c r="J356" s="99"/>
      <c r="K356" s="99"/>
      <c r="L356" s="99"/>
      <c r="M356" s="99"/>
      <c r="N356" s="43">
        <f t="shared" si="5"/>
        <v>0</v>
      </c>
    </row>
    <row r="357" spans="2:14">
      <c r="B357" s="57"/>
      <c r="C357" s="60"/>
      <c r="D357" s="60"/>
      <c r="E357" s="60"/>
      <c r="F357" s="60"/>
      <c r="G357" s="60"/>
      <c r="J357" s="99"/>
      <c r="K357" s="99"/>
      <c r="L357" s="99"/>
      <c r="M357" s="99"/>
      <c r="N357" s="43">
        <f t="shared" si="5"/>
        <v>0</v>
      </c>
    </row>
    <row r="358" spans="2:14">
      <c r="B358" s="57"/>
      <c r="C358" s="60"/>
      <c r="D358" s="60"/>
      <c r="E358" s="60"/>
      <c r="F358" s="60"/>
      <c r="G358" s="60"/>
      <c r="J358" s="99"/>
      <c r="K358" s="99"/>
      <c r="L358" s="99"/>
      <c r="M358" s="99"/>
      <c r="N358" s="43">
        <f t="shared" si="5"/>
        <v>0</v>
      </c>
    </row>
    <row r="359" spans="2:14">
      <c r="B359" s="57"/>
      <c r="C359" s="60"/>
      <c r="D359" s="60"/>
      <c r="E359" s="60"/>
      <c r="F359" s="60"/>
      <c r="G359" s="60"/>
      <c r="J359" s="99"/>
      <c r="K359" s="99"/>
      <c r="L359" s="99"/>
      <c r="M359" s="99"/>
      <c r="N359" s="43">
        <f t="shared" si="5"/>
        <v>0</v>
      </c>
    </row>
    <row r="360" spans="2:14">
      <c r="B360" s="57"/>
      <c r="C360" s="60"/>
      <c r="D360" s="60"/>
      <c r="E360" s="60"/>
      <c r="F360" s="60"/>
      <c r="G360" s="60"/>
      <c r="J360" s="99"/>
      <c r="K360" s="99"/>
      <c r="L360" s="99"/>
      <c r="M360" s="99"/>
      <c r="N360" s="43">
        <f t="shared" si="5"/>
        <v>0</v>
      </c>
    </row>
    <row r="361" spans="2:14">
      <c r="B361" s="57"/>
      <c r="C361" s="60"/>
      <c r="D361" s="60"/>
      <c r="E361" s="60"/>
      <c r="F361" s="60"/>
      <c r="G361" s="60"/>
      <c r="J361" s="99"/>
      <c r="K361" s="99"/>
      <c r="L361" s="99"/>
      <c r="M361" s="99"/>
      <c r="N361" s="43">
        <f t="shared" si="5"/>
        <v>0</v>
      </c>
    </row>
    <row r="362" spans="2:14">
      <c r="B362" s="57"/>
      <c r="C362" s="60"/>
      <c r="D362" s="60"/>
      <c r="E362" s="60"/>
      <c r="F362" s="60"/>
      <c r="G362" s="60"/>
      <c r="J362" s="99"/>
      <c r="K362" s="99"/>
      <c r="L362" s="99"/>
      <c r="M362" s="99"/>
      <c r="N362" s="43">
        <f t="shared" si="5"/>
        <v>0</v>
      </c>
    </row>
    <row r="363" spans="2:14">
      <c r="B363" s="57"/>
      <c r="C363" s="60"/>
      <c r="D363" s="60"/>
      <c r="E363" s="60"/>
      <c r="F363" s="60"/>
      <c r="G363" s="60"/>
      <c r="J363" s="99"/>
      <c r="K363" s="99"/>
      <c r="L363" s="99"/>
      <c r="M363" s="99"/>
      <c r="N363" s="43">
        <f t="shared" si="5"/>
        <v>0</v>
      </c>
    </row>
    <row r="364" spans="2:14">
      <c r="B364" s="57"/>
      <c r="C364" s="60"/>
      <c r="D364" s="60"/>
      <c r="E364" s="60"/>
      <c r="F364" s="60"/>
      <c r="G364" s="60"/>
      <c r="J364" s="99"/>
      <c r="K364" s="99"/>
      <c r="L364" s="99"/>
      <c r="M364" s="99"/>
      <c r="N364" s="43">
        <f t="shared" si="5"/>
        <v>0</v>
      </c>
    </row>
    <row r="365" spans="2:14">
      <c r="B365" s="57"/>
      <c r="C365" s="60"/>
      <c r="D365" s="60"/>
      <c r="E365" s="60"/>
      <c r="F365" s="60"/>
      <c r="G365" s="60"/>
      <c r="J365" s="99"/>
      <c r="K365" s="99"/>
      <c r="L365" s="99"/>
      <c r="M365" s="99"/>
      <c r="N365" s="43">
        <f t="shared" si="5"/>
        <v>0</v>
      </c>
    </row>
    <row r="366" spans="2:14">
      <c r="B366" s="57"/>
      <c r="C366" s="60"/>
      <c r="D366" s="60"/>
      <c r="E366" s="60"/>
      <c r="F366" s="60"/>
      <c r="G366" s="60"/>
      <c r="J366" s="99"/>
      <c r="K366" s="99"/>
      <c r="L366" s="99"/>
      <c r="M366" s="99"/>
      <c r="N366" s="43">
        <f t="shared" si="5"/>
        <v>0</v>
      </c>
    </row>
    <row r="367" spans="2:14">
      <c r="B367" s="57"/>
      <c r="C367" s="60"/>
      <c r="D367" s="60"/>
      <c r="E367" s="60"/>
      <c r="F367" s="60"/>
      <c r="G367" s="60"/>
      <c r="J367" s="99"/>
      <c r="K367" s="99"/>
      <c r="L367" s="99"/>
      <c r="M367" s="99"/>
      <c r="N367" s="43">
        <f t="shared" si="5"/>
        <v>0</v>
      </c>
    </row>
    <row r="368" spans="2:14">
      <c r="B368" s="57"/>
      <c r="C368" s="60"/>
      <c r="D368" s="60"/>
      <c r="E368" s="60"/>
      <c r="F368" s="60"/>
      <c r="G368" s="60"/>
      <c r="J368" s="99"/>
      <c r="K368" s="99"/>
      <c r="L368" s="99"/>
      <c r="M368" s="99"/>
      <c r="N368" s="43">
        <f t="shared" si="5"/>
        <v>0</v>
      </c>
    </row>
    <row r="369" spans="2:14">
      <c r="B369" s="57"/>
      <c r="C369" s="60"/>
      <c r="D369" s="60"/>
      <c r="E369" s="60"/>
      <c r="F369" s="60"/>
      <c r="G369" s="60"/>
      <c r="J369" s="99"/>
      <c r="K369" s="99"/>
      <c r="L369" s="99"/>
      <c r="M369" s="99"/>
      <c r="N369" s="43">
        <f t="shared" si="5"/>
        <v>0</v>
      </c>
    </row>
    <row r="370" spans="2:14">
      <c r="B370" s="57"/>
      <c r="C370" s="60"/>
      <c r="D370" s="60"/>
      <c r="E370" s="60"/>
      <c r="F370" s="60"/>
      <c r="G370" s="60"/>
      <c r="J370" s="99"/>
      <c r="K370" s="99"/>
      <c r="L370" s="99"/>
      <c r="M370" s="99"/>
      <c r="N370" s="43">
        <f t="shared" si="5"/>
        <v>0</v>
      </c>
    </row>
    <row r="371" spans="2:14">
      <c r="B371" s="57"/>
      <c r="C371" s="60"/>
      <c r="D371" s="60"/>
      <c r="E371" s="60"/>
      <c r="F371" s="60"/>
      <c r="G371" s="60"/>
      <c r="J371" s="99"/>
      <c r="K371" s="99"/>
      <c r="L371" s="99"/>
      <c r="M371" s="99"/>
      <c r="N371" s="43">
        <f t="shared" si="5"/>
        <v>0</v>
      </c>
    </row>
    <row r="372" spans="2:14">
      <c r="B372" s="57"/>
      <c r="C372" s="60"/>
      <c r="D372" s="60"/>
      <c r="E372" s="60"/>
      <c r="F372" s="60"/>
      <c r="G372" s="60"/>
      <c r="J372" s="99"/>
      <c r="K372" s="99"/>
      <c r="L372" s="99"/>
      <c r="M372" s="99"/>
      <c r="N372" s="43">
        <f t="shared" si="5"/>
        <v>0</v>
      </c>
    </row>
    <row r="373" spans="2:14">
      <c r="B373" s="57"/>
      <c r="C373" s="60"/>
      <c r="D373" s="60"/>
      <c r="E373" s="60"/>
      <c r="F373" s="60"/>
      <c r="G373" s="60"/>
      <c r="J373" s="99"/>
      <c r="K373" s="99"/>
      <c r="L373" s="99"/>
      <c r="M373" s="99"/>
      <c r="N373" s="43">
        <f t="shared" si="5"/>
        <v>0</v>
      </c>
    </row>
    <row r="374" spans="2:14">
      <c r="B374" s="57"/>
      <c r="C374" s="60"/>
      <c r="D374" s="60"/>
      <c r="E374" s="60"/>
      <c r="F374" s="60"/>
      <c r="G374" s="60"/>
      <c r="J374" s="99"/>
      <c r="K374" s="99"/>
      <c r="L374" s="99"/>
      <c r="M374" s="99"/>
      <c r="N374" s="43">
        <f t="shared" si="5"/>
        <v>0</v>
      </c>
    </row>
    <row r="375" spans="2:14">
      <c r="B375" s="57"/>
      <c r="C375" s="60"/>
      <c r="D375" s="60"/>
      <c r="E375" s="60"/>
      <c r="F375" s="60"/>
      <c r="G375" s="60"/>
      <c r="J375" s="99"/>
      <c r="K375" s="99"/>
      <c r="L375" s="99"/>
      <c r="M375" s="99"/>
      <c r="N375" s="43">
        <f t="shared" si="5"/>
        <v>0</v>
      </c>
    </row>
    <row r="376" spans="2:14">
      <c r="B376" s="57"/>
      <c r="C376" s="60"/>
      <c r="D376" s="60"/>
      <c r="E376" s="60"/>
      <c r="F376" s="60"/>
      <c r="G376" s="60"/>
      <c r="J376" s="99"/>
      <c r="K376" s="99"/>
      <c r="L376" s="99"/>
      <c r="M376" s="99"/>
      <c r="N376" s="43">
        <f t="shared" si="5"/>
        <v>0</v>
      </c>
    </row>
    <row r="377" spans="2:14">
      <c r="B377" s="57"/>
      <c r="C377" s="60"/>
      <c r="D377" s="60"/>
      <c r="E377" s="60"/>
      <c r="F377" s="60"/>
      <c r="G377" s="60"/>
      <c r="J377" s="99"/>
      <c r="K377" s="99"/>
      <c r="L377" s="99"/>
      <c r="M377" s="99"/>
      <c r="N377" s="43">
        <f t="shared" si="5"/>
        <v>0</v>
      </c>
    </row>
    <row r="378" spans="2:14">
      <c r="B378" s="57"/>
      <c r="C378" s="60"/>
      <c r="D378" s="60"/>
      <c r="E378" s="60"/>
      <c r="F378" s="60"/>
      <c r="G378" s="60"/>
      <c r="J378" s="99"/>
      <c r="K378" s="99"/>
      <c r="L378" s="99"/>
      <c r="M378" s="99"/>
      <c r="N378" s="43">
        <f t="shared" si="5"/>
        <v>0</v>
      </c>
    </row>
    <row r="379" spans="2:14">
      <c r="B379" s="57"/>
      <c r="C379" s="60"/>
      <c r="D379" s="60"/>
      <c r="E379" s="60"/>
      <c r="F379" s="60"/>
      <c r="G379" s="60"/>
      <c r="J379" s="99"/>
      <c r="K379" s="99"/>
      <c r="L379" s="99"/>
      <c r="M379" s="99"/>
      <c r="N379" s="43">
        <f t="shared" si="5"/>
        <v>0</v>
      </c>
    </row>
    <row r="380" spans="2:14">
      <c r="B380" s="57"/>
      <c r="C380" s="60"/>
      <c r="D380" s="60"/>
      <c r="E380" s="60"/>
      <c r="F380" s="60"/>
      <c r="G380" s="60"/>
      <c r="J380" s="99"/>
      <c r="K380" s="99"/>
      <c r="L380" s="99"/>
      <c r="M380" s="99"/>
      <c r="N380" s="43">
        <f t="shared" si="5"/>
        <v>0</v>
      </c>
    </row>
    <row r="381" spans="2:14">
      <c r="B381" s="57"/>
      <c r="C381" s="60"/>
      <c r="D381" s="60"/>
      <c r="E381" s="60"/>
      <c r="F381" s="60"/>
      <c r="G381" s="60"/>
      <c r="J381" s="99"/>
      <c r="K381" s="99"/>
      <c r="L381" s="99"/>
      <c r="M381" s="99"/>
      <c r="N381" s="43">
        <f t="shared" si="5"/>
        <v>0</v>
      </c>
    </row>
    <row r="382" spans="2:14">
      <c r="B382" s="57"/>
      <c r="C382" s="60"/>
      <c r="D382" s="60"/>
      <c r="E382" s="60"/>
      <c r="F382" s="60"/>
      <c r="G382" s="60"/>
      <c r="J382" s="99"/>
      <c r="K382" s="99"/>
      <c r="L382" s="99"/>
      <c r="M382" s="99"/>
      <c r="N382" s="43">
        <f t="shared" si="5"/>
        <v>0</v>
      </c>
    </row>
    <row r="383" spans="2:14">
      <c r="B383" s="57"/>
      <c r="C383" s="60"/>
      <c r="D383" s="60"/>
      <c r="E383" s="60"/>
      <c r="F383" s="60"/>
      <c r="G383" s="60"/>
      <c r="J383" s="99"/>
      <c r="K383" s="99"/>
      <c r="L383" s="99"/>
      <c r="M383" s="99"/>
      <c r="N383" s="43">
        <f t="shared" si="5"/>
        <v>0</v>
      </c>
    </row>
    <row r="384" spans="2:14">
      <c r="B384" s="57"/>
      <c r="C384" s="60"/>
      <c r="D384" s="60"/>
      <c r="E384" s="60"/>
      <c r="F384" s="60"/>
      <c r="G384" s="60"/>
      <c r="J384" s="99"/>
      <c r="K384" s="99"/>
      <c r="L384" s="99"/>
      <c r="M384" s="99"/>
      <c r="N384" s="43">
        <f t="shared" si="5"/>
        <v>0</v>
      </c>
    </row>
    <row r="385" spans="2:14">
      <c r="B385" s="57"/>
      <c r="C385" s="60"/>
      <c r="D385" s="60"/>
      <c r="E385" s="60"/>
      <c r="F385" s="60"/>
      <c r="G385" s="60"/>
      <c r="J385" s="99"/>
      <c r="K385" s="99"/>
      <c r="L385" s="99"/>
      <c r="M385" s="99"/>
      <c r="N385" s="43">
        <f t="shared" si="5"/>
        <v>0</v>
      </c>
    </row>
    <row r="386" spans="2:14">
      <c r="B386" s="57"/>
      <c r="C386" s="60"/>
      <c r="D386" s="60"/>
      <c r="E386" s="60"/>
      <c r="F386" s="60"/>
      <c r="G386" s="60"/>
      <c r="J386" s="99"/>
      <c r="K386" s="99"/>
      <c r="L386" s="99"/>
      <c r="M386" s="99"/>
      <c r="N386" s="43">
        <f t="shared" si="5"/>
        <v>0</v>
      </c>
    </row>
    <row r="387" spans="2:14">
      <c r="B387" s="57"/>
      <c r="C387" s="60"/>
      <c r="D387" s="60"/>
      <c r="E387" s="60"/>
      <c r="F387" s="60"/>
      <c r="G387" s="60"/>
      <c r="J387" s="99"/>
      <c r="K387" s="99"/>
      <c r="L387" s="99"/>
      <c r="M387" s="99"/>
      <c r="N387" s="43">
        <f t="shared" si="5"/>
        <v>0</v>
      </c>
    </row>
    <row r="388" spans="2:14">
      <c r="B388" s="57"/>
      <c r="C388" s="60"/>
      <c r="D388" s="60"/>
      <c r="E388" s="60"/>
      <c r="F388" s="60"/>
      <c r="G388" s="60"/>
      <c r="J388" s="99"/>
      <c r="K388" s="99"/>
      <c r="L388" s="99"/>
      <c r="M388" s="99"/>
      <c r="N388" s="43">
        <f t="shared" si="5"/>
        <v>0</v>
      </c>
    </row>
    <row r="389" spans="2:14">
      <c r="B389" s="57"/>
      <c r="C389" s="60"/>
      <c r="D389" s="60"/>
      <c r="E389" s="60"/>
      <c r="F389" s="60"/>
      <c r="G389" s="60"/>
      <c r="J389" s="99"/>
      <c r="K389" s="99"/>
      <c r="L389" s="99"/>
      <c r="M389" s="99"/>
      <c r="N389" s="43">
        <f t="shared" si="5"/>
        <v>0</v>
      </c>
    </row>
    <row r="390" spans="2:14">
      <c r="B390" s="57"/>
      <c r="C390" s="60"/>
      <c r="D390" s="60"/>
      <c r="E390" s="60"/>
      <c r="F390" s="60"/>
      <c r="G390" s="60"/>
      <c r="J390" s="99"/>
      <c r="K390" s="99"/>
      <c r="L390" s="99"/>
      <c r="M390" s="99"/>
      <c r="N390" s="43">
        <f t="shared" si="5"/>
        <v>0</v>
      </c>
    </row>
    <row r="391" spans="2:14">
      <c r="B391" s="57"/>
      <c r="C391" s="60"/>
      <c r="D391" s="60"/>
      <c r="E391" s="60"/>
      <c r="F391" s="60"/>
      <c r="G391" s="60"/>
      <c r="J391" s="99"/>
      <c r="K391" s="99"/>
      <c r="L391" s="99"/>
      <c r="M391" s="99"/>
      <c r="N391" s="43">
        <f t="shared" si="5"/>
        <v>0</v>
      </c>
    </row>
    <row r="392" spans="2:14">
      <c r="B392" s="57"/>
      <c r="C392" s="60"/>
      <c r="D392" s="60"/>
      <c r="E392" s="60"/>
      <c r="F392" s="60"/>
      <c r="G392" s="60"/>
      <c r="J392" s="99"/>
      <c r="K392" s="99"/>
      <c r="L392" s="99"/>
      <c r="M392" s="99"/>
      <c r="N392" s="43">
        <f t="shared" si="5"/>
        <v>0</v>
      </c>
    </row>
    <row r="393" spans="2:14">
      <c r="B393" s="57"/>
      <c r="C393" s="60"/>
      <c r="D393" s="60"/>
      <c r="E393" s="60"/>
      <c r="F393" s="60"/>
      <c r="G393" s="60"/>
      <c r="J393" s="99"/>
      <c r="K393" s="99"/>
      <c r="L393" s="99"/>
      <c r="M393" s="99"/>
      <c r="N393" s="43">
        <f t="shared" si="5"/>
        <v>0</v>
      </c>
    </row>
    <row r="394" spans="2:14">
      <c r="B394" s="57"/>
      <c r="C394" s="60"/>
      <c r="D394" s="60"/>
      <c r="E394" s="60"/>
      <c r="F394" s="60"/>
      <c r="G394" s="60"/>
      <c r="J394" s="99"/>
      <c r="K394" s="99"/>
      <c r="L394" s="99"/>
      <c r="M394" s="99"/>
      <c r="N394" s="43">
        <f t="shared" si="5"/>
        <v>0</v>
      </c>
    </row>
    <row r="395" spans="2:14">
      <c r="B395" s="57"/>
      <c r="C395" s="60"/>
      <c r="D395" s="60"/>
      <c r="E395" s="60"/>
      <c r="F395" s="60"/>
      <c r="G395" s="60"/>
      <c r="J395" s="99"/>
      <c r="K395" s="99"/>
      <c r="L395" s="99"/>
      <c r="M395" s="99"/>
      <c r="N395" s="43">
        <f t="shared" ref="N395:N458" si="6">IF($L$4=$C$10,C395,IF(D395="","",B395))</f>
        <v>0</v>
      </c>
    </row>
    <row r="396" spans="2:14">
      <c r="B396" s="57"/>
      <c r="C396" s="60"/>
      <c r="D396" s="60"/>
      <c r="E396" s="60"/>
      <c r="F396" s="60"/>
      <c r="G396" s="60"/>
      <c r="J396" s="99"/>
      <c r="K396" s="99"/>
      <c r="L396" s="99"/>
      <c r="M396" s="99"/>
      <c r="N396" s="43">
        <f t="shared" si="6"/>
        <v>0</v>
      </c>
    </row>
    <row r="397" spans="2:14">
      <c r="B397" s="57"/>
      <c r="C397" s="60"/>
      <c r="D397" s="60"/>
      <c r="E397" s="60"/>
      <c r="F397" s="60"/>
      <c r="G397" s="60"/>
      <c r="J397" s="99"/>
      <c r="K397" s="99"/>
      <c r="L397" s="99"/>
      <c r="M397" s="99"/>
      <c r="N397" s="43">
        <f t="shared" si="6"/>
        <v>0</v>
      </c>
    </row>
    <row r="398" spans="2:14">
      <c r="B398" s="57"/>
      <c r="C398" s="60"/>
      <c r="D398" s="60"/>
      <c r="E398" s="60"/>
      <c r="F398" s="60"/>
      <c r="G398" s="60"/>
      <c r="J398" s="99"/>
      <c r="K398" s="99"/>
      <c r="L398" s="99"/>
      <c r="M398" s="99"/>
      <c r="N398" s="43">
        <f t="shared" si="6"/>
        <v>0</v>
      </c>
    </row>
    <row r="399" spans="2:14">
      <c r="B399" s="57"/>
      <c r="C399" s="60"/>
      <c r="D399" s="60"/>
      <c r="E399" s="60"/>
      <c r="F399" s="60"/>
      <c r="G399" s="60"/>
      <c r="J399" s="99"/>
      <c r="K399" s="99"/>
      <c r="L399" s="99"/>
      <c r="M399" s="99"/>
      <c r="N399" s="43">
        <f t="shared" si="6"/>
        <v>0</v>
      </c>
    </row>
    <row r="400" spans="2:14">
      <c r="B400" s="57"/>
      <c r="C400" s="60"/>
      <c r="D400" s="60"/>
      <c r="E400" s="60"/>
      <c r="F400" s="60"/>
      <c r="G400" s="60"/>
      <c r="J400" s="99"/>
      <c r="K400" s="99"/>
      <c r="L400" s="99"/>
      <c r="M400" s="99"/>
      <c r="N400" s="43">
        <f t="shared" si="6"/>
        <v>0</v>
      </c>
    </row>
    <row r="401" spans="2:14">
      <c r="B401" s="57"/>
      <c r="C401" s="60"/>
      <c r="D401" s="60"/>
      <c r="E401" s="60"/>
      <c r="F401" s="60"/>
      <c r="G401" s="60"/>
      <c r="J401" s="99"/>
      <c r="K401" s="99"/>
      <c r="L401" s="99"/>
      <c r="M401" s="99"/>
      <c r="N401" s="43">
        <f t="shared" si="6"/>
        <v>0</v>
      </c>
    </row>
    <row r="402" spans="2:14">
      <c r="B402" s="57"/>
      <c r="C402" s="60"/>
      <c r="D402" s="60"/>
      <c r="E402" s="60"/>
      <c r="F402" s="60"/>
      <c r="G402" s="60"/>
      <c r="J402" s="99"/>
      <c r="K402" s="99"/>
      <c r="L402" s="99"/>
      <c r="M402" s="99"/>
      <c r="N402" s="43">
        <f t="shared" si="6"/>
        <v>0</v>
      </c>
    </row>
    <row r="403" spans="2:14">
      <c r="B403" s="57"/>
      <c r="C403" s="60"/>
      <c r="D403" s="60"/>
      <c r="E403" s="60"/>
      <c r="F403" s="60"/>
      <c r="G403" s="60"/>
      <c r="J403" s="99"/>
      <c r="K403" s="99"/>
      <c r="L403" s="99"/>
      <c r="M403" s="99"/>
      <c r="N403" s="43">
        <f t="shared" si="6"/>
        <v>0</v>
      </c>
    </row>
    <row r="404" spans="2:14">
      <c r="B404" s="57"/>
      <c r="C404" s="60"/>
      <c r="D404" s="60"/>
      <c r="E404" s="60"/>
      <c r="F404" s="60"/>
      <c r="G404" s="60"/>
      <c r="J404" s="99"/>
      <c r="K404" s="99"/>
      <c r="L404" s="99"/>
      <c r="M404" s="99"/>
      <c r="N404" s="43">
        <f t="shared" si="6"/>
        <v>0</v>
      </c>
    </row>
    <row r="405" spans="2:14">
      <c r="B405" s="57"/>
      <c r="C405" s="60"/>
      <c r="D405" s="60"/>
      <c r="E405" s="60"/>
      <c r="F405" s="60"/>
      <c r="G405" s="60"/>
      <c r="J405" s="99"/>
      <c r="K405" s="99"/>
      <c r="L405" s="99"/>
      <c r="M405" s="99"/>
      <c r="N405" s="43">
        <f t="shared" si="6"/>
        <v>0</v>
      </c>
    </row>
    <row r="406" spans="2:14">
      <c r="B406" s="57"/>
      <c r="C406" s="60"/>
      <c r="D406" s="60"/>
      <c r="E406" s="60"/>
      <c r="F406" s="60"/>
      <c r="G406" s="60"/>
      <c r="J406" s="99"/>
      <c r="K406" s="99"/>
      <c r="L406" s="99"/>
      <c r="M406" s="99"/>
      <c r="N406" s="43">
        <f t="shared" si="6"/>
        <v>0</v>
      </c>
    </row>
    <row r="407" spans="2:14">
      <c r="B407" s="57"/>
      <c r="C407" s="60"/>
      <c r="D407" s="60"/>
      <c r="E407" s="60"/>
      <c r="F407" s="60"/>
      <c r="G407" s="60"/>
      <c r="J407" s="99"/>
      <c r="K407" s="99"/>
      <c r="L407" s="99"/>
      <c r="M407" s="99"/>
      <c r="N407" s="43">
        <f t="shared" si="6"/>
        <v>0</v>
      </c>
    </row>
    <row r="408" spans="2:14">
      <c r="B408" s="57"/>
      <c r="C408" s="60"/>
      <c r="D408" s="60"/>
      <c r="E408" s="60"/>
      <c r="F408" s="60"/>
      <c r="G408" s="60"/>
      <c r="J408" s="99"/>
      <c r="K408" s="99"/>
      <c r="L408" s="99"/>
      <c r="M408" s="99"/>
      <c r="N408" s="43">
        <f t="shared" si="6"/>
        <v>0</v>
      </c>
    </row>
    <row r="409" spans="2:14">
      <c r="B409" s="57"/>
      <c r="C409" s="60"/>
      <c r="D409" s="60"/>
      <c r="E409" s="60"/>
      <c r="F409" s="60"/>
      <c r="G409" s="60"/>
      <c r="J409" s="99"/>
      <c r="K409" s="99"/>
      <c r="L409" s="99"/>
      <c r="M409" s="99"/>
      <c r="N409" s="43">
        <f t="shared" si="6"/>
        <v>0</v>
      </c>
    </row>
    <row r="410" spans="2:14">
      <c r="B410" s="57"/>
      <c r="C410" s="60"/>
      <c r="D410" s="60"/>
      <c r="E410" s="60"/>
      <c r="F410" s="60"/>
      <c r="G410" s="60"/>
      <c r="J410" s="99"/>
      <c r="K410" s="99"/>
      <c r="L410" s="99"/>
      <c r="M410" s="99"/>
      <c r="N410" s="43">
        <f t="shared" si="6"/>
        <v>0</v>
      </c>
    </row>
    <row r="411" spans="2:14">
      <c r="B411" s="57"/>
      <c r="C411" s="60"/>
      <c r="D411" s="60"/>
      <c r="E411" s="60"/>
      <c r="F411" s="60"/>
      <c r="G411" s="60"/>
      <c r="J411" s="99"/>
      <c r="K411" s="99"/>
      <c r="L411" s="99"/>
      <c r="M411" s="99"/>
      <c r="N411" s="43">
        <f t="shared" si="6"/>
        <v>0</v>
      </c>
    </row>
    <row r="412" spans="2:14">
      <c r="B412" s="57"/>
      <c r="C412" s="60"/>
      <c r="D412" s="60"/>
      <c r="E412" s="60"/>
      <c r="F412" s="60"/>
      <c r="G412" s="60"/>
      <c r="J412" s="99"/>
      <c r="K412" s="99"/>
      <c r="L412" s="99"/>
      <c r="M412" s="99"/>
      <c r="N412" s="43">
        <f t="shared" si="6"/>
        <v>0</v>
      </c>
    </row>
    <row r="413" spans="2:14">
      <c r="B413" s="57"/>
      <c r="C413" s="60"/>
      <c r="D413" s="60"/>
      <c r="E413" s="60"/>
      <c r="F413" s="60"/>
      <c r="G413" s="60"/>
      <c r="J413" s="99"/>
      <c r="K413" s="99"/>
      <c r="L413" s="99"/>
      <c r="M413" s="99"/>
      <c r="N413" s="43">
        <f t="shared" si="6"/>
        <v>0</v>
      </c>
    </row>
    <row r="414" spans="2:14">
      <c r="B414" s="57"/>
      <c r="C414" s="60"/>
      <c r="D414" s="60"/>
      <c r="E414" s="60"/>
      <c r="F414" s="60"/>
      <c r="G414" s="60"/>
      <c r="J414" s="99"/>
      <c r="K414" s="99"/>
      <c r="L414" s="99"/>
      <c r="M414" s="99"/>
      <c r="N414" s="43">
        <f t="shared" si="6"/>
        <v>0</v>
      </c>
    </row>
    <row r="415" spans="2:14">
      <c r="B415" s="57"/>
      <c r="C415" s="60"/>
      <c r="D415" s="60"/>
      <c r="E415" s="60"/>
      <c r="F415" s="60"/>
      <c r="G415" s="60"/>
      <c r="J415" s="99"/>
      <c r="K415" s="99"/>
      <c r="L415" s="99"/>
      <c r="M415" s="99"/>
      <c r="N415" s="43">
        <f t="shared" si="6"/>
        <v>0</v>
      </c>
    </row>
    <row r="416" spans="2:14">
      <c r="B416" s="57"/>
      <c r="C416" s="60"/>
      <c r="D416" s="60"/>
      <c r="E416" s="60"/>
      <c r="F416" s="60"/>
      <c r="G416" s="60"/>
      <c r="J416" s="99"/>
      <c r="K416" s="99"/>
      <c r="L416" s="99"/>
      <c r="M416" s="99"/>
      <c r="N416" s="43">
        <f t="shared" si="6"/>
        <v>0</v>
      </c>
    </row>
    <row r="417" spans="2:14">
      <c r="B417" s="57"/>
      <c r="C417" s="60"/>
      <c r="D417" s="60"/>
      <c r="E417" s="60"/>
      <c r="F417" s="60"/>
      <c r="G417" s="60"/>
      <c r="J417" s="99"/>
      <c r="K417" s="99"/>
      <c r="L417" s="99"/>
      <c r="M417" s="99"/>
      <c r="N417" s="43">
        <f t="shared" si="6"/>
        <v>0</v>
      </c>
    </row>
    <row r="418" spans="2:14">
      <c r="B418" s="57"/>
      <c r="C418" s="60"/>
      <c r="D418" s="60"/>
      <c r="E418" s="60"/>
      <c r="F418" s="60"/>
      <c r="G418" s="60"/>
      <c r="J418" s="99"/>
      <c r="K418" s="99"/>
      <c r="L418" s="99"/>
      <c r="M418" s="99"/>
      <c r="N418" s="43">
        <f t="shared" si="6"/>
        <v>0</v>
      </c>
    </row>
    <row r="419" spans="2:14">
      <c r="B419" s="57"/>
      <c r="C419" s="60"/>
      <c r="D419" s="60"/>
      <c r="E419" s="60"/>
      <c r="F419" s="60"/>
      <c r="G419" s="60"/>
      <c r="J419" s="99"/>
      <c r="K419" s="99"/>
      <c r="L419" s="99"/>
      <c r="M419" s="99"/>
      <c r="N419" s="43">
        <f t="shared" si="6"/>
        <v>0</v>
      </c>
    </row>
    <row r="420" spans="2:14">
      <c r="B420" s="57"/>
      <c r="C420" s="60"/>
      <c r="D420" s="60"/>
      <c r="E420" s="60"/>
      <c r="F420" s="60"/>
      <c r="G420" s="60"/>
      <c r="J420" s="99"/>
      <c r="K420" s="99"/>
      <c r="L420" s="99"/>
      <c r="M420" s="99"/>
      <c r="N420" s="43">
        <f t="shared" si="6"/>
        <v>0</v>
      </c>
    </row>
    <row r="421" spans="2:14">
      <c r="B421" s="57"/>
      <c r="C421" s="60"/>
      <c r="D421" s="60"/>
      <c r="E421" s="60"/>
      <c r="F421" s="60"/>
      <c r="G421" s="60"/>
      <c r="J421" s="99"/>
      <c r="K421" s="99"/>
      <c r="L421" s="99"/>
      <c r="M421" s="99"/>
      <c r="N421" s="43">
        <f t="shared" si="6"/>
        <v>0</v>
      </c>
    </row>
    <row r="422" spans="2:14">
      <c r="B422" s="57"/>
      <c r="C422" s="60"/>
      <c r="D422" s="60"/>
      <c r="E422" s="60"/>
      <c r="F422" s="60"/>
      <c r="G422" s="60"/>
      <c r="J422" s="99"/>
      <c r="K422" s="99"/>
      <c r="L422" s="99"/>
      <c r="M422" s="99"/>
      <c r="N422" s="43">
        <f t="shared" si="6"/>
        <v>0</v>
      </c>
    </row>
    <row r="423" spans="2:14">
      <c r="B423" s="57"/>
      <c r="C423" s="60"/>
      <c r="D423" s="60"/>
      <c r="E423" s="60"/>
      <c r="F423" s="60"/>
      <c r="G423" s="60"/>
      <c r="J423" s="99"/>
      <c r="K423" s="99"/>
      <c r="L423" s="99"/>
      <c r="M423" s="99"/>
      <c r="N423" s="43">
        <f t="shared" si="6"/>
        <v>0</v>
      </c>
    </row>
    <row r="424" spans="2:14">
      <c r="B424" s="57"/>
      <c r="C424" s="60"/>
      <c r="D424" s="60"/>
      <c r="E424" s="60"/>
      <c r="F424" s="60"/>
      <c r="G424" s="60"/>
      <c r="J424" s="99"/>
      <c r="K424" s="99"/>
      <c r="L424" s="99"/>
      <c r="M424" s="99"/>
      <c r="N424" s="43">
        <f t="shared" si="6"/>
        <v>0</v>
      </c>
    </row>
    <row r="425" spans="2:14">
      <c r="B425" s="57"/>
      <c r="C425" s="60"/>
      <c r="D425" s="60"/>
      <c r="E425" s="60"/>
      <c r="F425" s="60"/>
      <c r="G425" s="60"/>
      <c r="J425" s="99"/>
      <c r="K425" s="99"/>
      <c r="L425" s="99"/>
      <c r="M425" s="99"/>
      <c r="N425" s="43">
        <f t="shared" si="6"/>
        <v>0</v>
      </c>
    </row>
    <row r="426" spans="2:14">
      <c r="B426" s="57"/>
      <c r="C426" s="60"/>
      <c r="D426" s="60"/>
      <c r="E426" s="60"/>
      <c r="F426" s="60"/>
      <c r="G426" s="60"/>
      <c r="J426" s="99"/>
      <c r="K426" s="99"/>
      <c r="L426" s="99"/>
      <c r="M426" s="99"/>
      <c r="N426" s="43">
        <f t="shared" si="6"/>
        <v>0</v>
      </c>
    </row>
    <row r="427" spans="2:14">
      <c r="B427" s="57"/>
      <c r="C427" s="60"/>
      <c r="D427" s="60"/>
      <c r="E427" s="60"/>
      <c r="F427" s="60"/>
      <c r="G427" s="60"/>
      <c r="J427" s="99"/>
      <c r="K427" s="99"/>
      <c r="L427" s="99"/>
      <c r="M427" s="99"/>
      <c r="N427" s="43">
        <f t="shared" si="6"/>
        <v>0</v>
      </c>
    </row>
    <row r="428" spans="2:14">
      <c r="B428" s="57"/>
      <c r="C428" s="60"/>
      <c r="D428" s="60"/>
      <c r="E428" s="60"/>
      <c r="F428" s="60"/>
      <c r="G428" s="60"/>
      <c r="J428" s="99"/>
      <c r="K428" s="99"/>
      <c r="L428" s="99"/>
      <c r="M428" s="99"/>
      <c r="N428" s="43">
        <f t="shared" si="6"/>
        <v>0</v>
      </c>
    </row>
    <row r="429" spans="2:14" ht="1.5" customHeight="1">
      <c r="B429" s="57"/>
      <c r="C429" s="60"/>
      <c r="D429" s="60"/>
      <c r="E429" s="60"/>
      <c r="F429" s="60"/>
      <c r="G429" s="60"/>
      <c r="J429" s="99"/>
      <c r="K429" s="99"/>
      <c r="L429" s="99"/>
      <c r="M429" s="99"/>
      <c r="N429" s="43">
        <f t="shared" si="6"/>
        <v>0</v>
      </c>
    </row>
    <row r="430" spans="2:14" ht="1.5" customHeight="1">
      <c r="B430" s="57"/>
      <c r="C430" s="60"/>
      <c r="D430" s="60"/>
      <c r="E430" s="60"/>
      <c r="F430" s="60"/>
      <c r="G430" s="60"/>
      <c r="J430" s="99"/>
      <c r="K430" s="99"/>
      <c r="L430" s="99"/>
      <c r="M430" s="99"/>
      <c r="N430" s="43">
        <f t="shared" si="6"/>
        <v>0</v>
      </c>
    </row>
    <row r="431" spans="2:14" ht="1.5" customHeight="1">
      <c r="B431" s="57"/>
      <c r="C431" s="60"/>
      <c r="D431" s="60"/>
      <c r="E431" s="60"/>
      <c r="F431" s="60"/>
      <c r="G431" s="60"/>
      <c r="J431" s="99"/>
      <c r="K431" s="99"/>
      <c r="L431" s="99"/>
      <c r="M431" s="99"/>
      <c r="N431" s="43">
        <f t="shared" si="6"/>
        <v>0</v>
      </c>
    </row>
    <row r="432" spans="2:14" ht="1.5" customHeight="1">
      <c r="B432" s="57"/>
      <c r="C432" s="60"/>
      <c r="D432" s="60"/>
      <c r="E432" s="60"/>
      <c r="F432" s="60"/>
      <c r="G432" s="60"/>
      <c r="J432" s="99"/>
      <c r="K432" s="99"/>
      <c r="L432" s="99"/>
      <c r="M432" s="99"/>
      <c r="N432" s="43">
        <f t="shared" si="6"/>
        <v>0</v>
      </c>
    </row>
    <row r="433" spans="2:14" ht="1.5" customHeight="1">
      <c r="B433" s="57"/>
      <c r="C433" s="60"/>
      <c r="D433" s="60"/>
      <c r="E433" s="60"/>
      <c r="F433" s="60"/>
      <c r="G433" s="60"/>
      <c r="J433" s="99"/>
      <c r="K433" s="99"/>
      <c r="L433" s="99"/>
      <c r="M433" s="99"/>
      <c r="N433" s="43">
        <f t="shared" si="6"/>
        <v>0</v>
      </c>
    </row>
    <row r="434" spans="2:14" ht="1.5" customHeight="1">
      <c r="B434" s="57"/>
      <c r="C434" s="60"/>
      <c r="D434" s="60"/>
      <c r="E434" s="60"/>
      <c r="F434" s="60"/>
      <c r="G434" s="60"/>
      <c r="J434" s="99"/>
      <c r="K434" s="99"/>
      <c r="L434" s="99"/>
      <c r="M434" s="99"/>
      <c r="N434" s="43">
        <f t="shared" si="6"/>
        <v>0</v>
      </c>
    </row>
    <row r="435" spans="2:14" ht="1.5" customHeight="1">
      <c r="B435" s="57"/>
      <c r="C435" s="60"/>
      <c r="D435" s="60"/>
      <c r="E435" s="60"/>
      <c r="F435" s="60"/>
      <c r="G435" s="60"/>
      <c r="J435" s="99"/>
      <c r="K435" s="99"/>
      <c r="L435" s="99"/>
      <c r="M435" s="99"/>
      <c r="N435" s="43">
        <f t="shared" si="6"/>
        <v>0</v>
      </c>
    </row>
    <row r="436" spans="2:14" ht="1.5" customHeight="1">
      <c r="B436" s="57"/>
      <c r="C436" s="60"/>
      <c r="D436" s="60"/>
      <c r="E436" s="60"/>
      <c r="F436" s="60"/>
      <c r="G436" s="60"/>
      <c r="J436" s="99"/>
      <c r="K436" s="99"/>
      <c r="L436" s="99"/>
      <c r="M436" s="99"/>
      <c r="N436" s="43">
        <f t="shared" si="6"/>
        <v>0</v>
      </c>
    </row>
    <row r="437" spans="2:14" ht="1.5" customHeight="1">
      <c r="B437" s="57"/>
      <c r="C437" s="60"/>
      <c r="D437" s="60"/>
      <c r="E437" s="60"/>
      <c r="F437" s="60"/>
      <c r="G437" s="60"/>
      <c r="J437" s="99"/>
      <c r="K437" s="99"/>
      <c r="L437" s="99"/>
      <c r="M437" s="99"/>
      <c r="N437" s="43">
        <f t="shared" si="6"/>
        <v>0</v>
      </c>
    </row>
    <row r="438" spans="2:14" ht="1.5" customHeight="1">
      <c r="B438" s="57"/>
      <c r="C438" s="60"/>
      <c r="D438" s="60"/>
      <c r="E438" s="60"/>
      <c r="F438" s="60"/>
      <c r="G438" s="60"/>
      <c r="J438" s="99"/>
      <c r="K438" s="99"/>
      <c r="L438" s="99"/>
      <c r="M438" s="99"/>
      <c r="N438" s="43">
        <f t="shared" si="6"/>
        <v>0</v>
      </c>
    </row>
    <row r="439" spans="2:14" ht="1.5" customHeight="1">
      <c r="B439" s="57"/>
      <c r="C439" s="60"/>
      <c r="D439" s="60"/>
      <c r="E439" s="60"/>
      <c r="F439" s="60"/>
      <c r="G439" s="60"/>
      <c r="J439" s="99"/>
      <c r="K439" s="99"/>
      <c r="L439" s="99"/>
      <c r="M439" s="99"/>
      <c r="N439" s="43">
        <f t="shared" si="6"/>
        <v>0</v>
      </c>
    </row>
    <row r="440" spans="2:14" ht="1.5" customHeight="1">
      <c r="B440" s="57"/>
      <c r="C440" s="60"/>
      <c r="D440" s="60"/>
      <c r="E440" s="60"/>
      <c r="F440" s="60"/>
      <c r="G440" s="60"/>
      <c r="J440" s="99"/>
      <c r="K440" s="99"/>
      <c r="L440" s="99"/>
      <c r="M440" s="99"/>
      <c r="N440" s="43">
        <f t="shared" si="6"/>
        <v>0</v>
      </c>
    </row>
    <row r="441" spans="2:14" ht="1.5" customHeight="1">
      <c r="B441" s="57"/>
      <c r="C441" s="60"/>
      <c r="D441" s="60"/>
      <c r="E441" s="60"/>
      <c r="F441" s="60"/>
      <c r="G441" s="60"/>
      <c r="J441" s="99"/>
      <c r="K441" s="99"/>
      <c r="L441" s="99"/>
      <c r="M441" s="99"/>
      <c r="N441" s="43">
        <f t="shared" si="6"/>
        <v>0</v>
      </c>
    </row>
    <row r="442" spans="2:14" ht="1.5" customHeight="1">
      <c r="B442" s="57"/>
      <c r="C442" s="60"/>
      <c r="D442" s="60"/>
      <c r="E442" s="60"/>
      <c r="F442" s="60"/>
      <c r="G442" s="60"/>
      <c r="J442" s="99"/>
      <c r="K442" s="99"/>
      <c r="L442" s="99"/>
      <c r="M442" s="99"/>
      <c r="N442" s="43">
        <f t="shared" si="6"/>
        <v>0</v>
      </c>
    </row>
    <row r="443" spans="2:14" ht="1.5" customHeight="1">
      <c r="B443" s="57"/>
      <c r="C443" s="60"/>
      <c r="D443" s="60"/>
      <c r="E443" s="60"/>
      <c r="F443" s="60"/>
      <c r="G443" s="60"/>
      <c r="J443" s="99"/>
      <c r="K443" s="99"/>
      <c r="L443" s="99"/>
      <c r="M443" s="99"/>
      <c r="N443" s="43">
        <f t="shared" si="6"/>
        <v>0</v>
      </c>
    </row>
    <row r="444" spans="2:14" ht="1.5" customHeight="1">
      <c r="B444" s="57"/>
      <c r="C444" s="60"/>
      <c r="D444" s="60"/>
      <c r="E444" s="60"/>
      <c r="F444" s="60"/>
      <c r="G444" s="60"/>
      <c r="J444" s="99"/>
      <c r="K444" s="99"/>
      <c r="L444" s="99"/>
      <c r="M444" s="99"/>
      <c r="N444" s="43">
        <f t="shared" si="6"/>
        <v>0</v>
      </c>
    </row>
    <row r="445" spans="2:14" ht="1.5" customHeight="1">
      <c r="B445" s="57"/>
      <c r="C445" s="60"/>
      <c r="D445" s="60"/>
      <c r="E445" s="60"/>
      <c r="F445" s="60"/>
      <c r="G445" s="60"/>
      <c r="J445" s="99"/>
      <c r="K445" s="99"/>
      <c r="L445" s="99"/>
      <c r="M445" s="99"/>
      <c r="N445" s="43">
        <f t="shared" si="6"/>
        <v>0</v>
      </c>
    </row>
    <row r="446" spans="2:14" ht="1.5" customHeight="1">
      <c r="B446" s="57"/>
      <c r="C446" s="60"/>
      <c r="D446" s="60"/>
      <c r="E446" s="60"/>
      <c r="F446" s="60"/>
      <c r="G446" s="60"/>
      <c r="J446" s="99"/>
      <c r="K446" s="99"/>
      <c r="L446" s="99"/>
      <c r="M446" s="99"/>
      <c r="N446" s="43">
        <f t="shared" si="6"/>
        <v>0</v>
      </c>
    </row>
    <row r="447" spans="2:14" ht="1.5" customHeight="1">
      <c r="B447" s="57"/>
      <c r="C447" s="60"/>
      <c r="D447" s="60"/>
      <c r="E447" s="60"/>
      <c r="F447" s="60"/>
      <c r="G447" s="60"/>
      <c r="J447" s="99"/>
      <c r="K447" s="99"/>
      <c r="L447" s="99"/>
      <c r="M447" s="99"/>
      <c r="N447" s="43">
        <f t="shared" si="6"/>
        <v>0</v>
      </c>
    </row>
    <row r="448" spans="2:14" ht="1.5" customHeight="1">
      <c r="B448" s="57"/>
      <c r="C448" s="60"/>
      <c r="D448" s="60"/>
      <c r="E448" s="60"/>
      <c r="F448" s="60"/>
      <c r="G448" s="60"/>
      <c r="J448" s="99"/>
      <c r="K448" s="99"/>
      <c r="L448" s="99"/>
      <c r="M448" s="99"/>
      <c r="N448" s="43">
        <f t="shared" si="6"/>
        <v>0</v>
      </c>
    </row>
    <row r="449" spans="2:14" ht="1.5" customHeight="1">
      <c r="B449" s="57"/>
      <c r="C449" s="60"/>
      <c r="D449" s="60"/>
      <c r="E449" s="60"/>
      <c r="F449" s="60"/>
      <c r="G449" s="60"/>
      <c r="J449" s="99"/>
      <c r="K449" s="99"/>
      <c r="L449" s="99"/>
      <c r="M449" s="99"/>
      <c r="N449" s="43">
        <f t="shared" si="6"/>
        <v>0</v>
      </c>
    </row>
    <row r="450" spans="2:14" ht="1.5" customHeight="1">
      <c r="B450" s="57"/>
      <c r="C450" s="60"/>
      <c r="D450" s="60"/>
      <c r="E450" s="60"/>
      <c r="F450" s="60"/>
      <c r="G450" s="60"/>
      <c r="J450" s="99"/>
      <c r="K450" s="99"/>
      <c r="L450" s="99"/>
      <c r="M450" s="99"/>
      <c r="N450" s="43">
        <f t="shared" si="6"/>
        <v>0</v>
      </c>
    </row>
    <row r="451" spans="2:14" ht="1.5" customHeight="1">
      <c r="B451" s="57"/>
      <c r="C451" s="60"/>
      <c r="D451" s="60"/>
      <c r="E451" s="60"/>
      <c r="F451" s="60"/>
      <c r="G451" s="60"/>
      <c r="J451" s="99"/>
      <c r="K451" s="99"/>
      <c r="L451" s="99"/>
      <c r="M451" s="99"/>
      <c r="N451" s="43">
        <f t="shared" si="6"/>
        <v>0</v>
      </c>
    </row>
    <row r="452" spans="2:14" ht="1.5" customHeight="1">
      <c r="B452" s="57"/>
      <c r="C452" s="60"/>
      <c r="D452" s="60"/>
      <c r="E452" s="60"/>
      <c r="F452" s="60"/>
      <c r="G452" s="60"/>
      <c r="J452" s="99"/>
      <c r="K452" s="99"/>
      <c r="L452" s="99"/>
      <c r="M452" s="99"/>
      <c r="N452" s="43">
        <f t="shared" si="6"/>
        <v>0</v>
      </c>
    </row>
    <row r="453" spans="2:14" ht="1.5" customHeight="1">
      <c r="B453" s="57"/>
      <c r="C453" s="60"/>
      <c r="D453" s="60"/>
      <c r="E453" s="60"/>
      <c r="F453" s="60"/>
      <c r="G453" s="60"/>
      <c r="J453" s="99"/>
      <c r="K453" s="99"/>
      <c r="L453" s="99"/>
      <c r="M453" s="99"/>
      <c r="N453" s="43">
        <f t="shared" si="6"/>
        <v>0</v>
      </c>
    </row>
    <row r="454" spans="2:14" ht="1.5" customHeight="1">
      <c r="B454" s="57"/>
      <c r="C454" s="60"/>
      <c r="D454" s="60"/>
      <c r="E454" s="60"/>
      <c r="F454" s="60"/>
      <c r="G454" s="60"/>
      <c r="J454" s="99"/>
      <c r="K454" s="99"/>
      <c r="L454" s="99"/>
      <c r="M454" s="99"/>
      <c r="N454" s="43">
        <f t="shared" si="6"/>
        <v>0</v>
      </c>
    </row>
    <row r="455" spans="2:14" ht="1.5" customHeight="1">
      <c r="B455" s="57"/>
      <c r="C455" s="60"/>
      <c r="D455" s="60"/>
      <c r="E455" s="60"/>
      <c r="F455" s="60"/>
      <c r="G455" s="60"/>
      <c r="J455" s="99"/>
      <c r="K455" s="99"/>
      <c r="L455" s="99"/>
      <c r="M455" s="99"/>
      <c r="N455" s="43">
        <f t="shared" si="6"/>
        <v>0</v>
      </c>
    </row>
    <row r="456" spans="2:14" ht="1.5" customHeight="1">
      <c r="B456" s="57"/>
      <c r="C456" s="60"/>
      <c r="D456" s="60"/>
      <c r="E456" s="60"/>
      <c r="F456" s="60"/>
      <c r="G456" s="60"/>
      <c r="J456" s="99"/>
      <c r="K456" s="99"/>
      <c r="L456" s="99"/>
      <c r="M456" s="99"/>
      <c r="N456" s="43">
        <f t="shared" si="6"/>
        <v>0</v>
      </c>
    </row>
    <row r="457" spans="2:14" ht="1.5" customHeight="1">
      <c r="B457" s="57"/>
      <c r="C457" s="60"/>
      <c r="D457" s="60"/>
      <c r="E457" s="60"/>
      <c r="F457" s="60"/>
      <c r="G457" s="60"/>
      <c r="J457" s="99"/>
      <c r="K457" s="99"/>
      <c r="L457" s="99"/>
      <c r="M457" s="99"/>
      <c r="N457" s="43">
        <f t="shared" si="6"/>
        <v>0</v>
      </c>
    </row>
    <row r="458" spans="2:14" ht="1.5" customHeight="1">
      <c r="B458" s="57"/>
      <c r="C458" s="60"/>
      <c r="D458" s="60"/>
      <c r="E458" s="60"/>
      <c r="F458" s="60"/>
      <c r="G458" s="60"/>
      <c r="J458" s="99"/>
      <c r="K458" s="99"/>
      <c r="L458" s="99"/>
      <c r="M458" s="99"/>
      <c r="N458" s="43">
        <f t="shared" si="6"/>
        <v>0</v>
      </c>
    </row>
    <row r="459" spans="2:14" ht="1.5" customHeight="1">
      <c r="B459" s="57"/>
      <c r="C459" s="60"/>
      <c r="D459" s="60"/>
      <c r="E459" s="60"/>
      <c r="F459" s="60"/>
      <c r="G459" s="60"/>
      <c r="J459" s="99"/>
      <c r="K459" s="99"/>
      <c r="L459" s="99"/>
      <c r="M459" s="99"/>
      <c r="N459" s="43">
        <f t="shared" ref="N459:N522" si="7">IF($L$4=$C$10,C459,IF(D459="","",B459))</f>
        <v>0</v>
      </c>
    </row>
    <row r="460" spans="2:14" ht="1.5" customHeight="1">
      <c r="B460" s="57"/>
      <c r="C460" s="60"/>
      <c r="D460" s="60"/>
      <c r="E460" s="60"/>
      <c r="F460" s="60"/>
      <c r="G460" s="60"/>
      <c r="J460" s="99"/>
      <c r="K460" s="99"/>
      <c r="L460" s="99"/>
      <c r="M460" s="99"/>
      <c r="N460" s="43">
        <f t="shared" si="7"/>
        <v>0</v>
      </c>
    </row>
    <row r="461" spans="2:14" ht="1.5" customHeight="1">
      <c r="B461" s="57"/>
      <c r="C461" s="60"/>
      <c r="D461" s="60"/>
      <c r="E461" s="60"/>
      <c r="F461" s="60"/>
      <c r="G461" s="60"/>
      <c r="J461" s="99"/>
      <c r="K461" s="99"/>
      <c r="L461" s="99"/>
      <c r="M461" s="99"/>
      <c r="N461" s="43">
        <f t="shared" si="7"/>
        <v>0</v>
      </c>
    </row>
    <row r="462" spans="2:14" ht="1.5" customHeight="1">
      <c r="B462" s="57"/>
      <c r="C462" s="60"/>
      <c r="D462" s="60"/>
      <c r="E462" s="60"/>
      <c r="F462" s="60"/>
      <c r="G462" s="60"/>
      <c r="J462" s="99"/>
      <c r="K462" s="99"/>
      <c r="L462" s="99"/>
      <c r="M462" s="99"/>
      <c r="N462" s="43">
        <f t="shared" si="7"/>
        <v>0</v>
      </c>
    </row>
    <row r="463" spans="2:14" ht="1.5" customHeight="1">
      <c r="B463" s="57"/>
      <c r="C463" s="60"/>
      <c r="D463" s="60"/>
      <c r="E463" s="60"/>
      <c r="F463" s="60"/>
      <c r="G463" s="60"/>
      <c r="J463" s="99"/>
      <c r="K463" s="99"/>
      <c r="L463" s="99"/>
      <c r="M463" s="99"/>
      <c r="N463" s="43">
        <f t="shared" si="7"/>
        <v>0</v>
      </c>
    </row>
    <row r="464" spans="2:14" ht="1.5" customHeight="1">
      <c r="B464" s="57"/>
      <c r="C464" s="60"/>
      <c r="D464" s="60"/>
      <c r="E464" s="60"/>
      <c r="F464" s="60"/>
      <c r="G464" s="60"/>
      <c r="J464" s="99"/>
      <c r="K464" s="99"/>
      <c r="L464" s="99"/>
      <c r="M464" s="99"/>
      <c r="N464" s="43">
        <f t="shared" si="7"/>
        <v>0</v>
      </c>
    </row>
    <row r="465" spans="2:14" ht="1.5" customHeight="1">
      <c r="B465" s="57"/>
      <c r="C465" s="60"/>
      <c r="D465" s="60"/>
      <c r="E465" s="60"/>
      <c r="F465" s="60"/>
      <c r="G465" s="60"/>
      <c r="J465" s="99"/>
      <c r="K465" s="99"/>
      <c r="L465" s="99"/>
      <c r="M465" s="99"/>
      <c r="N465" s="43">
        <f t="shared" si="7"/>
        <v>0</v>
      </c>
    </row>
    <row r="466" spans="2:14" ht="1.5" customHeight="1">
      <c r="B466" s="57"/>
      <c r="C466" s="60"/>
      <c r="D466" s="60"/>
      <c r="E466" s="60"/>
      <c r="F466" s="60"/>
      <c r="G466" s="60"/>
      <c r="J466" s="99"/>
      <c r="K466" s="99"/>
      <c r="L466" s="99"/>
      <c r="M466" s="99"/>
      <c r="N466" s="43">
        <f t="shared" si="7"/>
        <v>0</v>
      </c>
    </row>
    <row r="467" spans="2:14" ht="1.5" customHeight="1">
      <c r="B467" s="57"/>
      <c r="C467" s="60"/>
      <c r="D467" s="60"/>
      <c r="E467" s="60"/>
      <c r="F467" s="60"/>
      <c r="G467" s="60"/>
      <c r="J467" s="99"/>
      <c r="K467" s="99"/>
      <c r="L467" s="99"/>
      <c r="M467" s="99"/>
      <c r="N467" s="43">
        <f t="shared" si="7"/>
        <v>0</v>
      </c>
    </row>
    <row r="468" spans="2:14" ht="1.5" customHeight="1">
      <c r="B468" s="57"/>
      <c r="C468" s="60"/>
      <c r="D468" s="60"/>
      <c r="E468" s="60"/>
      <c r="F468" s="60"/>
      <c r="G468" s="60"/>
      <c r="J468" s="99"/>
      <c r="K468" s="99"/>
      <c r="L468" s="99"/>
      <c r="M468" s="99"/>
      <c r="N468" s="43">
        <f t="shared" si="7"/>
        <v>0</v>
      </c>
    </row>
    <row r="469" spans="2:14" ht="1.5" customHeight="1">
      <c r="B469" s="57"/>
      <c r="C469" s="60"/>
      <c r="D469" s="60"/>
      <c r="E469" s="60"/>
      <c r="F469" s="60"/>
      <c r="G469" s="60"/>
      <c r="J469" s="99"/>
      <c r="K469" s="99"/>
      <c r="L469" s="99"/>
      <c r="M469" s="99"/>
      <c r="N469" s="43">
        <f t="shared" si="7"/>
        <v>0</v>
      </c>
    </row>
    <row r="470" spans="2:14" ht="1.5" customHeight="1">
      <c r="B470" s="57"/>
      <c r="C470" s="60"/>
      <c r="D470" s="60"/>
      <c r="E470" s="60"/>
      <c r="F470" s="60"/>
      <c r="G470" s="60"/>
      <c r="J470" s="99"/>
      <c r="K470" s="99"/>
      <c r="L470" s="99"/>
      <c r="M470" s="99"/>
      <c r="N470" s="43">
        <f t="shared" si="7"/>
        <v>0</v>
      </c>
    </row>
    <row r="471" spans="2:14" ht="1.5" customHeight="1">
      <c r="B471" s="57"/>
      <c r="C471" s="60"/>
      <c r="D471" s="60"/>
      <c r="E471" s="60"/>
      <c r="F471" s="60"/>
      <c r="G471" s="60"/>
      <c r="J471" s="99"/>
      <c r="K471" s="99"/>
      <c r="L471" s="99"/>
      <c r="M471" s="99"/>
      <c r="N471" s="43">
        <f t="shared" si="7"/>
        <v>0</v>
      </c>
    </row>
    <row r="472" spans="2:14" ht="1.5" customHeight="1">
      <c r="B472" s="57"/>
      <c r="C472" s="60"/>
      <c r="D472" s="60"/>
      <c r="E472" s="60"/>
      <c r="F472" s="60"/>
      <c r="G472" s="60"/>
      <c r="J472" s="99"/>
      <c r="K472" s="99"/>
      <c r="L472" s="99"/>
      <c r="M472" s="99"/>
      <c r="N472" s="43">
        <f t="shared" si="7"/>
        <v>0</v>
      </c>
    </row>
    <row r="473" spans="2:14" ht="1.5" customHeight="1">
      <c r="B473" s="57"/>
      <c r="C473" s="60"/>
      <c r="D473" s="60"/>
      <c r="E473" s="60"/>
      <c r="F473" s="60"/>
      <c r="G473" s="60"/>
      <c r="J473" s="99"/>
      <c r="K473" s="99"/>
      <c r="L473" s="99"/>
      <c r="M473" s="99"/>
      <c r="N473" s="43">
        <f t="shared" si="7"/>
        <v>0</v>
      </c>
    </row>
    <row r="474" spans="2:14" ht="1.5" customHeight="1">
      <c r="B474" s="57"/>
      <c r="C474" s="60"/>
      <c r="D474" s="60"/>
      <c r="E474" s="60"/>
      <c r="F474" s="60"/>
      <c r="G474" s="60"/>
      <c r="J474" s="99"/>
      <c r="K474" s="99"/>
      <c r="L474" s="99"/>
      <c r="M474" s="99"/>
      <c r="N474" s="43">
        <f t="shared" si="7"/>
        <v>0</v>
      </c>
    </row>
    <row r="475" spans="2:14" ht="1.5" customHeight="1">
      <c r="B475" s="57"/>
      <c r="C475" s="60"/>
      <c r="D475" s="60"/>
      <c r="E475" s="60"/>
      <c r="F475" s="60"/>
      <c r="G475" s="60"/>
      <c r="J475" s="99"/>
      <c r="K475" s="99"/>
      <c r="L475" s="99"/>
      <c r="M475" s="99"/>
      <c r="N475" s="43">
        <f t="shared" si="7"/>
        <v>0</v>
      </c>
    </row>
    <row r="476" spans="2:14" ht="1.5" customHeight="1">
      <c r="B476" s="57"/>
      <c r="C476" s="60"/>
      <c r="D476" s="60"/>
      <c r="E476" s="60"/>
      <c r="F476" s="60"/>
      <c r="G476" s="60"/>
      <c r="J476" s="99"/>
      <c r="K476" s="99"/>
      <c r="L476" s="99"/>
      <c r="M476" s="99"/>
      <c r="N476" s="43">
        <f t="shared" si="7"/>
        <v>0</v>
      </c>
    </row>
    <row r="477" spans="2:14" ht="1.5" customHeight="1">
      <c r="B477" s="57"/>
      <c r="C477" s="60"/>
      <c r="D477" s="60"/>
      <c r="E477" s="60"/>
      <c r="F477" s="60"/>
      <c r="G477" s="60"/>
      <c r="J477" s="99"/>
      <c r="K477" s="99"/>
      <c r="L477" s="99"/>
      <c r="M477" s="99"/>
      <c r="N477" s="43">
        <f t="shared" si="7"/>
        <v>0</v>
      </c>
    </row>
    <row r="478" spans="2:14" ht="1.5" customHeight="1">
      <c r="B478" s="57"/>
      <c r="C478" s="60"/>
      <c r="D478" s="60"/>
      <c r="E478" s="60"/>
      <c r="F478" s="60"/>
      <c r="G478" s="60"/>
      <c r="J478" s="99"/>
      <c r="K478" s="99"/>
      <c r="L478" s="99"/>
      <c r="M478" s="99"/>
      <c r="N478" s="43">
        <f t="shared" si="7"/>
        <v>0</v>
      </c>
    </row>
    <row r="479" spans="2:14" ht="1.5" customHeight="1">
      <c r="B479" s="57"/>
      <c r="C479" s="60"/>
      <c r="D479" s="60"/>
      <c r="E479" s="60"/>
      <c r="F479" s="60"/>
      <c r="G479" s="60"/>
      <c r="J479" s="99"/>
      <c r="K479" s="99"/>
      <c r="L479" s="99"/>
      <c r="M479" s="99"/>
      <c r="N479" s="43">
        <f t="shared" si="7"/>
        <v>0</v>
      </c>
    </row>
    <row r="480" spans="2:14" ht="1.5" customHeight="1">
      <c r="B480" s="57"/>
      <c r="C480" s="60"/>
      <c r="D480" s="60"/>
      <c r="E480" s="60"/>
      <c r="F480" s="60"/>
      <c r="G480" s="60"/>
      <c r="J480" s="99"/>
      <c r="K480" s="99"/>
      <c r="L480" s="99"/>
      <c r="M480" s="99"/>
      <c r="N480" s="43">
        <f t="shared" si="7"/>
        <v>0</v>
      </c>
    </row>
    <row r="481" spans="2:14" ht="1.5" customHeight="1">
      <c r="B481" s="57"/>
      <c r="C481" s="60"/>
      <c r="D481" s="60"/>
      <c r="E481" s="60"/>
      <c r="F481" s="60"/>
      <c r="G481" s="60"/>
      <c r="J481" s="99"/>
      <c r="K481" s="99"/>
      <c r="L481" s="99"/>
      <c r="M481" s="99"/>
      <c r="N481" s="43">
        <f t="shared" si="7"/>
        <v>0</v>
      </c>
    </row>
    <row r="482" spans="2:14" ht="1.5" customHeight="1">
      <c r="B482" s="57"/>
      <c r="C482" s="60"/>
      <c r="D482" s="60"/>
      <c r="E482" s="60"/>
      <c r="F482" s="60"/>
      <c r="G482" s="60"/>
      <c r="J482" s="99"/>
      <c r="K482" s="99"/>
      <c r="L482" s="99"/>
      <c r="M482" s="99"/>
      <c r="N482" s="43">
        <f t="shared" si="7"/>
        <v>0</v>
      </c>
    </row>
    <row r="483" spans="2:14" ht="1.5" customHeight="1">
      <c r="B483" s="57"/>
      <c r="C483" s="60"/>
      <c r="D483" s="60"/>
      <c r="E483" s="60"/>
      <c r="F483" s="60"/>
      <c r="G483" s="60"/>
      <c r="J483" s="99"/>
      <c r="K483" s="99"/>
      <c r="L483" s="99"/>
      <c r="M483" s="99"/>
      <c r="N483" s="43">
        <f t="shared" si="7"/>
        <v>0</v>
      </c>
    </row>
    <row r="484" spans="2:14" ht="1.5" customHeight="1">
      <c r="B484" s="57"/>
      <c r="C484" s="60"/>
      <c r="D484" s="60"/>
      <c r="E484" s="60"/>
      <c r="F484" s="60"/>
      <c r="G484" s="60"/>
      <c r="J484" s="99"/>
      <c r="K484" s="99"/>
      <c r="L484" s="99"/>
      <c r="M484" s="99"/>
      <c r="N484" s="43">
        <f t="shared" si="7"/>
        <v>0</v>
      </c>
    </row>
    <row r="485" spans="2:14" ht="1.5" customHeight="1">
      <c r="B485" s="57"/>
      <c r="C485" s="60"/>
      <c r="D485" s="60"/>
      <c r="E485" s="60"/>
      <c r="F485" s="60"/>
      <c r="G485" s="60"/>
      <c r="J485" s="99"/>
      <c r="K485" s="99"/>
      <c r="L485" s="99"/>
      <c r="M485" s="99"/>
      <c r="N485" s="43">
        <f t="shared" si="7"/>
        <v>0</v>
      </c>
    </row>
    <row r="486" spans="2:14" ht="1.5" customHeight="1">
      <c r="B486" s="57"/>
      <c r="C486" s="60"/>
      <c r="D486" s="60"/>
      <c r="E486" s="60"/>
      <c r="F486" s="60"/>
      <c r="G486" s="60"/>
      <c r="J486" s="99"/>
      <c r="K486" s="99"/>
      <c r="L486" s="99"/>
      <c r="M486" s="99"/>
      <c r="N486" s="43">
        <f t="shared" si="7"/>
        <v>0</v>
      </c>
    </row>
    <row r="487" spans="2:14" ht="1.5" customHeight="1">
      <c r="B487" s="57"/>
      <c r="C487" s="60"/>
      <c r="D487" s="60"/>
      <c r="E487" s="60"/>
      <c r="F487" s="60"/>
      <c r="G487" s="60"/>
      <c r="J487" s="99"/>
      <c r="K487" s="99"/>
      <c r="L487" s="99"/>
      <c r="M487" s="99"/>
      <c r="N487" s="43">
        <f t="shared" si="7"/>
        <v>0</v>
      </c>
    </row>
    <row r="488" spans="2:14" ht="1.5" customHeight="1">
      <c r="B488" s="57"/>
      <c r="C488" s="60"/>
      <c r="D488" s="60"/>
      <c r="E488" s="60"/>
      <c r="F488" s="60"/>
      <c r="G488" s="60"/>
      <c r="J488" s="99"/>
      <c r="K488" s="99"/>
      <c r="L488" s="99"/>
      <c r="M488" s="99"/>
      <c r="N488" s="43">
        <f t="shared" si="7"/>
        <v>0</v>
      </c>
    </row>
    <row r="489" spans="2:14" ht="1.5" customHeight="1">
      <c r="B489" s="57"/>
      <c r="C489" s="60"/>
      <c r="D489" s="60"/>
      <c r="E489" s="60"/>
      <c r="F489" s="60"/>
      <c r="G489" s="60"/>
      <c r="J489" s="99"/>
      <c r="K489" s="99"/>
      <c r="L489" s="99"/>
      <c r="M489" s="99"/>
      <c r="N489" s="43">
        <f t="shared" si="7"/>
        <v>0</v>
      </c>
    </row>
    <row r="490" spans="2:14" ht="1.5" customHeight="1">
      <c r="B490" s="57"/>
      <c r="C490" s="60"/>
      <c r="D490" s="60"/>
      <c r="E490" s="60"/>
      <c r="F490" s="60"/>
      <c r="G490" s="60"/>
      <c r="J490" s="99"/>
      <c r="K490" s="99"/>
      <c r="L490" s="99"/>
      <c r="M490" s="99"/>
      <c r="N490" s="43">
        <f t="shared" si="7"/>
        <v>0</v>
      </c>
    </row>
    <row r="491" spans="2:14" ht="1.5" customHeight="1">
      <c r="B491" s="57"/>
      <c r="C491" s="60"/>
      <c r="D491" s="60"/>
      <c r="E491" s="60"/>
      <c r="F491" s="60"/>
      <c r="G491" s="60"/>
      <c r="J491" s="99"/>
      <c r="K491" s="99"/>
      <c r="L491" s="99"/>
      <c r="M491" s="99"/>
      <c r="N491" s="43">
        <f t="shared" si="7"/>
        <v>0</v>
      </c>
    </row>
    <row r="492" spans="2:14" ht="1.5" customHeight="1">
      <c r="B492" s="57"/>
      <c r="C492" s="60"/>
      <c r="D492" s="60"/>
      <c r="E492" s="60"/>
      <c r="F492" s="60"/>
      <c r="G492" s="60"/>
      <c r="J492" s="99"/>
      <c r="K492" s="99"/>
      <c r="L492" s="99"/>
      <c r="M492" s="99"/>
      <c r="N492" s="43">
        <f t="shared" si="7"/>
        <v>0</v>
      </c>
    </row>
    <row r="493" spans="2:14" ht="1.5" customHeight="1">
      <c r="B493" s="57"/>
      <c r="C493" s="60"/>
      <c r="D493" s="60"/>
      <c r="E493" s="60"/>
      <c r="F493" s="60"/>
      <c r="G493" s="60"/>
      <c r="J493" s="99"/>
      <c r="K493" s="99"/>
      <c r="L493" s="99"/>
      <c r="M493" s="99"/>
      <c r="N493" s="43">
        <f t="shared" si="7"/>
        <v>0</v>
      </c>
    </row>
    <row r="494" spans="2:14" ht="1.5" customHeight="1">
      <c r="B494" s="57"/>
      <c r="C494" s="60"/>
      <c r="D494" s="60"/>
      <c r="E494" s="60"/>
      <c r="F494" s="60"/>
      <c r="G494" s="60"/>
      <c r="J494" s="99"/>
      <c r="K494" s="99"/>
      <c r="L494" s="99"/>
      <c r="M494" s="99"/>
      <c r="N494" s="43">
        <f t="shared" si="7"/>
        <v>0</v>
      </c>
    </row>
    <row r="495" spans="2:14" ht="1.5" customHeight="1">
      <c r="B495" s="57"/>
      <c r="C495" s="60"/>
      <c r="D495" s="60"/>
      <c r="E495" s="60"/>
      <c r="F495" s="60"/>
      <c r="G495" s="60"/>
      <c r="J495" s="99"/>
      <c r="K495" s="99"/>
      <c r="L495" s="99"/>
      <c r="M495" s="99"/>
      <c r="N495" s="43">
        <f t="shared" si="7"/>
        <v>0</v>
      </c>
    </row>
    <row r="496" spans="2:14" ht="1.5" customHeight="1">
      <c r="B496" s="57"/>
      <c r="C496" s="60"/>
      <c r="D496" s="60"/>
      <c r="E496" s="60"/>
      <c r="F496" s="60"/>
      <c r="G496" s="60"/>
      <c r="J496" s="99"/>
      <c r="K496" s="99"/>
      <c r="L496" s="99"/>
      <c r="M496" s="99"/>
      <c r="N496" s="43">
        <f t="shared" si="7"/>
        <v>0</v>
      </c>
    </row>
    <row r="497" spans="2:14" ht="1.5" customHeight="1">
      <c r="B497" s="57"/>
      <c r="C497" s="60"/>
      <c r="D497" s="60"/>
      <c r="E497" s="60"/>
      <c r="F497" s="60"/>
      <c r="G497" s="60"/>
      <c r="J497" s="99"/>
      <c r="K497" s="99"/>
      <c r="L497" s="99"/>
      <c r="M497" s="99"/>
      <c r="N497" s="43">
        <f t="shared" si="7"/>
        <v>0</v>
      </c>
    </row>
    <row r="498" spans="2:14" ht="1.5" customHeight="1">
      <c r="B498" s="57"/>
      <c r="C498" s="60"/>
      <c r="D498" s="60"/>
      <c r="E498" s="60"/>
      <c r="F498" s="60"/>
      <c r="G498" s="60"/>
      <c r="J498" s="99"/>
      <c r="K498" s="99"/>
      <c r="L498" s="99"/>
      <c r="M498" s="99"/>
      <c r="N498" s="43">
        <f t="shared" si="7"/>
        <v>0</v>
      </c>
    </row>
    <row r="499" spans="2:14" ht="1.5" customHeight="1">
      <c r="B499" s="57"/>
      <c r="C499" s="60"/>
      <c r="D499" s="60"/>
      <c r="E499" s="60"/>
      <c r="F499" s="60"/>
      <c r="G499" s="60"/>
      <c r="J499" s="99"/>
      <c r="K499" s="99"/>
      <c r="L499" s="99"/>
      <c r="M499" s="99"/>
      <c r="N499" s="43">
        <f t="shared" si="7"/>
        <v>0</v>
      </c>
    </row>
    <row r="500" spans="2:14" ht="1.5" customHeight="1">
      <c r="B500" s="57"/>
      <c r="C500" s="60"/>
      <c r="D500" s="60"/>
      <c r="E500" s="60"/>
      <c r="F500" s="60"/>
      <c r="G500" s="60"/>
      <c r="J500" s="99"/>
      <c r="K500" s="99"/>
      <c r="L500" s="99"/>
      <c r="M500" s="99"/>
      <c r="N500" s="43">
        <f t="shared" si="7"/>
        <v>0</v>
      </c>
    </row>
    <row r="501" spans="2:14" ht="1.5" customHeight="1">
      <c r="B501" s="57"/>
      <c r="C501" s="60"/>
      <c r="D501" s="60"/>
      <c r="E501" s="60"/>
      <c r="F501" s="60"/>
      <c r="G501" s="60"/>
      <c r="J501" s="99"/>
      <c r="K501" s="99"/>
      <c r="L501" s="99"/>
      <c r="M501" s="99"/>
      <c r="N501" s="43">
        <f t="shared" si="7"/>
        <v>0</v>
      </c>
    </row>
    <row r="502" spans="2:14" ht="1.5" customHeight="1">
      <c r="B502" s="57"/>
      <c r="C502" s="60"/>
      <c r="D502" s="60"/>
      <c r="E502" s="60"/>
      <c r="F502" s="60"/>
      <c r="G502" s="60"/>
      <c r="J502" s="99"/>
      <c r="K502" s="99"/>
      <c r="L502" s="99"/>
      <c r="M502" s="99"/>
      <c r="N502" s="43">
        <f t="shared" si="7"/>
        <v>0</v>
      </c>
    </row>
    <row r="503" spans="2:14" ht="1.5" customHeight="1">
      <c r="B503" s="57"/>
      <c r="C503" s="60"/>
      <c r="D503" s="60"/>
      <c r="E503" s="60"/>
      <c r="F503" s="60"/>
      <c r="G503" s="60"/>
      <c r="J503" s="99"/>
      <c r="K503" s="99"/>
      <c r="L503" s="99"/>
      <c r="M503" s="99"/>
      <c r="N503" s="43">
        <f t="shared" si="7"/>
        <v>0</v>
      </c>
    </row>
    <row r="504" spans="2:14" ht="1.5" customHeight="1">
      <c r="B504" s="57"/>
      <c r="C504" s="60"/>
      <c r="D504" s="60"/>
      <c r="E504" s="60"/>
      <c r="F504" s="60"/>
      <c r="G504" s="60"/>
      <c r="J504" s="99"/>
      <c r="K504" s="99"/>
      <c r="L504" s="99"/>
      <c r="M504" s="99"/>
      <c r="N504" s="43">
        <f t="shared" si="7"/>
        <v>0</v>
      </c>
    </row>
    <row r="505" spans="2:14" ht="1.5" customHeight="1">
      <c r="B505" s="57"/>
      <c r="C505" s="60"/>
      <c r="D505" s="60"/>
      <c r="E505" s="60"/>
      <c r="F505" s="60"/>
      <c r="G505" s="60"/>
      <c r="J505" s="99"/>
      <c r="K505" s="99"/>
      <c r="L505" s="99"/>
      <c r="M505" s="99"/>
      <c r="N505" s="43">
        <f t="shared" si="7"/>
        <v>0</v>
      </c>
    </row>
    <row r="506" spans="2:14" ht="1.5" customHeight="1">
      <c r="B506" s="57"/>
      <c r="C506" s="60"/>
      <c r="D506" s="60"/>
      <c r="E506" s="60"/>
      <c r="F506" s="60"/>
      <c r="G506" s="60"/>
      <c r="J506" s="99"/>
      <c r="K506" s="99"/>
      <c r="L506" s="99"/>
      <c r="M506" s="99"/>
      <c r="N506" s="43">
        <f t="shared" si="7"/>
        <v>0</v>
      </c>
    </row>
    <row r="507" spans="2:14" ht="1.5" customHeight="1">
      <c r="B507" s="57"/>
      <c r="C507" s="60"/>
      <c r="D507" s="60"/>
      <c r="E507" s="60"/>
      <c r="F507" s="60"/>
      <c r="G507" s="60"/>
      <c r="J507" s="99"/>
      <c r="K507" s="99"/>
      <c r="L507" s="99"/>
      <c r="M507" s="99"/>
      <c r="N507" s="43">
        <f t="shared" si="7"/>
        <v>0</v>
      </c>
    </row>
    <row r="508" spans="2:14" ht="1.5" customHeight="1">
      <c r="B508" s="57"/>
      <c r="C508" s="60"/>
      <c r="D508" s="60"/>
      <c r="E508" s="60"/>
      <c r="F508" s="60"/>
      <c r="G508" s="60"/>
      <c r="J508" s="99"/>
      <c r="K508" s="99"/>
      <c r="L508" s="99"/>
      <c r="M508" s="99"/>
      <c r="N508" s="43">
        <f t="shared" si="7"/>
        <v>0</v>
      </c>
    </row>
    <row r="509" spans="2:14" ht="1.5" customHeight="1">
      <c r="B509" s="57"/>
      <c r="C509" s="60"/>
      <c r="D509" s="60"/>
      <c r="E509" s="60"/>
      <c r="F509" s="60"/>
      <c r="G509" s="60"/>
      <c r="J509" s="99"/>
      <c r="K509" s="99"/>
      <c r="L509" s="99"/>
      <c r="M509" s="99"/>
      <c r="N509" s="43">
        <f t="shared" si="7"/>
        <v>0</v>
      </c>
    </row>
    <row r="510" spans="2:14" ht="1.5" customHeight="1">
      <c r="B510" s="57"/>
      <c r="C510" s="60"/>
      <c r="D510" s="60"/>
      <c r="E510" s="60"/>
      <c r="F510" s="60"/>
      <c r="G510" s="60"/>
      <c r="J510" s="99"/>
      <c r="K510" s="99"/>
      <c r="L510" s="99"/>
      <c r="M510" s="99"/>
      <c r="N510" s="43">
        <f t="shared" si="7"/>
        <v>0</v>
      </c>
    </row>
    <row r="511" spans="2:14" ht="1.5" customHeight="1">
      <c r="B511" s="57"/>
      <c r="C511" s="60"/>
      <c r="D511" s="60"/>
      <c r="E511" s="60"/>
      <c r="F511" s="60"/>
      <c r="G511" s="60"/>
      <c r="J511" s="99"/>
      <c r="K511" s="99"/>
      <c r="L511" s="99"/>
      <c r="M511" s="99"/>
      <c r="N511" s="43">
        <f t="shared" si="7"/>
        <v>0</v>
      </c>
    </row>
    <row r="512" spans="2:14" ht="1.5" customHeight="1">
      <c r="B512" s="57"/>
      <c r="C512" s="60"/>
      <c r="D512" s="60"/>
      <c r="E512" s="60"/>
      <c r="F512" s="60"/>
      <c r="G512" s="60"/>
      <c r="J512" s="99"/>
      <c r="K512" s="99"/>
      <c r="L512" s="99"/>
      <c r="M512" s="99"/>
      <c r="N512" s="43">
        <f t="shared" si="7"/>
        <v>0</v>
      </c>
    </row>
    <row r="513" spans="2:14" ht="1.5" customHeight="1">
      <c r="B513" s="57"/>
      <c r="C513" s="60"/>
      <c r="D513" s="60"/>
      <c r="E513" s="60"/>
      <c r="F513" s="60"/>
      <c r="G513" s="60"/>
      <c r="J513" s="99"/>
      <c r="K513" s="99"/>
      <c r="L513" s="99"/>
      <c r="M513" s="99"/>
      <c r="N513" s="43">
        <f t="shared" si="7"/>
        <v>0</v>
      </c>
    </row>
    <row r="514" spans="2:14" ht="1.5" customHeight="1">
      <c r="B514" s="57"/>
      <c r="C514" s="60"/>
      <c r="D514" s="60"/>
      <c r="E514" s="60"/>
      <c r="F514" s="60"/>
      <c r="G514" s="60"/>
      <c r="J514" s="99"/>
      <c r="K514" s="99"/>
      <c r="L514" s="99"/>
      <c r="M514" s="99"/>
      <c r="N514" s="43">
        <f t="shared" si="7"/>
        <v>0</v>
      </c>
    </row>
    <row r="515" spans="2:14" ht="1.5" customHeight="1">
      <c r="B515" s="57"/>
      <c r="C515" s="60"/>
      <c r="D515" s="60"/>
      <c r="E515" s="60"/>
      <c r="F515" s="60"/>
      <c r="G515" s="60"/>
      <c r="J515" s="99"/>
      <c r="K515" s="99"/>
      <c r="L515" s="99"/>
      <c r="M515" s="99"/>
      <c r="N515" s="43">
        <f t="shared" si="7"/>
        <v>0</v>
      </c>
    </row>
    <row r="516" spans="2:14" ht="1.5" customHeight="1">
      <c r="B516" s="57"/>
      <c r="C516" s="60"/>
      <c r="D516" s="60"/>
      <c r="E516" s="60"/>
      <c r="F516" s="60"/>
      <c r="G516" s="60"/>
      <c r="J516" s="99"/>
      <c r="K516" s="99"/>
      <c r="L516" s="99"/>
      <c r="M516" s="99"/>
      <c r="N516" s="43">
        <f t="shared" si="7"/>
        <v>0</v>
      </c>
    </row>
    <row r="517" spans="2:14" ht="1.5" customHeight="1">
      <c r="B517" s="57"/>
      <c r="C517" s="60"/>
      <c r="D517" s="60"/>
      <c r="E517" s="60"/>
      <c r="F517" s="60"/>
      <c r="G517" s="60"/>
      <c r="J517" s="99"/>
      <c r="K517" s="99"/>
      <c r="L517" s="99"/>
      <c r="M517" s="99"/>
      <c r="N517" s="43">
        <f t="shared" si="7"/>
        <v>0</v>
      </c>
    </row>
    <row r="518" spans="2:14" ht="1.5" customHeight="1">
      <c r="B518" s="57"/>
      <c r="C518" s="60"/>
      <c r="D518" s="60"/>
      <c r="E518" s="60"/>
      <c r="F518" s="60"/>
      <c r="G518" s="60"/>
      <c r="J518" s="99"/>
      <c r="K518" s="99"/>
      <c r="L518" s="99"/>
      <c r="M518" s="99"/>
      <c r="N518" s="43">
        <f t="shared" si="7"/>
        <v>0</v>
      </c>
    </row>
    <row r="519" spans="2:14" ht="1.5" customHeight="1">
      <c r="B519" s="57"/>
      <c r="C519" s="60"/>
      <c r="D519" s="60"/>
      <c r="E519" s="60"/>
      <c r="F519" s="60"/>
      <c r="G519" s="60"/>
      <c r="J519" s="99"/>
      <c r="K519" s="99"/>
      <c r="L519" s="99"/>
      <c r="M519" s="99"/>
      <c r="N519" s="43">
        <f t="shared" si="7"/>
        <v>0</v>
      </c>
    </row>
    <row r="520" spans="2:14" ht="1.5" customHeight="1">
      <c r="B520" s="57"/>
      <c r="C520" s="60"/>
      <c r="D520" s="60"/>
      <c r="E520" s="60"/>
      <c r="F520" s="60"/>
      <c r="G520" s="60"/>
      <c r="J520" s="99"/>
      <c r="K520" s="99"/>
      <c r="L520" s="99"/>
      <c r="M520" s="99"/>
      <c r="N520" s="43">
        <f t="shared" si="7"/>
        <v>0</v>
      </c>
    </row>
    <row r="521" spans="2:14" ht="1.5" customHeight="1">
      <c r="B521" s="57"/>
      <c r="C521" s="60"/>
      <c r="D521" s="60"/>
      <c r="E521" s="60"/>
      <c r="F521" s="60"/>
      <c r="G521" s="60"/>
      <c r="J521" s="99"/>
      <c r="K521" s="99"/>
      <c r="L521" s="99"/>
      <c r="M521" s="99"/>
      <c r="N521" s="43">
        <f t="shared" si="7"/>
        <v>0</v>
      </c>
    </row>
    <row r="522" spans="2:14" ht="1.5" customHeight="1">
      <c r="B522" s="57"/>
      <c r="C522" s="60"/>
      <c r="D522" s="60"/>
      <c r="E522" s="60"/>
      <c r="F522" s="60"/>
      <c r="G522" s="60"/>
      <c r="J522" s="99"/>
      <c r="K522" s="99"/>
      <c r="L522" s="99"/>
      <c r="M522" s="99"/>
      <c r="N522" s="43">
        <f t="shared" si="7"/>
        <v>0</v>
      </c>
    </row>
    <row r="523" spans="2:14" ht="1.5" customHeight="1">
      <c r="B523" s="57"/>
      <c r="C523" s="60"/>
      <c r="D523" s="60"/>
      <c r="E523" s="60"/>
      <c r="F523" s="60"/>
      <c r="G523" s="60"/>
      <c r="J523" s="99"/>
      <c r="K523" s="99"/>
      <c r="L523" s="99"/>
      <c r="M523" s="99"/>
      <c r="N523" s="43">
        <f t="shared" ref="N523:N586" si="8">IF($L$4=$C$10,C523,IF(D523="","",B523))</f>
        <v>0</v>
      </c>
    </row>
    <row r="524" spans="2:14" ht="1.5" customHeight="1">
      <c r="B524" s="57"/>
      <c r="C524" s="60"/>
      <c r="D524" s="60"/>
      <c r="E524" s="60"/>
      <c r="F524" s="60"/>
      <c r="G524" s="60"/>
      <c r="J524" s="99"/>
      <c r="K524" s="99"/>
      <c r="L524" s="99"/>
      <c r="M524" s="99"/>
      <c r="N524" s="43">
        <f t="shared" si="8"/>
        <v>0</v>
      </c>
    </row>
    <row r="525" spans="2:14" ht="1.5" customHeight="1">
      <c r="B525" s="57"/>
      <c r="C525" s="60"/>
      <c r="D525" s="60"/>
      <c r="E525" s="60"/>
      <c r="F525" s="60"/>
      <c r="G525" s="60"/>
      <c r="J525" s="99"/>
      <c r="K525" s="99"/>
      <c r="L525" s="99"/>
      <c r="M525" s="99"/>
      <c r="N525" s="43">
        <f t="shared" si="8"/>
        <v>0</v>
      </c>
    </row>
    <row r="526" spans="2:14" ht="1.5" customHeight="1">
      <c r="B526" s="57"/>
      <c r="C526" s="60"/>
      <c r="D526" s="60"/>
      <c r="E526" s="60"/>
      <c r="F526" s="60"/>
      <c r="G526" s="60"/>
      <c r="J526" s="99"/>
      <c r="K526" s="99"/>
      <c r="L526" s="99"/>
      <c r="M526" s="99"/>
      <c r="N526" s="43">
        <f t="shared" si="8"/>
        <v>0</v>
      </c>
    </row>
    <row r="527" spans="2:14" ht="1.5" customHeight="1">
      <c r="B527" s="57"/>
      <c r="C527" s="60"/>
      <c r="D527" s="60"/>
      <c r="E527" s="60"/>
      <c r="F527" s="60"/>
      <c r="G527" s="60"/>
      <c r="J527" s="99"/>
      <c r="K527" s="99"/>
      <c r="L527" s="99"/>
      <c r="M527" s="99"/>
      <c r="N527" s="43">
        <f t="shared" si="8"/>
        <v>0</v>
      </c>
    </row>
    <row r="528" spans="2:14" ht="1.5" customHeight="1">
      <c r="B528" s="57"/>
      <c r="C528" s="60"/>
      <c r="D528" s="60"/>
      <c r="E528" s="60"/>
      <c r="F528" s="60"/>
      <c r="G528" s="60"/>
      <c r="J528" s="99"/>
      <c r="K528" s="99"/>
      <c r="L528" s="99"/>
      <c r="M528" s="99"/>
      <c r="N528" s="43">
        <f t="shared" si="8"/>
        <v>0</v>
      </c>
    </row>
    <row r="529" spans="2:14" ht="1.5" customHeight="1">
      <c r="B529" s="57"/>
      <c r="C529" s="60"/>
      <c r="D529" s="60"/>
      <c r="E529" s="60"/>
      <c r="F529" s="60"/>
      <c r="G529" s="60"/>
      <c r="J529" s="99"/>
      <c r="K529" s="99"/>
      <c r="L529" s="99"/>
      <c r="M529" s="99"/>
      <c r="N529" s="43">
        <f t="shared" si="8"/>
        <v>0</v>
      </c>
    </row>
    <row r="530" spans="2:14" ht="1.5" customHeight="1">
      <c r="B530" s="57"/>
      <c r="C530" s="60"/>
      <c r="D530" s="60"/>
      <c r="E530" s="60"/>
      <c r="F530" s="60"/>
      <c r="G530" s="60"/>
      <c r="J530" s="99"/>
      <c r="K530" s="99"/>
      <c r="L530" s="99"/>
      <c r="M530" s="99"/>
      <c r="N530" s="43">
        <f t="shared" si="8"/>
        <v>0</v>
      </c>
    </row>
    <row r="531" spans="2:14" ht="1.5" customHeight="1">
      <c r="B531" s="57"/>
      <c r="C531" s="60"/>
      <c r="D531" s="60"/>
      <c r="E531" s="60"/>
      <c r="F531" s="60"/>
      <c r="G531" s="60"/>
      <c r="J531" s="99"/>
      <c r="K531" s="99"/>
      <c r="L531" s="99"/>
      <c r="M531" s="99"/>
      <c r="N531" s="43">
        <f t="shared" si="8"/>
        <v>0</v>
      </c>
    </row>
    <row r="532" spans="2:14" ht="1.5" customHeight="1">
      <c r="B532" s="57"/>
      <c r="C532" s="60"/>
      <c r="D532" s="60"/>
      <c r="E532" s="60"/>
      <c r="F532" s="60"/>
      <c r="G532" s="60"/>
      <c r="J532" s="99"/>
      <c r="K532" s="99"/>
      <c r="L532" s="99"/>
      <c r="M532" s="99"/>
      <c r="N532" s="43">
        <f t="shared" si="8"/>
        <v>0</v>
      </c>
    </row>
    <row r="533" spans="2:14" ht="1.5" customHeight="1">
      <c r="B533" s="57"/>
      <c r="C533" s="60"/>
      <c r="D533" s="60"/>
      <c r="E533" s="60"/>
      <c r="F533" s="60"/>
      <c r="G533" s="60"/>
      <c r="J533" s="99"/>
      <c r="K533" s="99"/>
      <c r="L533" s="99"/>
      <c r="M533" s="99"/>
      <c r="N533" s="43">
        <f t="shared" si="8"/>
        <v>0</v>
      </c>
    </row>
    <row r="534" spans="2:14" ht="1.5" customHeight="1">
      <c r="B534" s="57"/>
      <c r="C534" s="60"/>
      <c r="D534" s="60"/>
      <c r="E534" s="60"/>
      <c r="F534" s="60"/>
      <c r="G534" s="60"/>
      <c r="J534" s="99"/>
      <c r="K534" s="99"/>
      <c r="L534" s="99"/>
      <c r="M534" s="99"/>
      <c r="N534" s="43">
        <f t="shared" si="8"/>
        <v>0</v>
      </c>
    </row>
    <row r="535" spans="2:14" ht="1.5" customHeight="1">
      <c r="B535" s="57"/>
      <c r="C535" s="60"/>
      <c r="D535" s="60"/>
      <c r="E535" s="60"/>
      <c r="F535" s="60"/>
      <c r="G535" s="60"/>
      <c r="J535" s="99"/>
      <c r="K535" s="99"/>
      <c r="L535" s="99"/>
      <c r="M535" s="99"/>
      <c r="N535" s="43">
        <f t="shared" si="8"/>
        <v>0</v>
      </c>
    </row>
    <row r="536" spans="2:14" ht="1.5" customHeight="1">
      <c r="B536" s="57"/>
      <c r="C536" s="60"/>
      <c r="D536" s="60"/>
      <c r="E536" s="60"/>
      <c r="F536" s="60"/>
      <c r="G536" s="60"/>
      <c r="J536" s="99"/>
      <c r="K536" s="99"/>
      <c r="L536" s="99"/>
      <c r="M536" s="99"/>
      <c r="N536" s="43">
        <f t="shared" si="8"/>
        <v>0</v>
      </c>
    </row>
    <row r="537" spans="2:14" ht="1.5" customHeight="1">
      <c r="B537" s="57"/>
      <c r="C537" s="60"/>
      <c r="D537" s="60"/>
      <c r="E537" s="60"/>
      <c r="F537" s="60"/>
      <c r="G537" s="60"/>
      <c r="J537" s="99"/>
      <c r="K537" s="99"/>
      <c r="L537" s="99"/>
      <c r="M537" s="99"/>
      <c r="N537" s="43">
        <f t="shared" si="8"/>
        <v>0</v>
      </c>
    </row>
    <row r="538" spans="2:14" ht="1.5" customHeight="1">
      <c r="B538" s="57"/>
      <c r="C538" s="60"/>
      <c r="D538" s="60"/>
      <c r="E538" s="60"/>
      <c r="F538" s="60"/>
      <c r="G538" s="60"/>
      <c r="J538" s="99"/>
      <c r="K538" s="99"/>
      <c r="L538" s="99"/>
      <c r="M538" s="99"/>
      <c r="N538" s="43">
        <f t="shared" si="8"/>
        <v>0</v>
      </c>
    </row>
    <row r="539" spans="2:14" ht="1.5" customHeight="1">
      <c r="B539" s="57"/>
      <c r="C539" s="60"/>
      <c r="D539" s="60"/>
      <c r="E539" s="60"/>
      <c r="F539" s="60"/>
      <c r="G539" s="60"/>
      <c r="J539" s="99"/>
      <c r="K539" s="99"/>
      <c r="L539" s="99"/>
      <c r="M539" s="99"/>
      <c r="N539" s="43">
        <f t="shared" si="8"/>
        <v>0</v>
      </c>
    </row>
    <row r="540" spans="2:14" ht="1.5" customHeight="1">
      <c r="B540" s="57"/>
      <c r="C540" s="60"/>
      <c r="D540" s="60"/>
      <c r="E540" s="60"/>
      <c r="F540" s="60"/>
      <c r="G540" s="60"/>
      <c r="J540" s="99"/>
      <c r="K540" s="99"/>
      <c r="L540" s="99"/>
      <c r="M540" s="99"/>
      <c r="N540" s="43">
        <f t="shared" si="8"/>
        <v>0</v>
      </c>
    </row>
    <row r="541" spans="2:14" ht="1.5" customHeight="1">
      <c r="B541" s="57"/>
      <c r="C541" s="60"/>
      <c r="D541" s="60"/>
      <c r="E541" s="60"/>
      <c r="F541" s="60"/>
      <c r="G541" s="60"/>
      <c r="J541" s="99"/>
      <c r="K541" s="99"/>
      <c r="L541" s="99"/>
      <c r="M541" s="99"/>
      <c r="N541" s="43">
        <f t="shared" si="8"/>
        <v>0</v>
      </c>
    </row>
    <row r="542" spans="2:14" ht="1.5" customHeight="1">
      <c r="B542" s="57"/>
      <c r="C542" s="60"/>
      <c r="D542" s="60"/>
      <c r="E542" s="60"/>
      <c r="F542" s="60"/>
      <c r="G542" s="60"/>
      <c r="J542" s="99"/>
      <c r="K542" s="99"/>
      <c r="L542" s="99"/>
      <c r="M542" s="99"/>
      <c r="N542" s="43">
        <f t="shared" si="8"/>
        <v>0</v>
      </c>
    </row>
    <row r="543" spans="2:14" ht="1.5" customHeight="1">
      <c r="B543" s="57"/>
      <c r="C543" s="60"/>
      <c r="D543" s="60"/>
      <c r="E543" s="60"/>
      <c r="F543" s="60"/>
      <c r="G543" s="60"/>
      <c r="J543" s="99"/>
      <c r="K543" s="99"/>
      <c r="L543" s="99"/>
      <c r="M543" s="99"/>
      <c r="N543" s="43">
        <f t="shared" si="8"/>
        <v>0</v>
      </c>
    </row>
    <row r="544" spans="2:14" ht="1.5" customHeight="1">
      <c r="B544" s="57"/>
      <c r="C544" s="60"/>
      <c r="D544" s="60"/>
      <c r="E544" s="60"/>
      <c r="F544" s="60"/>
      <c r="G544" s="60"/>
      <c r="J544" s="99"/>
      <c r="K544" s="99"/>
      <c r="L544" s="99"/>
      <c r="M544" s="99"/>
      <c r="N544" s="43">
        <f t="shared" si="8"/>
        <v>0</v>
      </c>
    </row>
    <row r="545" spans="2:14" ht="1.5" customHeight="1">
      <c r="B545" s="57"/>
      <c r="C545" s="60"/>
      <c r="D545" s="60"/>
      <c r="E545" s="60"/>
      <c r="F545" s="60"/>
      <c r="G545" s="60"/>
      <c r="J545" s="99"/>
      <c r="K545" s="99"/>
      <c r="L545" s="99"/>
      <c r="M545" s="99"/>
      <c r="N545" s="43">
        <f t="shared" si="8"/>
        <v>0</v>
      </c>
    </row>
    <row r="546" spans="2:14" ht="1.5" customHeight="1">
      <c r="B546" s="57"/>
      <c r="C546" s="60"/>
      <c r="D546" s="60"/>
      <c r="E546" s="60"/>
      <c r="F546" s="60"/>
      <c r="G546" s="60"/>
      <c r="J546" s="99"/>
      <c r="K546" s="99"/>
      <c r="L546" s="99"/>
      <c r="M546" s="99"/>
      <c r="N546" s="43">
        <f t="shared" si="8"/>
        <v>0</v>
      </c>
    </row>
    <row r="547" spans="2:14" ht="1.5" customHeight="1">
      <c r="B547" s="57"/>
      <c r="C547" s="60"/>
      <c r="D547" s="60"/>
      <c r="E547" s="60"/>
      <c r="F547" s="60"/>
      <c r="G547" s="60"/>
      <c r="J547" s="99"/>
      <c r="K547" s="99"/>
      <c r="L547" s="99"/>
      <c r="M547" s="99"/>
      <c r="N547" s="43">
        <f t="shared" si="8"/>
        <v>0</v>
      </c>
    </row>
    <row r="548" spans="2:14" ht="1.5" customHeight="1">
      <c r="B548" s="57"/>
      <c r="C548" s="60"/>
      <c r="D548" s="60"/>
      <c r="E548" s="60"/>
      <c r="F548" s="60"/>
      <c r="G548" s="60"/>
      <c r="J548" s="99"/>
      <c r="K548" s="99"/>
      <c r="L548" s="99"/>
      <c r="M548" s="99"/>
      <c r="N548" s="43">
        <f t="shared" si="8"/>
        <v>0</v>
      </c>
    </row>
    <row r="549" spans="2:14" ht="1.5" customHeight="1">
      <c r="B549" s="57"/>
      <c r="C549" s="60"/>
      <c r="D549" s="60"/>
      <c r="E549" s="60"/>
      <c r="F549" s="60"/>
      <c r="G549" s="60"/>
      <c r="J549" s="99"/>
      <c r="K549" s="99"/>
      <c r="L549" s="99"/>
      <c r="M549" s="99"/>
      <c r="N549" s="43">
        <f t="shared" si="8"/>
        <v>0</v>
      </c>
    </row>
    <row r="550" spans="2:14" ht="1.5" customHeight="1">
      <c r="B550" s="57"/>
      <c r="C550" s="60"/>
      <c r="D550" s="60"/>
      <c r="E550" s="60"/>
      <c r="F550" s="60"/>
      <c r="G550" s="60"/>
      <c r="J550" s="99"/>
      <c r="K550" s="99"/>
      <c r="L550" s="99"/>
      <c r="M550" s="99"/>
      <c r="N550" s="43">
        <f t="shared" si="8"/>
        <v>0</v>
      </c>
    </row>
    <row r="551" spans="2:14" ht="1.5" customHeight="1">
      <c r="B551" s="57"/>
      <c r="C551" s="60"/>
      <c r="D551" s="60"/>
      <c r="E551" s="60"/>
      <c r="F551" s="60"/>
      <c r="G551" s="60"/>
      <c r="J551" s="99"/>
      <c r="K551" s="99"/>
      <c r="L551" s="99"/>
      <c r="M551" s="99"/>
      <c r="N551" s="43">
        <f t="shared" si="8"/>
        <v>0</v>
      </c>
    </row>
    <row r="552" spans="2:14" ht="1.5" customHeight="1">
      <c r="B552" s="57"/>
      <c r="C552" s="60"/>
      <c r="D552" s="60"/>
      <c r="E552" s="60"/>
      <c r="F552" s="60"/>
      <c r="G552" s="60"/>
      <c r="J552" s="99"/>
      <c r="K552" s="99"/>
      <c r="L552" s="99"/>
      <c r="M552" s="99"/>
      <c r="N552" s="43">
        <f t="shared" si="8"/>
        <v>0</v>
      </c>
    </row>
    <row r="553" spans="2:14" ht="1.5" customHeight="1">
      <c r="B553" s="57"/>
      <c r="C553" s="60"/>
      <c r="D553" s="60"/>
      <c r="E553" s="60"/>
      <c r="F553" s="60"/>
      <c r="G553" s="60"/>
      <c r="J553" s="99"/>
      <c r="K553" s="99"/>
      <c r="L553" s="99"/>
      <c r="M553" s="99"/>
      <c r="N553" s="43">
        <f t="shared" si="8"/>
        <v>0</v>
      </c>
    </row>
    <row r="554" spans="2:14" ht="1.5" customHeight="1">
      <c r="B554" s="57"/>
      <c r="C554" s="60"/>
      <c r="D554" s="60"/>
      <c r="E554" s="60"/>
      <c r="F554" s="60"/>
      <c r="G554" s="60"/>
      <c r="J554" s="99"/>
      <c r="K554" s="99"/>
      <c r="L554" s="99"/>
      <c r="M554" s="99"/>
      <c r="N554" s="43">
        <f t="shared" si="8"/>
        <v>0</v>
      </c>
    </row>
    <row r="555" spans="2:14" ht="1.5" customHeight="1">
      <c r="B555" s="57"/>
      <c r="C555" s="60"/>
      <c r="D555" s="60"/>
      <c r="E555" s="60"/>
      <c r="F555" s="60"/>
      <c r="G555" s="60"/>
      <c r="J555" s="99"/>
      <c r="K555" s="99"/>
      <c r="L555" s="99"/>
      <c r="M555" s="99"/>
      <c r="N555" s="43">
        <f t="shared" si="8"/>
        <v>0</v>
      </c>
    </row>
    <row r="556" spans="2:14" ht="1.5" customHeight="1">
      <c r="B556" s="57"/>
      <c r="C556" s="60"/>
      <c r="D556" s="60"/>
      <c r="E556" s="60"/>
      <c r="F556" s="60"/>
      <c r="G556" s="60"/>
      <c r="J556" s="99"/>
      <c r="K556" s="99"/>
      <c r="L556" s="99"/>
      <c r="M556" s="99"/>
      <c r="N556" s="43">
        <f t="shared" si="8"/>
        <v>0</v>
      </c>
    </row>
    <row r="557" spans="2:14" ht="1.5" customHeight="1">
      <c r="B557" s="57"/>
      <c r="C557" s="60"/>
      <c r="D557" s="60"/>
      <c r="E557" s="60"/>
      <c r="F557" s="60"/>
      <c r="G557" s="60"/>
      <c r="J557" s="99"/>
      <c r="K557" s="99"/>
      <c r="L557" s="99"/>
      <c r="M557" s="99"/>
      <c r="N557" s="43">
        <f t="shared" si="8"/>
        <v>0</v>
      </c>
    </row>
    <row r="558" spans="2:14" ht="1.5" customHeight="1">
      <c r="B558" s="57"/>
      <c r="C558" s="60"/>
      <c r="D558" s="60"/>
      <c r="E558" s="60"/>
      <c r="F558" s="60"/>
      <c r="G558" s="60"/>
      <c r="J558" s="99"/>
      <c r="K558" s="99"/>
      <c r="L558" s="99"/>
      <c r="M558" s="99"/>
      <c r="N558" s="43">
        <f t="shared" si="8"/>
        <v>0</v>
      </c>
    </row>
    <row r="559" spans="2:14" ht="1.5" customHeight="1">
      <c r="B559" s="57"/>
      <c r="C559" s="60"/>
      <c r="D559" s="60"/>
      <c r="E559" s="60"/>
      <c r="F559" s="60"/>
      <c r="G559" s="60"/>
      <c r="J559" s="99"/>
      <c r="K559" s="99"/>
      <c r="L559" s="99"/>
      <c r="M559" s="99"/>
      <c r="N559" s="43">
        <f t="shared" si="8"/>
        <v>0</v>
      </c>
    </row>
    <row r="560" spans="2:14" ht="1.5" customHeight="1">
      <c r="B560" s="57"/>
      <c r="C560" s="60"/>
      <c r="D560" s="60"/>
      <c r="E560" s="60"/>
      <c r="F560" s="60"/>
      <c r="G560" s="60"/>
      <c r="J560" s="99"/>
      <c r="K560" s="99"/>
      <c r="L560" s="99"/>
      <c r="M560" s="99"/>
      <c r="N560" s="43">
        <f t="shared" si="8"/>
        <v>0</v>
      </c>
    </row>
    <row r="561" spans="2:14" ht="1.5" customHeight="1">
      <c r="B561" s="57"/>
      <c r="C561" s="60"/>
      <c r="D561" s="60"/>
      <c r="E561" s="60"/>
      <c r="F561" s="60"/>
      <c r="G561" s="60"/>
      <c r="J561" s="99"/>
      <c r="K561" s="99"/>
      <c r="L561" s="99"/>
      <c r="M561" s="99"/>
      <c r="N561" s="43">
        <f t="shared" si="8"/>
        <v>0</v>
      </c>
    </row>
    <row r="562" spans="2:14" ht="1.5" customHeight="1">
      <c r="B562" s="57"/>
      <c r="C562" s="60"/>
      <c r="D562" s="60"/>
      <c r="E562" s="60"/>
      <c r="F562" s="60"/>
      <c r="G562" s="60"/>
      <c r="J562" s="99"/>
      <c r="K562" s="99"/>
      <c r="L562" s="99"/>
      <c r="M562" s="99"/>
      <c r="N562" s="43">
        <f t="shared" si="8"/>
        <v>0</v>
      </c>
    </row>
    <row r="563" spans="2:14" ht="1.5" customHeight="1">
      <c r="B563" s="57"/>
      <c r="C563" s="60"/>
      <c r="D563" s="60"/>
      <c r="E563" s="60"/>
      <c r="F563" s="60"/>
      <c r="G563" s="60"/>
      <c r="J563" s="99"/>
      <c r="K563" s="99"/>
      <c r="L563" s="99"/>
      <c r="M563" s="99"/>
      <c r="N563" s="43">
        <f t="shared" si="8"/>
        <v>0</v>
      </c>
    </row>
    <row r="564" spans="2:14" ht="1.5" customHeight="1">
      <c r="B564" s="57"/>
      <c r="C564" s="60"/>
      <c r="D564" s="60"/>
      <c r="E564" s="60"/>
      <c r="F564" s="60"/>
      <c r="G564" s="60"/>
      <c r="J564" s="99"/>
      <c r="K564" s="99"/>
      <c r="L564" s="99"/>
      <c r="M564" s="99"/>
      <c r="N564" s="43">
        <f t="shared" si="8"/>
        <v>0</v>
      </c>
    </row>
    <row r="565" spans="2:14" ht="1.5" customHeight="1">
      <c r="B565" s="57"/>
      <c r="C565" s="60"/>
      <c r="D565" s="60"/>
      <c r="E565" s="60"/>
      <c r="F565" s="60"/>
      <c r="G565" s="60"/>
      <c r="J565" s="99"/>
      <c r="K565" s="99"/>
      <c r="L565" s="99"/>
      <c r="M565" s="99"/>
      <c r="N565" s="43">
        <f t="shared" si="8"/>
        <v>0</v>
      </c>
    </row>
    <row r="566" spans="2:14" ht="1.5" customHeight="1">
      <c r="B566" s="57"/>
      <c r="C566" s="60"/>
      <c r="D566" s="60"/>
      <c r="E566" s="60"/>
      <c r="F566" s="60"/>
      <c r="G566" s="60"/>
      <c r="J566" s="99"/>
      <c r="K566" s="99"/>
      <c r="L566" s="99"/>
      <c r="M566" s="99"/>
      <c r="N566" s="43">
        <f t="shared" si="8"/>
        <v>0</v>
      </c>
    </row>
    <row r="567" spans="2:14" ht="1.5" customHeight="1">
      <c r="B567" s="57"/>
      <c r="C567" s="60"/>
      <c r="D567" s="60"/>
      <c r="E567" s="60"/>
      <c r="F567" s="60"/>
      <c r="G567" s="60"/>
      <c r="J567" s="99"/>
      <c r="K567" s="99"/>
      <c r="L567" s="99"/>
      <c r="M567" s="99"/>
      <c r="N567" s="43">
        <f t="shared" si="8"/>
        <v>0</v>
      </c>
    </row>
    <row r="568" spans="2:14" ht="1.5" customHeight="1">
      <c r="B568" s="57"/>
      <c r="C568" s="60"/>
      <c r="D568" s="60"/>
      <c r="E568" s="60"/>
      <c r="F568" s="60"/>
      <c r="G568" s="60"/>
      <c r="J568" s="99"/>
      <c r="K568" s="99"/>
      <c r="L568" s="99"/>
      <c r="M568" s="99"/>
      <c r="N568" s="43">
        <f t="shared" si="8"/>
        <v>0</v>
      </c>
    </row>
    <row r="569" spans="2:14" ht="1.5" customHeight="1">
      <c r="B569" s="57"/>
      <c r="C569" s="60"/>
      <c r="D569" s="60"/>
      <c r="E569" s="60"/>
      <c r="F569" s="60"/>
      <c r="G569" s="60"/>
      <c r="J569" s="99"/>
      <c r="K569" s="99"/>
      <c r="L569" s="99"/>
      <c r="M569" s="99"/>
      <c r="N569" s="43">
        <f t="shared" si="8"/>
        <v>0</v>
      </c>
    </row>
    <row r="570" spans="2:14" ht="1.5" customHeight="1">
      <c r="B570" s="57"/>
      <c r="C570" s="60"/>
      <c r="D570" s="60"/>
      <c r="E570" s="60"/>
      <c r="F570" s="60"/>
      <c r="G570" s="60"/>
      <c r="J570" s="99"/>
      <c r="K570" s="99"/>
      <c r="L570" s="99"/>
      <c r="M570" s="99"/>
      <c r="N570" s="43">
        <f t="shared" si="8"/>
        <v>0</v>
      </c>
    </row>
    <row r="571" spans="2:14" ht="1.5" customHeight="1">
      <c r="B571" s="57"/>
      <c r="C571" s="60"/>
      <c r="D571" s="60"/>
      <c r="E571" s="60"/>
      <c r="F571" s="60"/>
      <c r="G571" s="60"/>
      <c r="J571" s="99"/>
      <c r="K571" s="99"/>
      <c r="L571" s="99"/>
      <c r="M571" s="99"/>
      <c r="N571" s="43">
        <f t="shared" si="8"/>
        <v>0</v>
      </c>
    </row>
    <row r="572" spans="2:14" ht="1.5" customHeight="1">
      <c r="B572" s="57"/>
      <c r="C572" s="60"/>
      <c r="D572" s="60"/>
      <c r="E572" s="60"/>
      <c r="F572" s="60"/>
      <c r="G572" s="60"/>
      <c r="J572" s="99"/>
      <c r="K572" s="99"/>
      <c r="L572" s="99"/>
      <c r="M572" s="99"/>
      <c r="N572" s="43">
        <f t="shared" si="8"/>
        <v>0</v>
      </c>
    </row>
    <row r="573" spans="2:14" ht="1.5" customHeight="1">
      <c r="B573" s="57"/>
      <c r="C573" s="60"/>
      <c r="D573" s="60"/>
      <c r="E573" s="60"/>
      <c r="F573" s="60"/>
      <c r="G573" s="60"/>
      <c r="J573" s="99"/>
      <c r="K573" s="99"/>
      <c r="L573" s="99"/>
      <c r="M573" s="99"/>
      <c r="N573" s="43">
        <f t="shared" si="8"/>
        <v>0</v>
      </c>
    </row>
    <row r="574" spans="2:14" ht="1.5" customHeight="1">
      <c r="B574" s="57"/>
      <c r="C574" s="60"/>
      <c r="D574" s="60"/>
      <c r="E574" s="60"/>
      <c r="F574" s="60"/>
      <c r="G574" s="60"/>
      <c r="J574" s="99"/>
      <c r="K574" s="99"/>
      <c r="L574" s="99"/>
      <c r="M574" s="99"/>
      <c r="N574" s="43">
        <f t="shared" si="8"/>
        <v>0</v>
      </c>
    </row>
    <row r="575" spans="2:14" ht="1.5" customHeight="1">
      <c r="B575" s="57"/>
      <c r="C575" s="60"/>
      <c r="D575" s="60"/>
      <c r="E575" s="60"/>
      <c r="F575" s="60"/>
      <c r="G575" s="60"/>
      <c r="J575" s="99"/>
      <c r="K575" s="99"/>
      <c r="L575" s="99"/>
      <c r="M575" s="99"/>
      <c r="N575" s="43">
        <f t="shared" si="8"/>
        <v>0</v>
      </c>
    </row>
    <row r="576" spans="2:14" ht="1.5" customHeight="1">
      <c r="B576" s="57"/>
      <c r="C576" s="60"/>
      <c r="D576" s="60"/>
      <c r="E576" s="60"/>
      <c r="F576" s="60"/>
      <c r="G576" s="60"/>
      <c r="J576" s="99"/>
      <c r="K576" s="99"/>
      <c r="L576" s="99"/>
      <c r="M576" s="99"/>
      <c r="N576" s="43">
        <f t="shared" si="8"/>
        <v>0</v>
      </c>
    </row>
    <row r="577" spans="2:14" ht="1.5" customHeight="1">
      <c r="B577" s="57"/>
      <c r="C577" s="60"/>
      <c r="D577" s="60"/>
      <c r="E577" s="60"/>
      <c r="F577" s="60"/>
      <c r="G577" s="60"/>
      <c r="J577" s="99"/>
      <c r="K577" s="99"/>
      <c r="L577" s="99"/>
      <c r="M577" s="99"/>
      <c r="N577" s="43">
        <f t="shared" si="8"/>
        <v>0</v>
      </c>
    </row>
    <row r="578" spans="2:14" ht="1.5" customHeight="1">
      <c r="B578" s="57"/>
      <c r="C578" s="60"/>
      <c r="D578" s="60"/>
      <c r="E578" s="60"/>
      <c r="F578" s="60"/>
      <c r="G578" s="60"/>
      <c r="J578" s="99"/>
      <c r="K578" s="99"/>
      <c r="L578" s="99"/>
      <c r="M578" s="99"/>
      <c r="N578" s="43">
        <f t="shared" si="8"/>
        <v>0</v>
      </c>
    </row>
    <row r="579" spans="2:14" ht="1.5" customHeight="1">
      <c r="B579" s="57"/>
      <c r="C579" s="60"/>
      <c r="D579" s="60"/>
      <c r="E579" s="60"/>
      <c r="F579" s="60"/>
      <c r="G579" s="60"/>
      <c r="J579" s="99"/>
      <c r="K579" s="99"/>
      <c r="L579" s="99"/>
      <c r="M579" s="99"/>
      <c r="N579" s="43">
        <f t="shared" si="8"/>
        <v>0</v>
      </c>
    </row>
    <row r="580" spans="2:14" ht="1.5" customHeight="1">
      <c r="B580" s="57"/>
      <c r="C580" s="60"/>
      <c r="D580" s="60"/>
      <c r="E580" s="60"/>
      <c r="F580" s="60"/>
      <c r="G580" s="60"/>
      <c r="J580" s="99"/>
      <c r="K580" s="99"/>
      <c r="L580" s="99"/>
      <c r="M580" s="99"/>
      <c r="N580" s="43">
        <f t="shared" si="8"/>
        <v>0</v>
      </c>
    </row>
    <row r="581" spans="2:14" ht="1.5" customHeight="1">
      <c r="B581" s="57"/>
      <c r="C581" s="60"/>
      <c r="D581" s="60"/>
      <c r="E581" s="60"/>
      <c r="F581" s="60"/>
      <c r="G581" s="60"/>
      <c r="J581" s="99"/>
      <c r="K581" s="99"/>
      <c r="L581" s="99"/>
      <c r="M581" s="99"/>
      <c r="N581" s="43">
        <f t="shared" si="8"/>
        <v>0</v>
      </c>
    </row>
    <row r="582" spans="2:14" ht="1.5" customHeight="1">
      <c r="B582" s="57"/>
      <c r="C582" s="60"/>
      <c r="D582" s="60"/>
      <c r="E582" s="60"/>
      <c r="F582" s="60"/>
      <c r="G582" s="60"/>
      <c r="J582" s="99"/>
      <c r="K582" s="99"/>
      <c r="L582" s="99"/>
      <c r="M582" s="99"/>
      <c r="N582" s="43">
        <f t="shared" si="8"/>
        <v>0</v>
      </c>
    </row>
    <row r="583" spans="2:14" ht="1.5" customHeight="1">
      <c r="B583" s="57"/>
      <c r="C583" s="60"/>
      <c r="D583" s="60"/>
      <c r="E583" s="60"/>
      <c r="F583" s="60"/>
      <c r="G583" s="60"/>
      <c r="J583" s="99"/>
      <c r="K583" s="99"/>
      <c r="L583" s="99"/>
      <c r="M583" s="99"/>
      <c r="N583" s="43">
        <f t="shared" si="8"/>
        <v>0</v>
      </c>
    </row>
    <row r="584" spans="2:14" ht="1.5" customHeight="1">
      <c r="B584" s="57"/>
      <c r="C584" s="60"/>
      <c r="D584" s="60"/>
      <c r="E584" s="60"/>
      <c r="F584" s="60"/>
      <c r="G584" s="60"/>
      <c r="J584" s="99"/>
      <c r="K584" s="99"/>
      <c r="L584" s="99"/>
      <c r="M584" s="99"/>
      <c r="N584" s="43">
        <f t="shared" si="8"/>
        <v>0</v>
      </c>
    </row>
    <row r="585" spans="2:14" ht="1.5" customHeight="1">
      <c r="B585" s="57"/>
      <c r="C585" s="60"/>
      <c r="D585" s="60"/>
      <c r="E585" s="60"/>
      <c r="F585" s="60"/>
      <c r="G585" s="60"/>
      <c r="J585" s="99"/>
      <c r="K585" s="99"/>
      <c r="L585" s="99"/>
      <c r="M585" s="99"/>
      <c r="N585" s="43">
        <f t="shared" si="8"/>
        <v>0</v>
      </c>
    </row>
    <row r="586" spans="2:14" ht="1.5" customHeight="1">
      <c r="B586" s="57"/>
      <c r="C586" s="60"/>
      <c r="D586" s="60"/>
      <c r="E586" s="60"/>
      <c r="F586" s="60"/>
      <c r="G586" s="60"/>
      <c r="J586" s="99"/>
      <c r="K586" s="99"/>
      <c r="L586" s="99"/>
      <c r="M586" s="99"/>
      <c r="N586" s="43">
        <f t="shared" si="8"/>
        <v>0</v>
      </c>
    </row>
    <row r="587" spans="2:14" ht="1.5" customHeight="1">
      <c r="B587" s="57"/>
      <c r="C587" s="60"/>
      <c r="D587" s="60"/>
      <c r="E587" s="60"/>
      <c r="F587" s="60"/>
      <c r="G587" s="60"/>
      <c r="J587" s="99"/>
      <c r="K587" s="99"/>
      <c r="L587" s="99"/>
      <c r="M587" s="99"/>
      <c r="N587" s="43">
        <f t="shared" ref="N587:N650" si="9">IF($L$4=$C$10,C587,IF(D587="","",B587))</f>
        <v>0</v>
      </c>
    </row>
    <row r="588" spans="2:14" ht="1.5" customHeight="1">
      <c r="B588" s="57"/>
      <c r="C588" s="60"/>
      <c r="D588" s="60"/>
      <c r="E588" s="60"/>
      <c r="F588" s="60"/>
      <c r="G588" s="60"/>
      <c r="J588" s="99"/>
      <c r="K588" s="99"/>
      <c r="L588" s="99"/>
      <c r="M588" s="99"/>
      <c r="N588" s="43">
        <f t="shared" si="9"/>
        <v>0</v>
      </c>
    </row>
    <row r="589" spans="2:14" ht="1.5" customHeight="1">
      <c r="B589" s="57"/>
      <c r="C589" s="60"/>
      <c r="D589" s="60"/>
      <c r="E589" s="60"/>
      <c r="F589" s="60"/>
      <c r="G589" s="60"/>
      <c r="J589" s="99"/>
      <c r="K589" s="99"/>
      <c r="L589" s="99"/>
      <c r="M589" s="99"/>
      <c r="N589" s="43">
        <f t="shared" si="9"/>
        <v>0</v>
      </c>
    </row>
    <row r="590" spans="2:14" ht="1.5" customHeight="1">
      <c r="B590" s="57"/>
      <c r="C590" s="60"/>
      <c r="D590" s="60"/>
      <c r="E590" s="60"/>
      <c r="F590" s="60"/>
      <c r="G590" s="60"/>
      <c r="J590" s="99"/>
      <c r="K590" s="99"/>
      <c r="L590" s="99"/>
      <c r="M590" s="99"/>
      <c r="N590" s="43">
        <f t="shared" si="9"/>
        <v>0</v>
      </c>
    </row>
    <row r="591" spans="2:14" ht="1.5" customHeight="1">
      <c r="B591" s="57"/>
      <c r="C591" s="60"/>
      <c r="D591" s="60"/>
      <c r="E591" s="60"/>
      <c r="F591" s="60"/>
      <c r="G591" s="60"/>
      <c r="J591" s="99"/>
      <c r="K591" s="99"/>
      <c r="L591" s="99"/>
      <c r="M591" s="99"/>
      <c r="N591" s="43">
        <f t="shared" si="9"/>
        <v>0</v>
      </c>
    </row>
    <row r="592" spans="2:14" ht="1.5" customHeight="1">
      <c r="B592" s="57"/>
      <c r="C592" s="60"/>
      <c r="D592" s="60"/>
      <c r="E592" s="60"/>
      <c r="F592" s="60"/>
      <c r="G592" s="60"/>
      <c r="J592" s="99"/>
      <c r="K592" s="99"/>
      <c r="L592" s="99"/>
      <c r="M592" s="99"/>
      <c r="N592" s="43">
        <f t="shared" si="9"/>
        <v>0</v>
      </c>
    </row>
    <row r="593" spans="2:14" ht="1.5" customHeight="1">
      <c r="B593" s="57"/>
      <c r="C593" s="60"/>
      <c r="D593" s="60"/>
      <c r="E593" s="60"/>
      <c r="F593" s="60"/>
      <c r="G593" s="60"/>
      <c r="J593" s="99"/>
      <c r="K593" s="99"/>
      <c r="L593" s="99"/>
      <c r="M593" s="99"/>
      <c r="N593" s="43">
        <f t="shared" si="9"/>
        <v>0</v>
      </c>
    </row>
    <row r="594" spans="2:14" ht="1.5" customHeight="1">
      <c r="B594" s="57"/>
      <c r="C594" s="60"/>
      <c r="D594" s="60"/>
      <c r="E594" s="60"/>
      <c r="F594" s="60"/>
      <c r="G594" s="60"/>
      <c r="J594" s="99"/>
      <c r="K594" s="99"/>
      <c r="L594" s="99"/>
      <c r="M594" s="99"/>
      <c r="N594" s="43">
        <f t="shared" si="9"/>
        <v>0</v>
      </c>
    </row>
    <row r="595" spans="2:14" ht="1.5" customHeight="1">
      <c r="B595" s="57"/>
      <c r="C595" s="60"/>
      <c r="D595" s="60"/>
      <c r="E595" s="60"/>
      <c r="F595" s="60"/>
      <c r="G595" s="60"/>
      <c r="J595" s="99"/>
      <c r="K595" s="99"/>
      <c r="L595" s="99"/>
      <c r="M595" s="99"/>
      <c r="N595" s="43">
        <f t="shared" si="9"/>
        <v>0</v>
      </c>
    </row>
    <row r="596" spans="2:14" ht="1.5" customHeight="1">
      <c r="B596" s="57"/>
      <c r="C596" s="60"/>
      <c r="D596" s="60"/>
      <c r="E596" s="60"/>
      <c r="F596" s="60"/>
      <c r="G596" s="60"/>
      <c r="J596" s="99"/>
      <c r="K596" s="99"/>
      <c r="L596" s="99"/>
      <c r="M596" s="99"/>
      <c r="N596" s="43">
        <f t="shared" si="9"/>
        <v>0</v>
      </c>
    </row>
    <row r="597" spans="2:14" ht="1.5" customHeight="1">
      <c r="B597" s="57"/>
      <c r="C597" s="60"/>
      <c r="D597" s="60"/>
      <c r="E597" s="60"/>
      <c r="F597" s="60"/>
      <c r="G597" s="60"/>
      <c r="J597" s="99"/>
      <c r="K597" s="99"/>
      <c r="L597" s="99"/>
      <c r="M597" s="99"/>
      <c r="N597" s="43">
        <f t="shared" si="9"/>
        <v>0</v>
      </c>
    </row>
    <row r="598" spans="2:14" ht="1.5" customHeight="1">
      <c r="B598" s="57"/>
      <c r="C598" s="60"/>
      <c r="D598" s="60"/>
      <c r="E598" s="60"/>
      <c r="F598" s="60"/>
      <c r="G598" s="60"/>
      <c r="J598" s="99"/>
      <c r="K598" s="99"/>
      <c r="L598" s="99"/>
      <c r="M598" s="99"/>
      <c r="N598" s="43">
        <f t="shared" si="9"/>
        <v>0</v>
      </c>
    </row>
    <row r="599" spans="2:14" ht="1.5" customHeight="1">
      <c r="B599" s="57"/>
      <c r="C599" s="60"/>
      <c r="D599" s="60"/>
      <c r="E599" s="60"/>
      <c r="F599" s="60"/>
      <c r="G599" s="60"/>
      <c r="J599" s="99"/>
      <c r="K599" s="99"/>
      <c r="L599" s="99"/>
      <c r="M599" s="99"/>
      <c r="N599" s="43">
        <f t="shared" si="9"/>
        <v>0</v>
      </c>
    </row>
    <row r="600" spans="2:14" ht="1.5" customHeight="1">
      <c r="B600" s="57"/>
      <c r="C600" s="60"/>
      <c r="D600" s="60"/>
      <c r="E600" s="60"/>
      <c r="F600" s="60"/>
      <c r="G600" s="60"/>
      <c r="J600" s="99"/>
      <c r="K600" s="99"/>
      <c r="L600" s="99"/>
      <c r="M600" s="99"/>
      <c r="N600" s="43">
        <f t="shared" si="9"/>
        <v>0</v>
      </c>
    </row>
    <row r="601" spans="2:14" ht="1.5" customHeight="1">
      <c r="B601" s="57"/>
      <c r="C601" s="60"/>
      <c r="D601" s="60"/>
      <c r="E601" s="60"/>
      <c r="F601" s="60"/>
      <c r="G601" s="60"/>
      <c r="J601" s="99"/>
      <c r="K601" s="99"/>
      <c r="L601" s="99"/>
      <c r="M601" s="99"/>
      <c r="N601" s="43">
        <f t="shared" si="9"/>
        <v>0</v>
      </c>
    </row>
    <row r="602" spans="2:14" ht="1.5" customHeight="1">
      <c r="B602" s="57"/>
      <c r="C602" s="60"/>
      <c r="D602" s="60"/>
      <c r="E602" s="60"/>
      <c r="F602" s="60"/>
      <c r="G602" s="60"/>
      <c r="J602" s="99"/>
      <c r="K602" s="99"/>
      <c r="L602" s="99"/>
      <c r="M602" s="99"/>
      <c r="N602" s="43">
        <f t="shared" si="9"/>
        <v>0</v>
      </c>
    </row>
    <row r="603" spans="2:14" ht="1.5" customHeight="1">
      <c r="B603" s="57"/>
      <c r="C603" s="60"/>
      <c r="D603" s="60"/>
      <c r="E603" s="60"/>
      <c r="F603" s="60"/>
      <c r="G603" s="60"/>
      <c r="J603" s="99"/>
      <c r="K603" s="99"/>
      <c r="L603" s="99"/>
      <c r="M603" s="99"/>
      <c r="N603" s="43">
        <f t="shared" si="9"/>
        <v>0</v>
      </c>
    </row>
    <row r="604" spans="2:14" ht="1.5" customHeight="1">
      <c r="B604" s="57"/>
      <c r="C604" s="60"/>
      <c r="D604" s="60"/>
      <c r="E604" s="60"/>
      <c r="F604" s="60"/>
      <c r="G604" s="60"/>
      <c r="J604" s="99"/>
      <c r="K604" s="99"/>
      <c r="L604" s="99"/>
      <c r="M604" s="99"/>
      <c r="N604" s="43">
        <f t="shared" si="9"/>
        <v>0</v>
      </c>
    </row>
    <row r="605" spans="2:14" ht="1.5" customHeight="1">
      <c r="B605" s="57"/>
      <c r="C605" s="60"/>
      <c r="D605" s="60"/>
      <c r="E605" s="60"/>
      <c r="F605" s="60"/>
      <c r="G605" s="60"/>
      <c r="J605" s="99"/>
      <c r="K605" s="99"/>
      <c r="L605" s="99"/>
      <c r="M605" s="99"/>
      <c r="N605" s="43">
        <f t="shared" si="9"/>
        <v>0</v>
      </c>
    </row>
    <row r="606" spans="2:14" ht="1.5" customHeight="1">
      <c r="B606" s="57"/>
      <c r="C606" s="60"/>
      <c r="D606" s="60"/>
      <c r="E606" s="60"/>
      <c r="F606" s="60"/>
      <c r="G606" s="60"/>
      <c r="J606" s="99"/>
      <c r="K606" s="99"/>
      <c r="L606" s="99"/>
      <c r="M606" s="99"/>
      <c r="N606" s="43">
        <f t="shared" si="9"/>
        <v>0</v>
      </c>
    </row>
    <row r="607" spans="2:14" ht="1.5" customHeight="1">
      <c r="B607" s="57"/>
      <c r="C607" s="60"/>
      <c r="D607" s="60"/>
      <c r="E607" s="60"/>
      <c r="F607" s="60"/>
      <c r="G607" s="60"/>
      <c r="J607" s="99"/>
      <c r="K607" s="99"/>
      <c r="L607" s="99"/>
      <c r="M607" s="99"/>
      <c r="N607" s="43">
        <f t="shared" si="9"/>
        <v>0</v>
      </c>
    </row>
    <row r="608" spans="2:14" ht="1.5" customHeight="1">
      <c r="B608" s="57"/>
      <c r="C608" s="60"/>
      <c r="D608" s="60"/>
      <c r="E608" s="60"/>
      <c r="F608" s="60"/>
      <c r="G608" s="60"/>
      <c r="J608" s="99"/>
      <c r="K608" s="99"/>
      <c r="L608" s="99"/>
      <c r="M608" s="99"/>
      <c r="N608" s="43">
        <f t="shared" si="9"/>
        <v>0</v>
      </c>
    </row>
    <row r="609" spans="2:14" ht="1.5" customHeight="1">
      <c r="B609" s="57"/>
      <c r="C609" s="60"/>
      <c r="D609" s="60"/>
      <c r="E609" s="60"/>
      <c r="F609" s="60"/>
      <c r="G609" s="60"/>
      <c r="J609" s="99"/>
      <c r="K609" s="99"/>
      <c r="L609" s="99"/>
      <c r="M609" s="99"/>
      <c r="N609" s="43">
        <f t="shared" si="9"/>
        <v>0</v>
      </c>
    </row>
    <row r="610" spans="2:14" ht="1.5" customHeight="1">
      <c r="B610" s="57"/>
      <c r="C610" s="60"/>
      <c r="D610" s="60"/>
      <c r="E610" s="60"/>
      <c r="F610" s="60"/>
      <c r="G610" s="60"/>
      <c r="J610" s="99"/>
      <c r="K610" s="99"/>
      <c r="L610" s="99"/>
      <c r="M610" s="99"/>
      <c r="N610" s="43">
        <f t="shared" si="9"/>
        <v>0</v>
      </c>
    </row>
    <row r="611" spans="2:14" ht="1.5" customHeight="1">
      <c r="B611" s="57"/>
      <c r="C611" s="60"/>
      <c r="D611" s="60"/>
      <c r="E611" s="60"/>
      <c r="F611" s="60"/>
      <c r="G611" s="60"/>
      <c r="J611" s="99"/>
      <c r="K611" s="99"/>
      <c r="L611" s="99"/>
      <c r="M611" s="99"/>
      <c r="N611" s="43">
        <f t="shared" si="9"/>
        <v>0</v>
      </c>
    </row>
    <row r="612" spans="2:14" ht="1.5" customHeight="1">
      <c r="B612" s="57"/>
      <c r="C612" s="60"/>
      <c r="D612" s="60"/>
      <c r="E612" s="60"/>
      <c r="F612" s="60"/>
      <c r="G612" s="60"/>
      <c r="J612" s="99"/>
      <c r="K612" s="99"/>
      <c r="L612" s="99"/>
      <c r="M612" s="99"/>
      <c r="N612" s="43">
        <f t="shared" si="9"/>
        <v>0</v>
      </c>
    </row>
    <row r="613" spans="2:14" ht="1.5" customHeight="1">
      <c r="B613" s="57"/>
      <c r="C613" s="60"/>
      <c r="D613" s="60"/>
      <c r="E613" s="60"/>
      <c r="F613" s="60"/>
      <c r="G613" s="60"/>
      <c r="J613" s="99"/>
      <c r="K613" s="99"/>
      <c r="L613" s="99"/>
      <c r="M613" s="99"/>
      <c r="N613" s="43">
        <f t="shared" si="9"/>
        <v>0</v>
      </c>
    </row>
    <row r="614" spans="2:14" ht="1.5" customHeight="1">
      <c r="B614" s="57"/>
      <c r="C614" s="60"/>
      <c r="D614" s="60"/>
      <c r="E614" s="60"/>
      <c r="F614" s="60"/>
      <c r="G614" s="60"/>
      <c r="J614" s="99"/>
      <c r="K614" s="99"/>
      <c r="L614" s="99"/>
      <c r="M614" s="99"/>
      <c r="N614" s="43">
        <f t="shared" si="9"/>
        <v>0</v>
      </c>
    </row>
    <row r="615" spans="2:14" ht="1.5" customHeight="1">
      <c r="B615" s="57"/>
      <c r="C615" s="60"/>
      <c r="D615" s="60"/>
      <c r="E615" s="60"/>
      <c r="F615" s="60"/>
      <c r="G615" s="60"/>
      <c r="J615" s="99"/>
      <c r="K615" s="99"/>
      <c r="L615" s="99"/>
      <c r="M615" s="99"/>
      <c r="N615" s="43">
        <f t="shared" si="9"/>
        <v>0</v>
      </c>
    </row>
    <row r="616" spans="2:14" ht="1.5" customHeight="1">
      <c r="B616" s="57"/>
      <c r="C616" s="60"/>
      <c r="D616" s="60"/>
      <c r="E616" s="60"/>
      <c r="F616" s="60"/>
      <c r="G616" s="60"/>
      <c r="J616" s="99"/>
      <c r="K616" s="99"/>
      <c r="L616" s="99"/>
      <c r="M616" s="99"/>
      <c r="N616" s="43">
        <f t="shared" si="9"/>
        <v>0</v>
      </c>
    </row>
    <row r="617" spans="2:14" ht="1.5" customHeight="1">
      <c r="B617" s="57"/>
      <c r="C617" s="60"/>
      <c r="D617" s="60"/>
      <c r="E617" s="60"/>
      <c r="F617" s="60"/>
      <c r="G617" s="60"/>
      <c r="J617" s="99"/>
      <c r="K617" s="99"/>
      <c r="L617" s="99"/>
      <c r="M617" s="99"/>
      <c r="N617" s="43">
        <f t="shared" si="9"/>
        <v>0</v>
      </c>
    </row>
    <row r="618" spans="2:14" ht="1.5" customHeight="1">
      <c r="B618" s="57"/>
      <c r="C618" s="60"/>
      <c r="D618" s="60"/>
      <c r="E618" s="60"/>
      <c r="F618" s="60"/>
      <c r="G618" s="60"/>
      <c r="J618" s="99"/>
      <c r="K618" s="99"/>
      <c r="L618" s="99"/>
      <c r="M618" s="99"/>
      <c r="N618" s="43">
        <f t="shared" si="9"/>
        <v>0</v>
      </c>
    </row>
    <row r="619" spans="2:14" ht="1.5" customHeight="1">
      <c r="B619" s="57"/>
      <c r="C619" s="60"/>
      <c r="D619" s="60"/>
      <c r="E619" s="60"/>
      <c r="F619" s="60"/>
      <c r="G619" s="60"/>
      <c r="J619" s="99"/>
      <c r="K619" s="99"/>
      <c r="L619" s="99"/>
      <c r="M619" s="99"/>
      <c r="N619" s="43">
        <f t="shared" si="9"/>
        <v>0</v>
      </c>
    </row>
    <row r="620" spans="2:14" ht="1.5" customHeight="1">
      <c r="B620" s="57"/>
      <c r="C620" s="60"/>
      <c r="D620" s="60"/>
      <c r="E620" s="60"/>
      <c r="F620" s="60"/>
      <c r="G620" s="60"/>
      <c r="J620" s="99"/>
      <c r="K620" s="99"/>
      <c r="L620" s="99"/>
      <c r="M620" s="99"/>
      <c r="N620" s="43">
        <f t="shared" si="9"/>
        <v>0</v>
      </c>
    </row>
    <row r="621" spans="2:14" ht="1.5" customHeight="1">
      <c r="B621" s="57"/>
      <c r="C621" s="60"/>
      <c r="D621" s="60"/>
      <c r="E621" s="60"/>
      <c r="F621" s="60"/>
      <c r="G621" s="60"/>
      <c r="J621" s="99"/>
      <c r="K621" s="99"/>
      <c r="L621" s="99"/>
      <c r="M621" s="99"/>
      <c r="N621" s="43">
        <f t="shared" si="9"/>
        <v>0</v>
      </c>
    </row>
    <row r="622" spans="2:14" ht="1.5" customHeight="1">
      <c r="B622" s="57"/>
      <c r="C622" s="60"/>
      <c r="D622" s="60"/>
      <c r="E622" s="60"/>
      <c r="F622" s="60"/>
      <c r="G622" s="60"/>
      <c r="J622" s="99"/>
      <c r="K622" s="99"/>
      <c r="L622" s="99"/>
      <c r="M622" s="99"/>
      <c r="N622" s="43">
        <f t="shared" si="9"/>
        <v>0</v>
      </c>
    </row>
    <row r="623" spans="2:14" ht="1.5" customHeight="1">
      <c r="B623" s="57"/>
      <c r="C623" s="60"/>
      <c r="D623" s="60"/>
      <c r="E623" s="60"/>
      <c r="F623" s="60"/>
      <c r="G623" s="60"/>
      <c r="J623" s="99"/>
      <c r="K623" s="99"/>
      <c r="L623" s="99"/>
      <c r="M623" s="99"/>
      <c r="N623" s="43">
        <f t="shared" si="9"/>
        <v>0</v>
      </c>
    </row>
    <row r="624" spans="2:14" ht="1.5" customHeight="1">
      <c r="B624" s="57"/>
      <c r="C624" s="60"/>
      <c r="D624" s="60"/>
      <c r="E624" s="60"/>
      <c r="F624" s="60"/>
      <c r="G624" s="60"/>
      <c r="J624" s="99"/>
      <c r="K624" s="99"/>
      <c r="L624" s="99"/>
      <c r="M624" s="99"/>
      <c r="N624" s="43">
        <f t="shared" si="9"/>
        <v>0</v>
      </c>
    </row>
    <row r="625" spans="2:14" ht="1.5" customHeight="1">
      <c r="B625" s="57"/>
      <c r="C625" s="60"/>
      <c r="D625" s="60"/>
      <c r="E625" s="60"/>
      <c r="F625" s="60"/>
      <c r="G625" s="60"/>
      <c r="J625" s="99"/>
      <c r="K625" s="99"/>
      <c r="L625" s="99"/>
      <c r="M625" s="99"/>
      <c r="N625" s="43">
        <f t="shared" si="9"/>
        <v>0</v>
      </c>
    </row>
    <row r="626" spans="2:14" ht="1.5" customHeight="1">
      <c r="B626" s="57"/>
      <c r="C626" s="60"/>
      <c r="D626" s="60"/>
      <c r="E626" s="60"/>
      <c r="F626" s="60"/>
      <c r="G626" s="60"/>
      <c r="J626" s="99"/>
      <c r="K626" s="99"/>
      <c r="L626" s="99"/>
      <c r="M626" s="99"/>
      <c r="N626" s="43">
        <f t="shared" si="9"/>
        <v>0</v>
      </c>
    </row>
    <row r="627" spans="2:14" ht="1.5" customHeight="1">
      <c r="B627" s="57"/>
      <c r="C627" s="60"/>
      <c r="D627" s="60"/>
      <c r="E627" s="60"/>
      <c r="F627" s="60"/>
      <c r="G627" s="60"/>
      <c r="J627" s="99"/>
      <c r="K627" s="99"/>
      <c r="L627" s="99"/>
      <c r="M627" s="99"/>
      <c r="N627" s="43">
        <f t="shared" si="9"/>
        <v>0</v>
      </c>
    </row>
    <row r="628" spans="2:14" ht="1.5" customHeight="1">
      <c r="B628" s="57"/>
      <c r="C628" s="60"/>
      <c r="D628" s="60"/>
      <c r="E628" s="60"/>
      <c r="F628" s="60"/>
      <c r="G628" s="60"/>
      <c r="J628" s="99"/>
      <c r="K628" s="99"/>
      <c r="L628" s="99"/>
      <c r="M628" s="99"/>
      <c r="N628" s="43">
        <f t="shared" si="9"/>
        <v>0</v>
      </c>
    </row>
    <row r="629" spans="2:14" ht="1.5" customHeight="1">
      <c r="B629" s="57"/>
      <c r="C629" s="60"/>
      <c r="D629" s="60"/>
      <c r="E629" s="60"/>
      <c r="F629" s="60"/>
      <c r="G629" s="60"/>
      <c r="J629" s="99"/>
      <c r="K629" s="99"/>
      <c r="L629" s="99"/>
      <c r="M629" s="99"/>
      <c r="N629" s="43">
        <f t="shared" si="9"/>
        <v>0</v>
      </c>
    </row>
    <row r="630" spans="2:14" ht="1.5" customHeight="1">
      <c r="B630" s="57"/>
      <c r="C630" s="60"/>
      <c r="D630" s="60"/>
      <c r="E630" s="60"/>
      <c r="F630" s="60"/>
      <c r="G630" s="60"/>
      <c r="J630" s="99"/>
      <c r="K630" s="99"/>
      <c r="L630" s="99"/>
      <c r="M630" s="99"/>
      <c r="N630" s="43">
        <f t="shared" si="9"/>
        <v>0</v>
      </c>
    </row>
    <row r="631" spans="2:14" ht="1.5" customHeight="1">
      <c r="B631" s="57"/>
      <c r="C631" s="60"/>
      <c r="D631" s="60"/>
      <c r="E631" s="60"/>
      <c r="F631" s="60"/>
      <c r="G631" s="60"/>
      <c r="J631" s="99"/>
      <c r="K631" s="99"/>
      <c r="L631" s="99"/>
      <c r="M631" s="99"/>
      <c r="N631" s="43">
        <f t="shared" si="9"/>
        <v>0</v>
      </c>
    </row>
    <row r="632" spans="2:14" ht="1.5" customHeight="1">
      <c r="B632" s="57"/>
      <c r="C632" s="60"/>
      <c r="D632" s="60"/>
      <c r="E632" s="60"/>
      <c r="F632" s="60"/>
      <c r="G632" s="60"/>
      <c r="J632" s="99"/>
      <c r="K632" s="99"/>
      <c r="L632" s="99"/>
      <c r="M632" s="99"/>
      <c r="N632" s="43">
        <f t="shared" si="9"/>
        <v>0</v>
      </c>
    </row>
    <row r="633" spans="2:14" ht="1.5" customHeight="1">
      <c r="B633" s="57"/>
      <c r="C633" s="60"/>
      <c r="D633" s="60"/>
      <c r="E633" s="60"/>
      <c r="F633" s="60"/>
      <c r="G633" s="60"/>
      <c r="J633" s="99"/>
      <c r="K633" s="99"/>
      <c r="L633" s="99"/>
      <c r="M633" s="99"/>
      <c r="N633" s="43">
        <f t="shared" si="9"/>
        <v>0</v>
      </c>
    </row>
    <row r="634" spans="2:14" ht="1.5" customHeight="1">
      <c r="B634" s="57"/>
      <c r="C634" s="60"/>
      <c r="D634" s="60"/>
      <c r="E634" s="60"/>
      <c r="F634" s="60"/>
      <c r="G634" s="60"/>
      <c r="J634" s="99"/>
      <c r="K634" s="99"/>
      <c r="L634" s="99"/>
      <c r="M634" s="99"/>
      <c r="N634" s="43">
        <f t="shared" si="9"/>
        <v>0</v>
      </c>
    </row>
    <row r="635" spans="2:14" ht="1.5" customHeight="1">
      <c r="B635" s="57"/>
      <c r="C635" s="60"/>
      <c r="D635" s="60"/>
      <c r="E635" s="60"/>
      <c r="F635" s="60"/>
      <c r="G635" s="60"/>
      <c r="J635" s="99"/>
      <c r="K635" s="99"/>
      <c r="L635" s="99"/>
      <c r="M635" s="99"/>
      <c r="N635" s="43">
        <f t="shared" si="9"/>
        <v>0</v>
      </c>
    </row>
    <row r="636" spans="2:14" ht="1.5" customHeight="1">
      <c r="B636" s="57"/>
      <c r="C636" s="60"/>
      <c r="D636" s="60"/>
      <c r="E636" s="60"/>
      <c r="F636" s="60"/>
      <c r="G636" s="60"/>
      <c r="J636" s="99"/>
      <c r="K636" s="99"/>
      <c r="L636" s="99"/>
      <c r="M636" s="99"/>
      <c r="N636" s="43">
        <f t="shared" si="9"/>
        <v>0</v>
      </c>
    </row>
    <row r="637" spans="2:14" ht="1.5" customHeight="1">
      <c r="B637" s="57"/>
      <c r="C637" s="60"/>
      <c r="D637" s="60"/>
      <c r="E637" s="60"/>
      <c r="F637" s="60"/>
      <c r="G637" s="60"/>
      <c r="J637" s="99"/>
      <c r="K637" s="99"/>
      <c r="L637" s="99"/>
      <c r="M637" s="99"/>
      <c r="N637" s="43">
        <f t="shared" si="9"/>
        <v>0</v>
      </c>
    </row>
    <row r="638" spans="2:14" ht="1.5" customHeight="1">
      <c r="B638" s="57"/>
      <c r="C638" s="60"/>
      <c r="D638" s="60"/>
      <c r="E638" s="60"/>
      <c r="F638" s="60"/>
      <c r="G638" s="60"/>
      <c r="J638" s="99"/>
      <c r="K638" s="99"/>
      <c r="L638" s="99"/>
      <c r="M638" s="99"/>
      <c r="N638" s="43">
        <f t="shared" si="9"/>
        <v>0</v>
      </c>
    </row>
    <row r="639" spans="2:14" ht="1.5" customHeight="1">
      <c r="B639" s="57"/>
      <c r="C639" s="60"/>
      <c r="D639" s="60"/>
      <c r="E639" s="60"/>
      <c r="F639" s="60"/>
      <c r="G639" s="60"/>
      <c r="J639" s="99"/>
      <c r="K639" s="99"/>
      <c r="L639" s="99"/>
      <c r="M639" s="99"/>
      <c r="N639" s="43">
        <f t="shared" si="9"/>
        <v>0</v>
      </c>
    </row>
    <row r="640" spans="2:14" ht="1.5" customHeight="1">
      <c r="B640" s="57"/>
      <c r="C640" s="60"/>
      <c r="D640" s="60"/>
      <c r="E640" s="60"/>
      <c r="F640" s="60"/>
      <c r="G640" s="60"/>
      <c r="J640" s="99"/>
      <c r="K640" s="99"/>
      <c r="L640" s="99"/>
      <c r="M640" s="99"/>
      <c r="N640" s="43">
        <f t="shared" si="9"/>
        <v>0</v>
      </c>
    </row>
    <row r="641" spans="2:14" ht="1.5" customHeight="1">
      <c r="B641" s="57"/>
      <c r="C641" s="60"/>
      <c r="D641" s="60"/>
      <c r="E641" s="60"/>
      <c r="F641" s="60"/>
      <c r="G641" s="60"/>
      <c r="J641" s="99"/>
      <c r="K641" s="99"/>
      <c r="L641" s="99"/>
      <c r="M641" s="99"/>
      <c r="N641" s="43">
        <f t="shared" si="9"/>
        <v>0</v>
      </c>
    </row>
    <row r="642" spans="2:14" ht="1.5" customHeight="1">
      <c r="B642" s="57"/>
      <c r="C642" s="60"/>
      <c r="D642" s="60"/>
      <c r="E642" s="60"/>
      <c r="F642" s="60"/>
      <c r="G642" s="60"/>
      <c r="J642" s="99"/>
      <c r="K642" s="99"/>
      <c r="L642" s="99"/>
      <c r="M642" s="99"/>
      <c r="N642" s="43">
        <f t="shared" si="9"/>
        <v>0</v>
      </c>
    </row>
    <row r="643" spans="2:14" ht="1.5" customHeight="1">
      <c r="B643" s="57"/>
      <c r="C643" s="60"/>
      <c r="D643" s="60"/>
      <c r="E643" s="60"/>
      <c r="F643" s="60"/>
      <c r="G643" s="60"/>
      <c r="J643" s="99"/>
      <c r="K643" s="99"/>
      <c r="L643" s="99"/>
      <c r="M643" s="99"/>
      <c r="N643" s="43">
        <f t="shared" si="9"/>
        <v>0</v>
      </c>
    </row>
    <row r="644" spans="2:14" ht="1.5" customHeight="1">
      <c r="B644" s="57"/>
      <c r="C644" s="60"/>
      <c r="D644" s="60"/>
      <c r="E644" s="60"/>
      <c r="F644" s="60"/>
      <c r="G644" s="60"/>
      <c r="J644" s="99"/>
      <c r="K644" s="99"/>
      <c r="L644" s="99"/>
      <c r="M644" s="99"/>
      <c r="N644" s="43">
        <f t="shared" si="9"/>
        <v>0</v>
      </c>
    </row>
    <row r="645" spans="2:14" ht="1.5" customHeight="1">
      <c r="B645" s="57"/>
      <c r="C645" s="60"/>
      <c r="D645" s="60"/>
      <c r="E645" s="60"/>
      <c r="F645" s="60"/>
      <c r="G645" s="60"/>
      <c r="J645" s="99"/>
      <c r="K645" s="99"/>
      <c r="L645" s="99"/>
      <c r="M645" s="99"/>
      <c r="N645" s="43">
        <f t="shared" si="9"/>
        <v>0</v>
      </c>
    </row>
    <row r="646" spans="2:14" ht="1.5" customHeight="1">
      <c r="B646" s="57"/>
      <c r="C646" s="60"/>
      <c r="D646" s="60"/>
      <c r="E646" s="60"/>
      <c r="F646" s="60"/>
      <c r="G646" s="60"/>
      <c r="J646" s="99"/>
      <c r="K646" s="99"/>
      <c r="L646" s="99"/>
      <c r="M646" s="99"/>
      <c r="N646" s="43">
        <f t="shared" si="9"/>
        <v>0</v>
      </c>
    </row>
    <row r="647" spans="2:14" ht="1.5" customHeight="1">
      <c r="B647" s="57"/>
      <c r="C647" s="60"/>
      <c r="D647" s="60"/>
      <c r="E647" s="60"/>
      <c r="F647" s="60"/>
      <c r="G647" s="60"/>
      <c r="J647" s="99"/>
      <c r="K647" s="99"/>
      <c r="L647" s="99"/>
      <c r="M647" s="99"/>
      <c r="N647" s="43">
        <f t="shared" si="9"/>
        <v>0</v>
      </c>
    </row>
    <row r="648" spans="2:14" ht="1.5" customHeight="1">
      <c r="B648" s="57"/>
      <c r="C648" s="60"/>
      <c r="D648" s="60"/>
      <c r="E648" s="60"/>
      <c r="F648" s="60"/>
      <c r="G648" s="60"/>
      <c r="J648" s="99"/>
      <c r="K648" s="99"/>
      <c r="L648" s="99"/>
      <c r="M648" s="99"/>
      <c r="N648" s="43">
        <f t="shared" si="9"/>
        <v>0</v>
      </c>
    </row>
    <row r="649" spans="2:14" ht="1.5" customHeight="1">
      <c r="B649" s="57"/>
      <c r="C649" s="60"/>
      <c r="D649" s="60"/>
      <c r="E649" s="60"/>
      <c r="F649" s="60"/>
      <c r="G649" s="60"/>
      <c r="J649" s="99"/>
      <c r="K649" s="99"/>
      <c r="L649" s="99"/>
      <c r="M649" s="99"/>
      <c r="N649" s="43">
        <f t="shared" si="9"/>
        <v>0</v>
      </c>
    </row>
    <row r="650" spans="2:14" ht="1.5" customHeight="1">
      <c r="B650" s="57"/>
      <c r="C650" s="60"/>
      <c r="D650" s="60"/>
      <c r="E650" s="60"/>
      <c r="F650" s="60"/>
      <c r="G650" s="60"/>
      <c r="J650" s="99"/>
      <c r="K650" s="99"/>
      <c r="L650" s="99"/>
      <c r="M650" s="99"/>
      <c r="N650" s="43">
        <f t="shared" si="9"/>
        <v>0</v>
      </c>
    </row>
    <row r="651" spans="2:14" ht="1.5" customHeight="1">
      <c r="B651" s="57"/>
      <c r="C651" s="60"/>
      <c r="D651" s="60"/>
      <c r="E651" s="60"/>
      <c r="F651" s="60"/>
      <c r="G651" s="60"/>
      <c r="J651" s="99"/>
      <c r="K651" s="99"/>
      <c r="L651" s="99"/>
      <c r="M651" s="99"/>
      <c r="N651" s="43">
        <f t="shared" ref="N651:N714" si="10">IF($L$4=$C$10,C651,IF(D651="","",B651))</f>
        <v>0</v>
      </c>
    </row>
    <row r="652" spans="2:14" ht="1.5" customHeight="1">
      <c r="B652" s="57"/>
      <c r="C652" s="60"/>
      <c r="D652" s="60"/>
      <c r="E652" s="60"/>
      <c r="F652" s="60"/>
      <c r="G652" s="60"/>
      <c r="J652" s="99"/>
      <c r="K652" s="99"/>
      <c r="L652" s="99"/>
      <c r="M652" s="99"/>
      <c r="N652" s="43">
        <f t="shared" si="10"/>
        <v>0</v>
      </c>
    </row>
    <row r="653" spans="2:14" ht="1.5" customHeight="1">
      <c r="B653" s="57"/>
      <c r="C653" s="60"/>
      <c r="D653" s="60"/>
      <c r="E653" s="60"/>
      <c r="F653" s="60"/>
      <c r="G653" s="60"/>
      <c r="J653" s="99"/>
      <c r="K653" s="99"/>
      <c r="L653" s="99"/>
      <c r="M653" s="99"/>
      <c r="N653" s="43">
        <f t="shared" si="10"/>
        <v>0</v>
      </c>
    </row>
    <row r="654" spans="2:14" ht="1.5" customHeight="1">
      <c r="B654" s="57"/>
      <c r="C654" s="60"/>
      <c r="D654" s="60"/>
      <c r="E654" s="60"/>
      <c r="F654" s="60"/>
      <c r="G654" s="60"/>
      <c r="J654" s="99"/>
      <c r="K654" s="99"/>
      <c r="L654" s="99"/>
      <c r="M654" s="99"/>
      <c r="N654" s="43">
        <f t="shared" si="10"/>
        <v>0</v>
      </c>
    </row>
    <row r="655" spans="2:14" ht="1.5" customHeight="1">
      <c r="B655" s="57"/>
      <c r="C655" s="60"/>
      <c r="D655" s="60"/>
      <c r="E655" s="60"/>
      <c r="F655" s="60"/>
      <c r="G655" s="60"/>
      <c r="J655" s="99"/>
      <c r="K655" s="99"/>
      <c r="L655" s="99"/>
      <c r="M655" s="99"/>
      <c r="N655" s="43">
        <f t="shared" si="10"/>
        <v>0</v>
      </c>
    </row>
    <row r="656" spans="2:14" ht="1.5" customHeight="1">
      <c r="B656" s="57"/>
      <c r="C656" s="60"/>
      <c r="D656" s="60"/>
      <c r="E656" s="60"/>
      <c r="F656" s="60"/>
      <c r="G656" s="60"/>
      <c r="J656" s="99"/>
      <c r="K656" s="99"/>
      <c r="L656" s="99"/>
      <c r="M656" s="99"/>
      <c r="N656" s="43">
        <f t="shared" si="10"/>
        <v>0</v>
      </c>
    </row>
    <row r="657" spans="2:14" ht="1.5" customHeight="1">
      <c r="B657" s="57"/>
      <c r="C657" s="60"/>
      <c r="D657" s="60"/>
      <c r="E657" s="60"/>
      <c r="F657" s="60"/>
      <c r="G657" s="60"/>
      <c r="J657" s="99"/>
      <c r="K657" s="99"/>
      <c r="L657" s="99"/>
      <c r="M657" s="99"/>
      <c r="N657" s="43">
        <f t="shared" si="10"/>
        <v>0</v>
      </c>
    </row>
    <row r="658" spans="2:14" ht="1.5" customHeight="1">
      <c r="B658" s="57"/>
      <c r="C658" s="60"/>
      <c r="D658" s="60"/>
      <c r="E658" s="60"/>
      <c r="F658" s="60"/>
      <c r="G658" s="60"/>
      <c r="J658" s="99"/>
      <c r="K658" s="99"/>
      <c r="L658" s="99"/>
      <c r="M658" s="99"/>
      <c r="N658" s="43">
        <f t="shared" si="10"/>
        <v>0</v>
      </c>
    </row>
    <row r="659" spans="2:14" ht="1.5" customHeight="1">
      <c r="B659" s="57"/>
      <c r="C659" s="60"/>
      <c r="D659" s="60"/>
      <c r="E659" s="60"/>
      <c r="F659" s="60"/>
      <c r="G659" s="60"/>
      <c r="J659" s="99"/>
      <c r="K659" s="99"/>
      <c r="L659" s="99"/>
      <c r="M659" s="99"/>
      <c r="N659" s="43">
        <f t="shared" si="10"/>
        <v>0</v>
      </c>
    </row>
    <row r="660" spans="2:14" ht="1.5" customHeight="1">
      <c r="B660" s="57"/>
      <c r="C660" s="60"/>
      <c r="D660" s="60"/>
      <c r="E660" s="60"/>
      <c r="F660" s="60"/>
      <c r="G660" s="60"/>
      <c r="J660" s="99"/>
      <c r="K660" s="99"/>
      <c r="L660" s="99"/>
      <c r="M660" s="99"/>
      <c r="N660" s="43">
        <f t="shared" si="10"/>
        <v>0</v>
      </c>
    </row>
    <row r="661" spans="2:14" ht="1.5" customHeight="1">
      <c r="B661" s="57"/>
      <c r="C661" s="60"/>
      <c r="D661" s="60"/>
      <c r="E661" s="60"/>
      <c r="F661" s="60"/>
      <c r="G661" s="60"/>
      <c r="J661" s="99"/>
      <c r="K661" s="99"/>
      <c r="L661" s="99"/>
      <c r="M661" s="99"/>
      <c r="N661" s="43">
        <f t="shared" si="10"/>
        <v>0</v>
      </c>
    </row>
    <row r="662" spans="2:14" ht="1.5" customHeight="1">
      <c r="B662" s="57"/>
      <c r="C662" s="60"/>
      <c r="D662" s="60"/>
      <c r="E662" s="60"/>
      <c r="F662" s="60"/>
      <c r="G662" s="60"/>
      <c r="J662" s="99"/>
      <c r="K662" s="99"/>
      <c r="L662" s="99"/>
      <c r="M662" s="99"/>
      <c r="N662" s="43">
        <f t="shared" si="10"/>
        <v>0</v>
      </c>
    </row>
    <row r="663" spans="2:14" ht="1.5" customHeight="1">
      <c r="B663" s="57"/>
      <c r="C663" s="60"/>
      <c r="D663" s="60"/>
      <c r="E663" s="60"/>
      <c r="F663" s="60"/>
      <c r="G663" s="60"/>
      <c r="J663" s="99"/>
      <c r="K663" s="99"/>
      <c r="L663" s="99"/>
      <c r="M663" s="99"/>
      <c r="N663" s="43">
        <f t="shared" si="10"/>
        <v>0</v>
      </c>
    </row>
    <row r="664" spans="2:14" ht="1.5" customHeight="1">
      <c r="B664" s="57"/>
      <c r="C664" s="60"/>
      <c r="D664" s="60"/>
      <c r="E664" s="60"/>
      <c r="F664" s="60"/>
      <c r="G664" s="60"/>
      <c r="J664" s="99"/>
      <c r="K664" s="99"/>
      <c r="L664" s="99"/>
      <c r="M664" s="99"/>
      <c r="N664" s="43">
        <f t="shared" si="10"/>
        <v>0</v>
      </c>
    </row>
    <row r="665" spans="2:14" ht="1.5" customHeight="1">
      <c r="B665" s="57"/>
      <c r="C665" s="60"/>
      <c r="D665" s="60"/>
      <c r="E665" s="60"/>
      <c r="F665" s="60"/>
      <c r="G665" s="60"/>
      <c r="J665" s="99"/>
      <c r="K665" s="99"/>
      <c r="L665" s="99"/>
      <c r="M665" s="99"/>
      <c r="N665" s="43">
        <f t="shared" si="10"/>
        <v>0</v>
      </c>
    </row>
    <row r="666" spans="2:14" ht="1.5" customHeight="1">
      <c r="B666" s="57"/>
      <c r="C666" s="60"/>
      <c r="D666" s="60"/>
      <c r="E666" s="60"/>
      <c r="F666" s="60"/>
      <c r="G666" s="60"/>
      <c r="J666" s="99"/>
      <c r="K666" s="99"/>
      <c r="L666" s="99"/>
      <c r="M666" s="99"/>
      <c r="N666" s="43">
        <f t="shared" si="10"/>
        <v>0</v>
      </c>
    </row>
    <row r="667" spans="2:14" ht="1.5" customHeight="1">
      <c r="B667" s="57"/>
      <c r="C667" s="60"/>
      <c r="D667" s="60"/>
      <c r="E667" s="60"/>
      <c r="F667" s="60"/>
      <c r="G667" s="60"/>
      <c r="J667" s="99"/>
      <c r="K667" s="99"/>
      <c r="L667" s="99"/>
      <c r="M667" s="99"/>
      <c r="N667" s="43">
        <f t="shared" si="10"/>
        <v>0</v>
      </c>
    </row>
    <row r="668" spans="2:14" ht="1.5" customHeight="1">
      <c r="B668" s="57"/>
      <c r="C668" s="60"/>
      <c r="D668" s="60"/>
      <c r="E668" s="60"/>
      <c r="F668" s="60"/>
      <c r="G668" s="60"/>
      <c r="J668" s="99"/>
      <c r="K668" s="99"/>
      <c r="L668" s="99"/>
      <c r="M668" s="99"/>
      <c r="N668" s="43">
        <f t="shared" si="10"/>
        <v>0</v>
      </c>
    </row>
    <row r="669" spans="2:14" ht="1.5" customHeight="1">
      <c r="B669" s="57"/>
      <c r="C669" s="60"/>
      <c r="D669" s="60"/>
      <c r="E669" s="60"/>
      <c r="F669" s="60"/>
      <c r="G669" s="60"/>
      <c r="J669" s="99"/>
      <c r="K669" s="99"/>
      <c r="L669" s="99"/>
      <c r="M669" s="99"/>
      <c r="N669" s="43">
        <f t="shared" si="10"/>
        <v>0</v>
      </c>
    </row>
    <row r="670" spans="2:14" ht="1.5" customHeight="1">
      <c r="B670" s="57"/>
      <c r="C670" s="60"/>
      <c r="D670" s="60"/>
      <c r="E670" s="60"/>
      <c r="F670" s="60"/>
      <c r="G670" s="60"/>
      <c r="J670" s="99"/>
      <c r="K670" s="99"/>
      <c r="L670" s="99"/>
      <c r="M670" s="99"/>
      <c r="N670" s="43">
        <f t="shared" si="10"/>
        <v>0</v>
      </c>
    </row>
    <row r="671" spans="2:14" ht="1.5" customHeight="1">
      <c r="B671" s="57"/>
      <c r="C671" s="60"/>
      <c r="D671" s="60"/>
      <c r="E671" s="60"/>
      <c r="F671" s="60"/>
      <c r="G671" s="60"/>
      <c r="J671" s="99"/>
      <c r="K671" s="99"/>
      <c r="L671" s="99"/>
      <c r="M671" s="99"/>
      <c r="N671" s="43">
        <f t="shared" si="10"/>
        <v>0</v>
      </c>
    </row>
    <row r="672" spans="2:14" ht="1.5" customHeight="1">
      <c r="B672" s="57"/>
      <c r="C672" s="60"/>
      <c r="D672" s="60"/>
      <c r="E672" s="60"/>
      <c r="F672" s="60"/>
      <c r="G672" s="60"/>
      <c r="J672" s="99"/>
      <c r="K672" s="99"/>
      <c r="L672" s="99"/>
      <c r="M672" s="99"/>
      <c r="N672" s="43">
        <f t="shared" si="10"/>
        <v>0</v>
      </c>
    </row>
    <row r="673" spans="2:14" ht="1.5" customHeight="1">
      <c r="B673" s="57"/>
      <c r="C673" s="60"/>
      <c r="D673" s="60"/>
      <c r="E673" s="60"/>
      <c r="F673" s="60"/>
      <c r="G673" s="60"/>
      <c r="J673" s="99"/>
      <c r="K673" s="99"/>
      <c r="L673" s="99"/>
      <c r="M673" s="99"/>
      <c r="N673" s="43">
        <f t="shared" si="10"/>
        <v>0</v>
      </c>
    </row>
    <row r="674" spans="2:14" ht="1.5" customHeight="1">
      <c r="B674" s="57"/>
      <c r="C674" s="60"/>
      <c r="D674" s="60"/>
      <c r="E674" s="60"/>
      <c r="F674" s="60"/>
      <c r="G674" s="60"/>
      <c r="J674" s="99"/>
      <c r="K674" s="99"/>
      <c r="L674" s="99"/>
      <c r="M674" s="99"/>
      <c r="N674" s="43">
        <f t="shared" si="10"/>
        <v>0</v>
      </c>
    </row>
    <row r="675" spans="2:14" ht="1.5" customHeight="1">
      <c r="B675" s="57"/>
      <c r="C675" s="60"/>
      <c r="D675" s="60"/>
      <c r="E675" s="60"/>
      <c r="F675" s="60"/>
      <c r="G675" s="60"/>
      <c r="J675" s="99"/>
      <c r="K675" s="99"/>
      <c r="L675" s="99"/>
      <c r="M675" s="99"/>
      <c r="N675" s="43">
        <f t="shared" si="10"/>
        <v>0</v>
      </c>
    </row>
    <row r="676" spans="2:14" ht="1.5" customHeight="1">
      <c r="B676" s="57"/>
      <c r="C676" s="60"/>
      <c r="D676" s="60"/>
      <c r="E676" s="60"/>
      <c r="F676" s="60"/>
      <c r="G676" s="60"/>
      <c r="J676" s="99"/>
      <c r="K676" s="99"/>
      <c r="L676" s="99"/>
      <c r="M676" s="99"/>
      <c r="N676" s="43">
        <f t="shared" si="10"/>
        <v>0</v>
      </c>
    </row>
    <row r="677" spans="2:14" ht="1.5" customHeight="1">
      <c r="B677" s="57"/>
      <c r="C677" s="60"/>
      <c r="D677" s="60"/>
      <c r="E677" s="60"/>
      <c r="F677" s="60"/>
      <c r="G677" s="60"/>
      <c r="J677" s="99"/>
      <c r="K677" s="99"/>
      <c r="L677" s="99"/>
      <c r="M677" s="99"/>
      <c r="N677" s="43">
        <f t="shared" si="10"/>
        <v>0</v>
      </c>
    </row>
    <row r="678" spans="2:14" ht="1.5" customHeight="1">
      <c r="B678" s="57"/>
      <c r="C678" s="60"/>
      <c r="D678" s="60"/>
      <c r="E678" s="60"/>
      <c r="F678" s="60"/>
      <c r="G678" s="60"/>
      <c r="J678" s="99"/>
      <c r="K678" s="99"/>
      <c r="L678" s="99"/>
      <c r="M678" s="99"/>
      <c r="N678" s="43">
        <f t="shared" si="10"/>
        <v>0</v>
      </c>
    </row>
    <row r="679" spans="2:14" ht="1.5" customHeight="1">
      <c r="B679" s="57"/>
      <c r="C679" s="60"/>
      <c r="D679" s="60"/>
      <c r="E679" s="60"/>
      <c r="F679" s="60"/>
      <c r="G679" s="60"/>
      <c r="J679" s="99"/>
      <c r="K679" s="99"/>
      <c r="L679" s="99"/>
      <c r="M679" s="99"/>
      <c r="N679" s="43">
        <f t="shared" si="10"/>
        <v>0</v>
      </c>
    </row>
    <row r="680" spans="2:14" ht="1.5" customHeight="1">
      <c r="B680" s="57"/>
      <c r="C680" s="60"/>
      <c r="D680" s="60"/>
      <c r="E680" s="60"/>
      <c r="F680" s="60"/>
      <c r="G680" s="60"/>
      <c r="J680" s="99"/>
      <c r="K680" s="99"/>
      <c r="L680" s="99"/>
      <c r="M680" s="99"/>
      <c r="N680" s="43">
        <f t="shared" si="10"/>
        <v>0</v>
      </c>
    </row>
    <row r="681" spans="2:14" ht="1.5" customHeight="1">
      <c r="B681" s="57"/>
      <c r="C681" s="60"/>
      <c r="D681" s="60"/>
      <c r="E681" s="60"/>
      <c r="F681" s="60"/>
      <c r="G681" s="60"/>
      <c r="J681" s="99"/>
      <c r="K681" s="99"/>
      <c r="L681" s="99"/>
      <c r="M681" s="99"/>
      <c r="N681" s="43">
        <f t="shared" si="10"/>
        <v>0</v>
      </c>
    </row>
    <row r="682" spans="2:14" ht="1.5" customHeight="1">
      <c r="B682" s="57"/>
      <c r="C682" s="60"/>
      <c r="D682" s="60"/>
      <c r="E682" s="60"/>
      <c r="F682" s="60"/>
      <c r="G682" s="60"/>
      <c r="J682" s="99"/>
      <c r="K682" s="99"/>
      <c r="L682" s="99"/>
      <c r="M682" s="99"/>
      <c r="N682" s="43">
        <f t="shared" si="10"/>
        <v>0</v>
      </c>
    </row>
    <row r="683" spans="2:14" ht="1.5" customHeight="1">
      <c r="B683" s="57"/>
      <c r="C683" s="60"/>
      <c r="D683" s="60"/>
      <c r="E683" s="60"/>
      <c r="F683" s="60"/>
      <c r="G683" s="60"/>
      <c r="J683" s="99"/>
      <c r="K683" s="99"/>
      <c r="L683" s="99"/>
      <c r="M683" s="99"/>
      <c r="N683" s="43">
        <f t="shared" si="10"/>
        <v>0</v>
      </c>
    </row>
    <row r="684" spans="2:14" ht="1.5" customHeight="1">
      <c r="B684" s="57"/>
      <c r="C684" s="60"/>
      <c r="D684" s="60"/>
      <c r="E684" s="60"/>
      <c r="F684" s="60"/>
      <c r="G684" s="60"/>
      <c r="J684" s="99"/>
      <c r="K684" s="99"/>
      <c r="L684" s="99"/>
      <c r="M684" s="99"/>
      <c r="N684" s="43">
        <f t="shared" si="10"/>
        <v>0</v>
      </c>
    </row>
    <row r="685" spans="2:14" ht="1.5" customHeight="1">
      <c r="B685" s="57"/>
      <c r="C685" s="60"/>
      <c r="D685" s="60"/>
      <c r="E685" s="60"/>
      <c r="F685" s="60"/>
      <c r="G685" s="60"/>
      <c r="J685" s="99"/>
      <c r="K685" s="99"/>
      <c r="L685" s="99"/>
      <c r="M685" s="99"/>
      <c r="N685" s="43">
        <f t="shared" si="10"/>
        <v>0</v>
      </c>
    </row>
    <row r="686" spans="2:14" ht="1.5" customHeight="1">
      <c r="B686" s="57"/>
      <c r="C686" s="60"/>
      <c r="D686" s="60"/>
      <c r="E686" s="60"/>
      <c r="F686" s="60"/>
      <c r="G686" s="60"/>
      <c r="J686" s="99"/>
      <c r="K686" s="99"/>
      <c r="L686" s="99"/>
      <c r="M686" s="99"/>
      <c r="N686" s="43">
        <f t="shared" si="10"/>
        <v>0</v>
      </c>
    </row>
    <row r="687" spans="2:14" ht="1.5" customHeight="1">
      <c r="B687" s="57"/>
      <c r="C687" s="60"/>
      <c r="D687" s="60"/>
      <c r="E687" s="60"/>
      <c r="F687" s="60"/>
      <c r="G687" s="60"/>
      <c r="J687" s="99"/>
      <c r="K687" s="99"/>
      <c r="L687" s="99"/>
      <c r="M687" s="99"/>
      <c r="N687" s="43">
        <f t="shared" si="10"/>
        <v>0</v>
      </c>
    </row>
    <row r="688" spans="2:14" ht="1.5" customHeight="1">
      <c r="B688" s="57"/>
      <c r="C688" s="60"/>
      <c r="D688" s="60"/>
      <c r="E688" s="60"/>
      <c r="F688" s="60"/>
      <c r="G688" s="60"/>
      <c r="J688" s="99"/>
      <c r="K688" s="99"/>
      <c r="L688" s="99"/>
      <c r="M688" s="99"/>
      <c r="N688" s="43">
        <f t="shared" si="10"/>
        <v>0</v>
      </c>
    </row>
    <row r="689" spans="2:14" ht="1.5" customHeight="1">
      <c r="B689" s="57"/>
      <c r="C689" s="60"/>
      <c r="D689" s="60"/>
      <c r="E689" s="60"/>
      <c r="F689" s="60"/>
      <c r="G689" s="60"/>
      <c r="J689" s="99"/>
      <c r="K689" s="99"/>
      <c r="L689" s="99"/>
      <c r="M689" s="99"/>
      <c r="N689" s="43">
        <f t="shared" si="10"/>
        <v>0</v>
      </c>
    </row>
    <row r="690" spans="2:14" ht="1.5" customHeight="1">
      <c r="B690" s="57"/>
      <c r="C690" s="60"/>
      <c r="D690" s="60"/>
      <c r="E690" s="60"/>
      <c r="F690" s="60"/>
      <c r="G690" s="60"/>
      <c r="J690" s="99"/>
      <c r="K690" s="99"/>
      <c r="L690" s="99"/>
      <c r="M690" s="99"/>
      <c r="N690" s="43">
        <f t="shared" si="10"/>
        <v>0</v>
      </c>
    </row>
    <row r="691" spans="2:14" ht="1.5" customHeight="1">
      <c r="B691" s="57"/>
      <c r="C691" s="60"/>
      <c r="D691" s="60"/>
      <c r="E691" s="60"/>
      <c r="F691" s="60"/>
      <c r="G691" s="60"/>
      <c r="J691" s="99"/>
      <c r="K691" s="99"/>
      <c r="L691" s="99"/>
      <c r="M691" s="99"/>
      <c r="N691" s="43">
        <f t="shared" si="10"/>
        <v>0</v>
      </c>
    </row>
    <row r="692" spans="2:14" ht="1.5" customHeight="1">
      <c r="B692" s="57"/>
      <c r="C692" s="60"/>
      <c r="D692" s="60"/>
      <c r="E692" s="60"/>
      <c r="F692" s="60"/>
      <c r="G692" s="60"/>
      <c r="J692" s="99"/>
      <c r="K692" s="99"/>
      <c r="L692" s="99"/>
      <c r="M692" s="99"/>
      <c r="N692" s="43">
        <f t="shared" si="10"/>
        <v>0</v>
      </c>
    </row>
    <row r="693" spans="2:14" ht="1.5" customHeight="1">
      <c r="B693" s="57"/>
      <c r="C693" s="60"/>
      <c r="D693" s="60"/>
      <c r="E693" s="60"/>
      <c r="F693" s="60"/>
      <c r="G693" s="60"/>
      <c r="J693" s="99"/>
      <c r="K693" s="99"/>
      <c r="L693" s="99"/>
      <c r="M693" s="99"/>
      <c r="N693" s="43">
        <f t="shared" si="10"/>
        <v>0</v>
      </c>
    </row>
    <row r="694" spans="2:14" ht="1.5" customHeight="1">
      <c r="B694" s="57"/>
      <c r="C694" s="60"/>
      <c r="D694" s="60"/>
      <c r="E694" s="60"/>
      <c r="F694" s="60"/>
      <c r="G694" s="60"/>
      <c r="J694" s="99"/>
      <c r="K694" s="99"/>
      <c r="L694" s="99"/>
      <c r="M694" s="99"/>
      <c r="N694" s="43">
        <f t="shared" si="10"/>
        <v>0</v>
      </c>
    </row>
    <row r="695" spans="2:14" ht="1.5" customHeight="1">
      <c r="B695" s="57"/>
      <c r="C695" s="60"/>
      <c r="D695" s="60"/>
      <c r="E695" s="60"/>
      <c r="F695" s="60"/>
      <c r="G695" s="60"/>
      <c r="J695" s="99"/>
      <c r="K695" s="99"/>
      <c r="L695" s="99"/>
      <c r="M695" s="99"/>
      <c r="N695" s="43">
        <f t="shared" si="10"/>
        <v>0</v>
      </c>
    </row>
    <row r="696" spans="2:14" ht="1.5" customHeight="1">
      <c r="B696" s="57"/>
      <c r="C696" s="60"/>
      <c r="D696" s="60"/>
      <c r="E696" s="60"/>
      <c r="F696" s="60"/>
      <c r="G696" s="60"/>
      <c r="J696" s="99"/>
      <c r="K696" s="99"/>
      <c r="L696" s="99"/>
      <c r="M696" s="99"/>
      <c r="N696" s="43">
        <f t="shared" si="10"/>
        <v>0</v>
      </c>
    </row>
    <row r="697" spans="2:14" ht="1.5" customHeight="1">
      <c r="B697" s="57"/>
      <c r="C697" s="60"/>
      <c r="D697" s="60"/>
      <c r="E697" s="60"/>
      <c r="F697" s="60"/>
      <c r="G697" s="60"/>
      <c r="J697" s="99"/>
      <c r="K697" s="99"/>
      <c r="L697" s="99"/>
      <c r="M697" s="99"/>
      <c r="N697" s="43">
        <f t="shared" si="10"/>
        <v>0</v>
      </c>
    </row>
    <row r="698" spans="2:14" ht="1.5" customHeight="1">
      <c r="B698" s="57"/>
      <c r="C698" s="60"/>
      <c r="D698" s="60"/>
      <c r="E698" s="60"/>
      <c r="F698" s="60"/>
      <c r="G698" s="60"/>
      <c r="J698" s="99"/>
      <c r="K698" s="99"/>
      <c r="L698" s="99"/>
      <c r="M698" s="99"/>
      <c r="N698" s="43">
        <f t="shared" si="10"/>
        <v>0</v>
      </c>
    </row>
    <row r="699" spans="2:14" ht="1.5" customHeight="1">
      <c r="B699" s="57"/>
      <c r="C699" s="60"/>
      <c r="D699" s="60"/>
      <c r="E699" s="60"/>
      <c r="F699" s="60"/>
      <c r="G699" s="60"/>
      <c r="J699" s="99"/>
      <c r="K699" s="99"/>
      <c r="L699" s="99"/>
      <c r="M699" s="99"/>
      <c r="N699" s="43">
        <f t="shared" si="10"/>
        <v>0</v>
      </c>
    </row>
    <row r="700" spans="2:14" ht="1.5" customHeight="1">
      <c r="B700" s="57"/>
      <c r="C700" s="60"/>
      <c r="D700" s="60"/>
      <c r="E700" s="60"/>
      <c r="F700" s="60"/>
      <c r="G700" s="60"/>
      <c r="J700" s="99"/>
      <c r="K700" s="99"/>
      <c r="L700" s="99"/>
      <c r="M700" s="99"/>
      <c r="N700" s="43">
        <f t="shared" si="10"/>
        <v>0</v>
      </c>
    </row>
    <row r="701" spans="2:14" ht="1.5" customHeight="1">
      <c r="B701" s="57"/>
      <c r="C701" s="60"/>
      <c r="D701" s="60"/>
      <c r="E701" s="60"/>
      <c r="F701" s="60"/>
      <c r="G701" s="60"/>
      <c r="J701" s="99"/>
      <c r="K701" s="99"/>
      <c r="L701" s="99"/>
      <c r="M701" s="99"/>
      <c r="N701" s="43">
        <f t="shared" si="10"/>
        <v>0</v>
      </c>
    </row>
    <row r="702" spans="2:14" ht="1.5" customHeight="1">
      <c r="B702" s="57"/>
      <c r="C702" s="60"/>
      <c r="D702" s="60"/>
      <c r="E702" s="60"/>
      <c r="F702" s="60"/>
      <c r="G702" s="60"/>
      <c r="J702" s="99"/>
      <c r="K702" s="99"/>
      <c r="L702" s="99"/>
      <c r="M702" s="99"/>
      <c r="N702" s="43">
        <f t="shared" si="10"/>
        <v>0</v>
      </c>
    </row>
    <row r="703" spans="2:14" ht="1.5" customHeight="1">
      <c r="B703" s="57"/>
      <c r="C703" s="60"/>
      <c r="D703" s="60"/>
      <c r="E703" s="60"/>
      <c r="F703" s="60"/>
      <c r="G703" s="60"/>
      <c r="J703" s="99"/>
      <c r="K703" s="99"/>
      <c r="L703" s="99"/>
      <c r="M703" s="99"/>
      <c r="N703" s="43">
        <f t="shared" si="10"/>
        <v>0</v>
      </c>
    </row>
    <row r="704" spans="2:14" ht="1.5" customHeight="1">
      <c r="B704" s="57"/>
      <c r="C704" s="60"/>
      <c r="D704" s="60"/>
      <c r="E704" s="60"/>
      <c r="F704" s="60"/>
      <c r="G704" s="60"/>
      <c r="J704" s="99"/>
      <c r="K704" s="99"/>
      <c r="L704" s="99"/>
      <c r="M704" s="99"/>
      <c r="N704" s="43">
        <f t="shared" si="10"/>
        <v>0</v>
      </c>
    </row>
    <row r="705" spans="2:14" ht="1.5" customHeight="1">
      <c r="B705" s="57"/>
      <c r="C705" s="60"/>
      <c r="D705" s="60"/>
      <c r="E705" s="60"/>
      <c r="F705" s="60"/>
      <c r="G705" s="60"/>
      <c r="J705" s="99"/>
      <c r="K705" s="99"/>
      <c r="L705" s="99"/>
      <c r="M705" s="99"/>
      <c r="N705" s="43">
        <f t="shared" si="10"/>
        <v>0</v>
      </c>
    </row>
    <row r="706" spans="2:14" ht="1.5" customHeight="1">
      <c r="B706" s="57"/>
      <c r="C706" s="60"/>
      <c r="D706" s="60"/>
      <c r="E706" s="60"/>
      <c r="F706" s="60"/>
      <c r="G706" s="60"/>
      <c r="J706" s="99"/>
      <c r="K706" s="99"/>
      <c r="L706" s="99"/>
      <c r="M706" s="99"/>
      <c r="N706" s="43">
        <f t="shared" si="10"/>
        <v>0</v>
      </c>
    </row>
    <row r="707" spans="2:14" ht="1.5" customHeight="1">
      <c r="B707" s="57"/>
      <c r="C707" s="60"/>
      <c r="D707" s="60"/>
      <c r="E707" s="60"/>
      <c r="F707" s="60"/>
      <c r="G707" s="60"/>
      <c r="J707" s="99"/>
      <c r="K707" s="99"/>
      <c r="L707" s="99"/>
      <c r="M707" s="99"/>
      <c r="N707" s="43">
        <f t="shared" si="10"/>
        <v>0</v>
      </c>
    </row>
    <row r="708" spans="2:14" ht="1.5" customHeight="1">
      <c r="B708" s="57"/>
      <c r="C708" s="60"/>
      <c r="D708" s="60"/>
      <c r="E708" s="60"/>
      <c r="F708" s="60"/>
      <c r="G708" s="60"/>
      <c r="J708" s="99"/>
      <c r="K708" s="99"/>
      <c r="L708" s="99"/>
      <c r="M708" s="99"/>
      <c r="N708" s="43">
        <f t="shared" si="10"/>
        <v>0</v>
      </c>
    </row>
    <row r="709" spans="2:14" ht="1.5" customHeight="1">
      <c r="B709" s="57"/>
      <c r="C709" s="60"/>
      <c r="D709" s="60"/>
      <c r="E709" s="60"/>
      <c r="F709" s="60"/>
      <c r="G709" s="60"/>
      <c r="J709" s="99"/>
      <c r="K709" s="99"/>
      <c r="L709" s="99"/>
      <c r="M709" s="99"/>
      <c r="N709" s="43">
        <f t="shared" si="10"/>
        <v>0</v>
      </c>
    </row>
    <row r="710" spans="2:14" ht="1.5" customHeight="1">
      <c r="B710" s="57"/>
      <c r="C710" s="60"/>
      <c r="D710" s="60"/>
      <c r="E710" s="60"/>
      <c r="F710" s="60"/>
      <c r="G710" s="60"/>
      <c r="J710" s="99"/>
      <c r="K710" s="99"/>
      <c r="L710" s="99"/>
      <c r="M710" s="99"/>
      <c r="N710" s="43">
        <f t="shared" si="10"/>
        <v>0</v>
      </c>
    </row>
    <row r="711" spans="2:14" ht="1.5" customHeight="1">
      <c r="B711" s="57"/>
      <c r="C711" s="60"/>
      <c r="D711" s="60"/>
      <c r="E711" s="60"/>
      <c r="F711" s="60"/>
      <c r="G711" s="60"/>
      <c r="J711" s="99"/>
      <c r="K711" s="99"/>
      <c r="L711" s="99"/>
      <c r="M711" s="99"/>
      <c r="N711" s="43">
        <f t="shared" si="10"/>
        <v>0</v>
      </c>
    </row>
    <row r="712" spans="2:14" ht="1.5" customHeight="1">
      <c r="B712" s="57"/>
      <c r="C712" s="60"/>
      <c r="D712" s="60"/>
      <c r="E712" s="60"/>
      <c r="F712" s="60"/>
      <c r="G712" s="60"/>
      <c r="J712" s="99"/>
      <c r="K712" s="99"/>
      <c r="L712" s="99"/>
      <c r="M712" s="99"/>
      <c r="N712" s="43">
        <f t="shared" si="10"/>
        <v>0</v>
      </c>
    </row>
    <row r="713" spans="2:14" ht="1.5" customHeight="1">
      <c r="B713" s="57"/>
      <c r="C713" s="60"/>
      <c r="D713" s="60"/>
      <c r="E713" s="60"/>
      <c r="F713" s="60"/>
      <c r="G713" s="60"/>
      <c r="J713" s="99"/>
      <c r="K713" s="99"/>
      <c r="L713" s="99"/>
      <c r="M713" s="99"/>
      <c r="N713" s="43">
        <f t="shared" si="10"/>
        <v>0</v>
      </c>
    </row>
    <row r="714" spans="2:14" ht="1.5" customHeight="1">
      <c r="B714" s="57"/>
      <c r="C714" s="60"/>
      <c r="D714" s="60"/>
      <c r="E714" s="60"/>
      <c r="F714" s="60"/>
      <c r="G714" s="60"/>
      <c r="J714" s="99"/>
      <c r="K714" s="99"/>
      <c r="L714" s="99"/>
      <c r="M714" s="99"/>
      <c r="N714" s="43">
        <f t="shared" si="10"/>
        <v>0</v>
      </c>
    </row>
    <row r="715" spans="2:14" ht="1.5" customHeight="1">
      <c r="B715" s="57"/>
      <c r="C715" s="60"/>
      <c r="D715" s="60"/>
      <c r="E715" s="60"/>
      <c r="F715" s="60"/>
      <c r="G715" s="60"/>
      <c r="J715" s="99"/>
      <c r="K715" s="99"/>
      <c r="L715" s="99"/>
      <c r="M715" s="99"/>
      <c r="N715" s="43">
        <f t="shared" ref="N715:N778" si="11">IF($L$4=$C$10,C715,IF(D715="","",B715))</f>
        <v>0</v>
      </c>
    </row>
    <row r="716" spans="2:14" ht="1.5" customHeight="1">
      <c r="B716" s="57"/>
      <c r="C716" s="60"/>
      <c r="D716" s="60"/>
      <c r="E716" s="60"/>
      <c r="F716" s="60"/>
      <c r="G716" s="60"/>
      <c r="J716" s="99"/>
      <c r="K716" s="99"/>
      <c r="L716" s="99"/>
      <c r="M716" s="99"/>
      <c r="N716" s="43">
        <f t="shared" si="11"/>
        <v>0</v>
      </c>
    </row>
    <row r="717" spans="2:14" ht="1.5" customHeight="1">
      <c r="B717" s="57"/>
      <c r="C717" s="60"/>
      <c r="D717" s="60"/>
      <c r="E717" s="60"/>
      <c r="F717" s="60"/>
      <c r="G717" s="60"/>
      <c r="J717" s="99"/>
      <c r="K717" s="99"/>
      <c r="L717" s="99"/>
      <c r="M717" s="99"/>
      <c r="N717" s="43">
        <f t="shared" si="11"/>
        <v>0</v>
      </c>
    </row>
    <row r="718" spans="2:14" ht="1.5" customHeight="1">
      <c r="B718" s="57"/>
      <c r="C718" s="60"/>
      <c r="D718" s="60"/>
      <c r="E718" s="60"/>
      <c r="F718" s="60"/>
      <c r="G718" s="60"/>
      <c r="J718" s="99"/>
      <c r="K718" s="99"/>
      <c r="L718" s="99"/>
      <c r="M718" s="99"/>
      <c r="N718" s="43">
        <f t="shared" si="11"/>
        <v>0</v>
      </c>
    </row>
    <row r="719" spans="2:14" ht="1.5" customHeight="1">
      <c r="B719" s="57"/>
      <c r="C719" s="60"/>
      <c r="D719" s="60"/>
      <c r="E719" s="60"/>
      <c r="F719" s="60"/>
      <c r="G719" s="60"/>
      <c r="J719" s="99"/>
      <c r="K719" s="99"/>
      <c r="L719" s="99"/>
      <c r="M719" s="99"/>
      <c r="N719" s="43">
        <f t="shared" si="11"/>
        <v>0</v>
      </c>
    </row>
    <row r="720" spans="2:14" ht="1.5" customHeight="1">
      <c r="B720" s="57"/>
      <c r="C720" s="60"/>
      <c r="D720" s="60"/>
      <c r="E720" s="60"/>
      <c r="F720" s="60"/>
      <c r="G720" s="60"/>
      <c r="J720" s="99"/>
      <c r="K720" s="99"/>
      <c r="L720" s="99"/>
      <c r="M720" s="99"/>
      <c r="N720" s="43">
        <f t="shared" si="11"/>
        <v>0</v>
      </c>
    </row>
    <row r="721" spans="2:14" ht="1.5" customHeight="1">
      <c r="B721" s="57"/>
      <c r="C721" s="60"/>
      <c r="D721" s="60"/>
      <c r="E721" s="60"/>
      <c r="F721" s="60"/>
      <c r="G721" s="60"/>
      <c r="J721" s="99"/>
      <c r="K721" s="99"/>
      <c r="L721" s="99"/>
      <c r="M721" s="99"/>
      <c r="N721" s="43">
        <f t="shared" si="11"/>
        <v>0</v>
      </c>
    </row>
    <row r="722" spans="2:14" ht="1.5" customHeight="1">
      <c r="B722" s="57"/>
      <c r="C722" s="60"/>
      <c r="D722" s="60"/>
      <c r="E722" s="60"/>
      <c r="F722" s="60"/>
      <c r="G722" s="60"/>
      <c r="J722" s="99"/>
      <c r="K722" s="99"/>
      <c r="L722" s="99"/>
      <c r="M722" s="99"/>
      <c r="N722" s="43">
        <f t="shared" si="11"/>
        <v>0</v>
      </c>
    </row>
    <row r="723" spans="2:14" ht="1.5" customHeight="1">
      <c r="B723" s="57"/>
      <c r="C723" s="60"/>
      <c r="D723" s="60"/>
      <c r="E723" s="60"/>
      <c r="F723" s="60"/>
      <c r="G723" s="60"/>
      <c r="J723" s="99"/>
      <c r="K723" s="99"/>
      <c r="L723" s="99"/>
      <c r="M723" s="99"/>
      <c r="N723" s="43">
        <f t="shared" si="11"/>
        <v>0</v>
      </c>
    </row>
    <row r="724" spans="2:14" ht="1.5" customHeight="1">
      <c r="B724" s="57"/>
      <c r="C724" s="60"/>
      <c r="D724" s="60"/>
      <c r="E724" s="60"/>
      <c r="F724" s="60"/>
      <c r="G724" s="60"/>
      <c r="J724" s="99"/>
      <c r="K724" s="99"/>
      <c r="L724" s="99"/>
      <c r="M724" s="99"/>
      <c r="N724" s="43">
        <f t="shared" si="11"/>
        <v>0</v>
      </c>
    </row>
    <row r="725" spans="2:14" ht="1.5" customHeight="1">
      <c r="B725" s="57"/>
      <c r="C725" s="60"/>
      <c r="D725" s="60"/>
      <c r="E725" s="60"/>
      <c r="F725" s="60"/>
      <c r="G725" s="60"/>
      <c r="J725" s="99"/>
      <c r="K725" s="99"/>
      <c r="L725" s="99"/>
      <c r="M725" s="99"/>
      <c r="N725" s="43">
        <f t="shared" si="11"/>
        <v>0</v>
      </c>
    </row>
    <row r="726" spans="2:14" ht="1.5" customHeight="1">
      <c r="B726" s="57"/>
      <c r="C726" s="60"/>
      <c r="D726" s="60"/>
      <c r="E726" s="60"/>
      <c r="F726" s="60"/>
      <c r="G726" s="60"/>
      <c r="J726" s="99"/>
      <c r="K726" s="99"/>
      <c r="L726" s="99"/>
      <c r="M726" s="99"/>
      <c r="N726" s="43">
        <f t="shared" si="11"/>
        <v>0</v>
      </c>
    </row>
    <row r="727" spans="2:14" ht="1.5" customHeight="1">
      <c r="B727" s="57"/>
      <c r="C727" s="60"/>
      <c r="D727" s="60"/>
      <c r="E727" s="60"/>
      <c r="F727" s="60"/>
      <c r="G727" s="60"/>
      <c r="J727" s="99"/>
      <c r="K727" s="99"/>
      <c r="L727" s="99"/>
      <c r="M727" s="99"/>
      <c r="N727" s="43">
        <f t="shared" si="11"/>
        <v>0</v>
      </c>
    </row>
    <row r="728" spans="2:14" ht="1.5" customHeight="1">
      <c r="B728" s="57"/>
      <c r="C728" s="60"/>
      <c r="D728" s="60"/>
      <c r="E728" s="60"/>
      <c r="F728" s="60"/>
      <c r="G728" s="60"/>
      <c r="J728" s="99"/>
      <c r="K728" s="99"/>
      <c r="L728" s="99"/>
      <c r="M728" s="99"/>
      <c r="N728" s="43">
        <f t="shared" si="11"/>
        <v>0</v>
      </c>
    </row>
    <row r="729" spans="2:14" ht="1.5" customHeight="1">
      <c r="B729" s="57"/>
      <c r="C729" s="60"/>
      <c r="D729" s="60"/>
      <c r="E729" s="60"/>
      <c r="F729" s="60"/>
      <c r="G729" s="60"/>
      <c r="J729" s="99"/>
      <c r="K729" s="99"/>
      <c r="L729" s="99"/>
      <c r="M729" s="99"/>
      <c r="N729" s="43">
        <f t="shared" si="11"/>
        <v>0</v>
      </c>
    </row>
    <row r="730" spans="2:14" ht="1.5" customHeight="1">
      <c r="B730" s="57"/>
      <c r="C730" s="60"/>
      <c r="D730" s="60"/>
      <c r="E730" s="60"/>
      <c r="F730" s="60"/>
      <c r="G730" s="60"/>
      <c r="J730" s="99"/>
      <c r="K730" s="99"/>
      <c r="L730" s="99"/>
      <c r="M730" s="99"/>
      <c r="N730" s="43">
        <f t="shared" si="11"/>
        <v>0</v>
      </c>
    </row>
    <row r="731" spans="2:14" ht="1.5" customHeight="1">
      <c r="B731" s="57"/>
      <c r="C731" s="60"/>
      <c r="D731" s="60"/>
      <c r="E731" s="60"/>
      <c r="F731" s="60"/>
      <c r="G731" s="60"/>
      <c r="J731" s="99"/>
      <c r="K731" s="99"/>
      <c r="L731" s="99"/>
      <c r="M731" s="99"/>
      <c r="N731" s="43">
        <f t="shared" si="11"/>
        <v>0</v>
      </c>
    </row>
    <row r="732" spans="2:14" ht="1.5" customHeight="1">
      <c r="B732" s="57"/>
      <c r="C732" s="60"/>
      <c r="D732" s="60"/>
      <c r="E732" s="60"/>
      <c r="F732" s="60"/>
      <c r="G732" s="60"/>
      <c r="J732" s="99"/>
      <c r="K732" s="99"/>
      <c r="L732" s="99"/>
      <c r="M732" s="99"/>
      <c r="N732" s="43">
        <f t="shared" si="11"/>
        <v>0</v>
      </c>
    </row>
    <row r="733" spans="2:14" ht="1.5" customHeight="1">
      <c r="B733" s="57"/>
      <c r="C733" s="60"/>
      <c r="D733" s="60"/>
      <c r="E733" s="60"/>
      <c r="F733" s="60"/>
      <c r="G733" s="60"/>
      <c r="J733" s="99"/>
      <c r="K733" s="99"/>
      <c r="L733" s="99"/>
      <c r="M733" s="99"/>
      <c r="N733" s="43">
        <f t="shared" si="11"/>
        <v>0</v>
      </c>
    </row>
    <row r="734" spans="2:14" ht="1.5" customHeight="1">
      <c r="B734" s="57"/>
      <c r="C734" s="60"/>
      <c r="D734" s="60"/>
      <c r="E734" s="60"/>
      <c r="F734" s="60"/>
      <c r="G734" s="60"/>
      <c r="J734" s="99"/>
      <c r="K734" s="99"/>
      <c r="L734" s="99"/>
      <c r="M734" s="99"/>
      <c r="N734" s="43">
        <f t="shared" si="11"/>
        <v>0</v>
      </c>
    </row>
    <row r="735" spans="2:14" ht="1.5" customHeight="1">
      <c r="B735" s="57"/>
      <c r="C735" s="60"/>
      <c r="D735" s="60"/>
      <c r="E735" s="60"/>
      <c r="F735" s="60"/>
      <c r="G735" s="60"/>
      <c r="J735" s="99"/>
      <c r="K735" s="99"/>
      <c r="L735" s="99"/>
      <c r="M735" s="99"/>
      <c r="N735" s="43">
        <f t="shared" si="11"/>
        <v>0</v>
      </c>
    </row>
    <row r="736" spans="2:14" ht="1.5" customHeight="1">
      <c r="B736" s="57"/>
      <c r="C736" s="60"/>
      <c r="D736" s="60"/>
      <c r="E736" s="60"/>
      <c r="F736" s="60"/>
      <c r="G736" s="60"/>
      <c r="J736" s="99"/>
      <c r="K736" s="99"/>
      <c r="L736" s="99"/>
      <c r="M736" s="99"/>
      <c r="N736" s="43">
        <f t="shared" si="11"/>
        <v>0</v>
      </c>
    </row>
    <row r="737" spans="2:14" ht="1.5" customHeight="1">
      <c r="B737" s="57"/>
      <c r="C737" s="60"/>
      <c r="D737" s="60"/>
      <c r="E737" s="60"/>
      <c r="F737" s="60"/>
      <c r="G737" s="60"/>
      <c r="J737" s="99"/>
      <c r="K737" s="99"/>
      <c r="L737" s="99"/>
      <c r="M737" s="99"/>
      <c r="N737" s="43">
        <f t="shared" si="11"/>
        <v>0</v>
      </c>
    </row>
    <row r="738" spans="2:14" ht="1.5" customHeight="1">
      <c r="B738" s="57"/>
      <c r="C738" s="60"/>
      <c r="D738" s="60"/>
      <c r="E738" s="60"/>
      <c r="F738" s="60"/>
      <c r="G738" s="60"/>
      <c r="J738" s="99"/>
      <c r="K738" s="99"/>
      <c r="L738" s="99"/>
      <c r="M738" s="99"/>
      <c r="N738" s="43">
        <f t="shared" si="11"/>
        <v>0</v>
      </c>
    </row>
    <row r="739" spans="2:14" ht="1.5" customHeight="1">
      <c r="B739" s="57"/>
      <c r="C739" s="60"/>
      <c r="D739" s="60"/>
      <c r="E739" s="60"/>
      <c r="F739" s="60"/>
      <c r="G739" s="60"/>
      <c r="J739" s="99"/>
      <c r="K739" s="99"/>
      <c r="L739" s="99"/>
      <c r="M739" s="99"/>
      <c r="N739" s="43">
        <f t="shared" si="11"/>
        <v>0</v>
      </c>
    </row>
    <row r="740" spans="2:14" ht="1.5" customHeight="1">
      <c r="B740" s="57"/>
      <c r="C740" s="60"/>
      <c r="D740" s="60"/>
      <c r="E740" s="60"/>
      <c r="F740" s="60"/>
      <c r="G740" s="60"/>
      <c r="J740" s="99"/>
      <c r="K740" s="99"/>
      <c r="L740" s="99"/>
      <c r="M740" s="99"/>
      <c r="N740" s="43">
        <f t="shared" si="11"/>
        <v>0</v>
      </c>
    </row>
    <row r="741" spans="2:14" ht="1.5" customHeight="1">
      <c r="B741" s="57"/>
      <c r="C741" s="60"/>
      <c r="D741" s="60"/>
      <c r="E741" s="60"/>
      <c r="F741" s="60"/>
      <c r="G741" s="60"/>
      <c r="J741" s="99"/>
      <c r="K741" s="99"/>
      <c r="L741" s="99"/>
      <c r="M741" s="99"/>
      <c r="N741" s="43">
        <f t="shared" si="11"/>
        <v>0</v>
      </c>
    </row>
    <row r="742" spans="2:14" ht="1.5" customHeight="1">
      <c r="B742" s="57"/>
      <c r="C742" s="60"/>
      <c r="D742" s="60"/>
      <c r="E742" s="60"/>
      <c r="F742" s="60"/>
      <c r="G742" s="60"/>
      <c r="J742" s="99"/>
      <c r="K742" s="99"/>
      <c r="L742" s="99"/>
      <c r="M742" s="99"/>
      <c r="N742" s="43">
        <f t="shared" si="11"/>
        <v>0</v>
      </c>
    </row>
    <row r="743" spans="2:14" ht="1.5" customHeight="1">
      <c r="B743" s="57"/>
      <c r="C743" s="60"/>
      <c r="D743" s="60"/>
      <c r="E743" s="60"/>
      <c r="F743" s="60"/>
      <c r="G743" s="60"/>
      <c r="J743" s="99"/>
      <c r="K743" s="99"/>
      <c r="L743" s="99"/>
      <c r="M743" s="99"/>
      <c r="N743" s="43">
        <f t="shared" si="11"/>
        <v>0</v>
      </c>
    </row>
    <row r="744" spans="2:14" ht="1.5" customHeight="1">
      <c r="B744" s="57"/>
      <c r="C744" s="60"/>
      <c r="D744" s="60"/>
      <c r="E744" s="60"/>
      <c r="F744" s="60"/>
      <c r="G744" s="60"/>
      <c r="J744" s="99"/>
      <c r="K744" s="99"/>
      <c r="L744" s="99"/>
      <c r="M744" s="99"/>
      <c r="N744" s="43">
        <f t="shared" si="11"/>
        <v>0</v>
      </c>
    </row>
    <row r="745" spans="2:14" ht="1.5" customHeight="1">
      <c r="B745" s="57"/>
      <c r="C745" s="60"/>
      <c r="D745" s="60"/>
      <c r="E745" s="60"/>
      <c r="F745" s="60"/>
      <c r="G745" s="60"/>
      <c r="J745" s="99"/>
      <c r="K745" s="99"/>
      <c r="L745" s="99"/>
      <c r="M745" s="99"/>
      <c r="N745" s="43">
        <f t="shared" si="11"/>
        <v>0</v>
      </c>
    </row>
    <row r="746" spans="2:14" ht="1.5" customHeight="1">
      <c r="B746" s="57"/>
      <c r="C746" s="60"/>
      <c r="D746" s="60"/>
      <c r="E746" s="60"/>
      <c r="F746" s="60"/>
      <c r="G746" s="60"/>
      <c r="J746" s="99"/>
      <c r="K746" s="99"/>
      <c r="L746" s="99"/>
      <c r="M746" s="99"/>
      <c r="N746" s="43">
        <f t="shared" si="11"/>
        <v>0</v>
      </c>
    </row>
    <row r="747" spans="2:14" ht="1.5" customHeight="1">
      <c r="B747" s="57"/>
      <c r="C747" s="60"/>
      <c r="D747" s="60"/>
      <c r="E747" s="60"/>
      <c r="F747" s="60"/>
      <c r="G747" s="60"/>
      <c r="J747" s="99"/>
      <c r="K747" s="99"/>
      <c r="L747" s="99"/>
      <c r="M747" s="99"/>
      <c r="N747" s="43">
        <f t="shared" si="11"/>
        <v>0</v>
      </c>
    </row>
    <row r="748" spans="2:14" ht="1.5" customHeight="1">
      <c r="B748" s="57"/>
      <c r="C748" s="60"/>
      <c r="D748" s="60"/>
      <c r="E748" s="60"/>
      <c r="F748" s="60"/>
      <c r="G748" s="60"/>
      <c r="J748" s="99"/>
      <c r="K748" s="99"/>
      <c r="L748" s="99"/>
      <c r="M748" s="99"/>
      <c r="N748" s="43">
        <f t="shared" si="11"/>
        <v>0</v>
      </c>
    </row>
    <row r="749" spans="2:14" ht="1.5" customHeight="1">
      <c r="B749" s="57"/>
      <c r="C749" s="60"/>
      <c r="D749" s="60"/>
      <c r="E749" s="60"/>
      <c r="F749" s="60"/>
      <c r="G749" s="60"/>
      <c r="J749" s="99"/>
      <c r="K749" s="99"/>
      <c r="L749" s="99"/>
      <c r="M749" s="99"/>
      <c r="N749" s="43">
        <f t="shared" si="11"/>
        <v>0</v>
      </c>
    </row>
    <row r="750" spans="2:14" ht="1.5" customHeight="1">
      <c r="B750" s="57"/>
      <c r="C750" s="60"/>
      <c r="D750" s="60"/>
      <c r="E750" s="60"/>
      <c r="F750" s="60"/>
      <c r="G750" s="60"/>
      <c r="J750" s="99"/>
      <c r="K750" s="99"/>
      <c r="L750" s="99"/>
      <c r="M750" s="99"/>
      <c r="N750" s="43">
        <f t="shared" si="11"/>
        <v>0</v>
      </c>
    </row>
    <row r="751" spans="2:14" ht="1.5" customHeight="1">
      <c r="B751" s="57"/>
      <c r="C751" s="60"/>
      <c r="D751" s="60"/>
      <c r="E751" s="60"/>
      <c r="F751" s="60"/>
      <c r="G751" s="60"/>
      <c r="J751" s="99"/>
      <c r="K751" s="99"/>
      <c r="L751" s="99"/>
      <c r="M751" s="99"/>
      <c r="N751" s="43">
        <f t="shared" si="11"/>
        <v>0</v>
      </c>
    </row>
    <row r="752" spans="2:14" ht="1.5" customHeight="1">
      <c r="B752" s="57"/>
      <c r="C752" s="60"/>
      <c r="D752" s="60"/>
      <c r="E752" s="60"/>
      <c r="F752" s="60"/>
      <c r="G752" s="60"/>
      <c r="J752" s="99"/>
      <c r="K752" s="99"/>
      <c r="L752" s="99"/>
      <c r="M752" s="99"/>
      <c r="N752" s="43">
        <f t="shared" si="11"/>
        <v>0</v>
      </c>
    </row>
    <row r="753" spans="2:14" ht="1.5" customHeight="1">
      <c r="B753" s="57"/>
      <c r="C753" s="60"/>
      <c r="D753" s="60"/>
      <c r="E753" s="60"/>
      <c r="F753" s="60"/>
      <c r="G753" s="60"/>
      <c r="J753" s="99"/>
      <c r="K753" s="99"/>
      <c r="L753" s="99"/>
      <c r="M753" s="99"/>
      <c r="N753" s="43">
        <f t="shared" si="11"/>
        <v>0</v>
      </c>
    </row>
    <row r="754" spans="2:14" ht="1.5" customHeight="1">
      <c r="B754" s="57"/>
      <c r="C754" s="60"/>
      <c r="D754" s="60"/>
      <c r="E754" s="60"/>
      <c r="F754" s="60"/>
      <c r="G754" s="60"/>
      <c r="J754" s="99"/>
      <c r="K754" s="99"/>
      <c r="L754" s="99"/>
      <c r="M754" s="99"/>
      <c r="N754" s="43">
        <f t="shared" si="11"/>
        <v>0</v>
      </c>
    </row>
    <row r="755" spans="2:14" ht="1.5" customHeight="1">
      <c r="B755" s="57"/>
      <c r="C755" s="60"/>
      <c r="D755" s="60"/>
      <c r="E755" s="60"/>
      <c r="F755" s="60"/>
      <c r="G755" s="60"/>
      <c r="J755" s="99"/>
      <c r="K755" s="99"/>
      <c r="L755" s="99"/>
      <c r="M755" s="99"/>
      <c r="N755" s="43">
        <f t="shared" si="11"/>
        <v>0</v>
      </c>
    </row>
    <row r="756" spans="2:14" ht="1.5" customHeight="1">
      <c r="B756" s="57"/>
      <c r="C756" s="60"/>
      <c r="D756" s="60"/>
      <c r="E756" s="60"/>
      <c r="F756" s="60"/>
      <c r="G756" s="60"/>
      <c r="J756" s="99"/>
      <c r="K756" s="99"/>
      <c r="L756" s="99"/>
      <c r="M756" s="99"/>
      <c r="N756" s="43">
        <f t="shared" si="11"/>
        <v>0</v>
      </c>
    </row>
    <row r="757" spans="2:14" ht="1.5" customHeight="1">
      <c r="B757" s="57"/>
      <c r="C757" s="60"/>
      <c r="D757" s="60"/>
      <c r="E757" s="60"/>
      <c r="F757" s="60"/>
      <c r="G757" s="60"/>
      <c r="J757" s="99"/>
      <c r="K757" s="99"/>
      <c r="L757" s="99"/>
      <c r="M757" s="99"/>
      <c r="N757" s="43">
        <f t="shared" si="11"/>
        <v>0</v>
      </c>
    </row>
    <row r="758" spans="2:14" ht="1.5" customHeight="1">
      <c r="B758" s="57"/>
      <c r="C758" s="60"/>
      <c r="D758" s="60"/>
      <c r="E758" s="60"/>
      <c r="F758" s="60"/>
      <c r="G758" s="60"/>
      <c r="J758" s="99"/>
      <c r="K758" s="99"/>
      <c r="L758" s="99"/>
      <c r="M758" s="99"/>
      <c r="N758" s="43">
        <f t="shared" si="11"/>
        <v>0</v>
      </c>
    </row>
    <row r="759" spans="2:14" ht="1.5" customHeight="1">
      <c r="B759" s="57"/>
      <c r="C759" s="60"/>
      <c r="D759" s="60"/>
      <c r="E759" s="60"/>
      <c r="F759" s="60"/>
      <c r="G759" s="60"/>
      <c r="J759" s="99"/>
      <c r="K759" s="99"/>
      <c r="L759" s="99"/>
      <c r="M759" s="99"/>
      <c r="N759" s="43">
        <f t="shared" si="11"/>
        <v>0</v>
      </c>
    </row>
    <row r="760" spans="2:14" ht="1.5" customHeight="1">
      <c r="B760" s="57"/>
      <c r="C760" s="60"/>
      <c r="D760" s="60"/>
      <c r="E760" s="60"/>
      <c r="F760" s="60"/>
      <c r="G760" s="60"/>
      <c r="J760" s="99"/>
      <c r="K760" s="99"/>
      <c r="L760" s="99"/>
      <c r="M760" s="99"/>
      <c r="N760" s="43">
        <f t="shared" si="11"/>
        <v>0</v>
      </c>
    </row>
    <row r="761" spans="2:14" ht="1.5" customHeight="1">
      <c r="B761" s="57"/>
      <c r="C761" s="60"/>
      <c r="D761" s="60"/>
      <c r="E761" s="60"/>
      <c r="F761" s="60"/>
      <c r="G761" s="60"/>
      <c r="J761" s="99"/>
      <c r="K761" s="99"/>
      <c r="L761" s="99"/>
      <c r="M761" s="99"/>
      <c r="N761" s="43">
        <f t="shared" si="11"/>
        <v>0</v>
      </c>
    </row>
    <row r="762" spans="2:14" ht="1.5" customHeight="1">
      <c r="B762" s="57"/>
      <c r="C762" s="60"/>
      <c r="D762" s="60"/>
      <c r="E762" s="60"/>
      <c r="F762" s="60"/>
      <c r="G762" s="60"/>
      <c r="J762" s="99"/>
      <c r="K762" s="99"/>
      <c r="L762" s="99"/>
      <c r="M762" s="99"/>
      <c r="N762" s="43">
        <f t="shared" si="11"/>
        <v>0</v>
      </c>
    </row>
    <row r="763" spans="2:14" ht="1.5" customHeight="1">
      <c r="B763" s="57"/>
      <c r="C763" s="60"/>
      <c r="D763" s="60"/>
      <c r="E763" s="60"/>
      <c r="F763" s="60"/>
      <c r="G763" s="60"/>
      <c r="J763" s="99"/>
      <c r="K763" s="99"/>
      <c r="L763" s="99"/>
      <c r="M763" s="99"/>
      <c r="N763" s="43">
        <f t="shared" si="11"/>
        <v>0</v>
      </c>
    </row>
    <row r="764" spans="2:14" ht="1.5" customHeight="1">
      <c r="B764" s="57"/>
      <c r="C764" s="60"/>
      <c r="D764" s="60"/>
      <c r="E764" s="60"/>
      <c r="F764" s="60"/>
      <c r="G764" s="60"/>
      <c r="J764" s="99"/>
      <c r="K764" s="99"/>
      <c r="L764" s="99"/>
      <c r="M764" s="99"/>
      <c r="N764" s="43">
        <f t="shared" si="11"/>
        <v>0</v>
      </c>
    </row>
    <row r="765" spans="2:14" ht="1.5" customHeight="1">
      <c r="B765" s="57"/>
      <c r="C765" s="60"/>
      <c r="D765" s="60"/>
      <c r="E765" s="60"/>
      <c r="F765" s="60"/>
      <c r="G765" s="60"/>
      <c r="J765" s="99"/>
      <c r="K765" s="99"/>
      <c r="L765" s="99"/>
      <c r="M765" s="99"/>
      <c r="N765" s="43">
        <f t="shared" si="11"/>
        <v>0</v>
      </c>
    </row>
    <row r="766" spans="2:14" ht="1.5" customHeight="1">
      <c r="B766" s="57"/>
      <c r="C766" s="60"/>
      <c r="D766" s="60"/>
      <c r="E766" s="60"/>
      <c r="F766" s="60"/>
      <c r="G766" s="60"/>
      <c r="J766" s="99"/>
      <c r="K766" s="99"/>
      <c r="L766" s="99"/>
      <c r="M766" s="99"/>
      <c r="N766" s="43">
        <f t="shared" si="11"/>
        <v>0</v>
      </c>
    </row>
    <row r="767" spans="2:14" ht="1.5" customHeight="1">
      <c r="B767" s="57"/>
      <c r="C767" s="60"/>
      <c r="D767" s="60"/>
      <c r="E767" s="60"/>
      <c r="F767" s="60"/>
      <c r="G767" s="60"/>
      <c r="J767" s="99"/>
      <c r="K767" s="99"/>
      <c r="L767" s="99"/>
      <c r="M767" s="99"/>
      <c r="N767" s="43">
        <f t="shared" si="11"/>
        <v>0</v>
      </c>
    </row>
    <row r="768" spans="2:14" ht="1.5" customHeight="1">
      <c r="B768" s="57"/>
      <c r="C768" s="60"/>
      <c r="D768" s="60"/>
      <c r="E768" s="60"/>
      <c r="F768" s="60"/>
      <c r="G768" s="60"/>
      <c r="J768" s="99"/>
      <c r="K768" s="99"/>
      <c r="L768" s="99"/>
      <c r="M768" s="99"/>
      <c r="N768" s="43">
        <f t="shared" si="11"/>
        <v>0</v>
      </c>
    </row>
    <row r="769" spans="2:14" ht="1.5" customHeight="1">
      <c r="B769" s="57"/>
      <c r="C769" s="60"/>
      <c r="D769" s="60"/>
      <c r="E769" s="60"/>
      <c r="F769" s="60"/>
      <c r="G769" s="60"/>
      <c r="J769" s="99"/>
      <c r="K769" s="99"/>
      <c r="L769" s="99"/>
      <c r="M769" s="99"/>
      <c r="N769" s="43">
        <f t="shared" si="11"/>
        <v>0</v>
      </c>
    </row>
    <row r="770" spans="2:14" ht="1.5" customHeight="1">
      <c r="B770" s="57"/>
      <c r="C770" s="60"/>
      <c r="D770" s="60"/>
      <c r="E770" s="60"/>
      <c r="F770" s="60"/>
      <c r="G770" s="60"/>
      <c r="J770" s="99"/>
      <c r="K770" s="99"/>
      <c r="L770" s="99"/>
      <c r="M770" s="99"/>
      <c r="N770" s="43">
        <f t="shared" si="11"/>
        <v>0</v>
      </c>
    </row>
    <row r="771" spans="2:14" ht="1.5" customHeight="1">
      <c r="B771" s="57"/>
      <c r="C771" s="60"/>
      <c r="D771" s="60"/>
      <c r="E771" s="60"/>
      <c r="F771" s="60"/>
      <c r="G771" s="60"/>
      <c r="J771" s="99"/>
      <c r="K771" s="99"/>
      <c r="L771" s="99"/>
      <c r="M771" s="99"/>
      <c r="N771" s="43">
        <f t="shared" si="11"/>
        <v>0</v>
      </c>
    </row>
    <row r="772" spans="2:14" ht="1.5" customHeight="1">
      <c r="B772" s="57"/>
      <c r="C772" s="60"/>
      <c r="D772" s="60"/>
      <c r="E772" s="60"/>
      <c r="F772" s="60"/>
      <c r="G772" s="60"/>
      <c r="J772" s="99"/>
      <c r="K772" s="99"/>
      <c r="L772" s="99"/>
      <c r="M772" s="99"/>
      <c r="N772" s="43">
        <f t="shared" si="11"/>
        <v>0</v>
      </c>
    </row>
    <row r="773" spans="2:14" ht="1.5" customHeight="1">
      <c r="B773" s="57"/>
      <c r="C773" s="60"/>
      <c r="D773" s="60"/>
      <c r="E773" s="60"/>
      <c r="F773" s="60"/>
      <c r="G773" s="60"/>
      <c r="J773" s="99"/>
      <c r="K773" s="99"/>
      <c r="L773" s="99"/>
      <c r="M773" s="99"/>
      <c r="N773" s="43">
        <f t="shared" si="11"/>
        <v>0</v>
      </c>
    </row>
    <row r="774" spans="2:14" ht="1.5" customHeight="1">
      <c r="B774" s="57"/>
      <c r="C774" s="60"/>
      <c r="D774" s="60"/>
      <c r="E774" s="60"/>
      <c r="F774" s="60"/>
      <c r="G774" s="60"/>
      <c r="J774" s="99"/>
      <c r="K774" s="99"/>
      <c r="L774" s="99"/>
      <c r="M774" s="99"/>
      <c r="N774" s="43">
        <f t="shared" si="11"/>
        <v>0</v>
      </c>
    </row>
    <row r="775" spans="2:14" ht="1.5" customHeight="1">
      <c r="B775" s="57"/>
      <c r="C775" s="60"/>
      <c r="D775" s="60"/>
      <c r="E775" s="60"/>
      <c r="F775" s="60"/>
      <c r="G775" s="60"/>
      <c r="J775" s="99"/>
      <c r="K775" s="99"/>
      <c r="L775" s="99"/>
      <c r="M775" s="99"/>
      <c r="N775" s="43">
        <f t="shared" si="11"/>
        <v>0</v>
      </c>
    </row>
    <row r="776" spans="2:14" ht="1.5" customHeight="1">
      <c r="B776" s="57"/>
      <c r="C776" s="60"/>
      <c r="D776" s="60"/>
      <c r="E776" s="60"/>
      <c r="F776" s="60"/>
      <c r="G776" s="60"/>
      <c r="J776" s="99"/>
      <c r="K776" s="99"/>
      <c r="L776" s="99"/>
      <c r="M776" s="99"/>
      <c r="N776" s="43">
        <f t="shared" si="11"/>
        <v>0</v>
      </c>
    </row>
    <row r="777" spans="2:14" ht="1.5" customHeight="1">
      <c r="B777" s="57"/>
      <c r="C777" s="60"/>
      <c r="D777" s="60"/>
      <c r="E777" s="60"/>
      <c r="F777" s="60"/>
      <c r="G777" s="60"/>
      <c r="J777" s="99"/>
      <c r="K777" s="99"/>
      <c r="L777" s="99"/>
      <c r="M777" s="99"/>
      <c r="N777" s="43">
        <f t="shared" si="11"/>
        <v>0</v>
      </c>
    </row>
    <row r="778" spans="2:14" ht="1.5" customHeight="1">
      <c r="B778" s="57"/>
      <c r="C778" s="60"/>
      <c r="D778" s="60"/>
      <c r="E778" s="60"/>
      <c r="F778" s="60"/>
      <c r="G778" s="60"/>
      <c r="J778" s="99"/>
      <c r="K778" s="99"/>
      <c r="L778" s="99"/>
      <c r="M778" s="99"/>
      <c r="N778" s="43">
        <f t="shared" si="11"/>
        <v>0</v>
      </c>
    </row>
    <row r="779" spans="2:14" ht="1.5" customHeight="1">
      <c r="B779" s="57"/>
      <c r="C779" s="60"/>
      <c r="D779" s="60"/>
      <c r="E779" s="60"/>
      <c r="F779" s="60"/>
      <c r="G779" s="60"/>
      <c r="J779" s="99"/>
      <c r="K779" s="99"/>
      <c r="L779" s="99"/>
      <c r="M779" s="99"/>
      <c r="N779" s="43">
        <f t="shared" ref="N779:N811" si="12">IF($L$4=$C$10,C779,IF(D779="","",B779))</f>
        <v>0</v>
      </c>
    </row>
    <row r="780" spans="2:14" ht="1.5" customHeight="1">
      <c r="B780" s="57"/>
      <c r="C780" s="60"/>
      <c r="D780" s="60"/>
      <c r="E780" s="60"/>
      <c r="F780" s="60"/>
      <c r="G780" s="60"/>
      <c r="J780" s="99"/>
      <c r="K780" s="99"/>
      <c r="L780" s="99"/>
      <c r="M780" s="99"/>
      <c r="N780" s="43">
        <f t="shared" si="12"/>
        <v>0</v>
      </c>
    </row>
    <row r="781" spans="2:14" ht="1.5" customHeight="1">
      <c r="B781" s="57"/>
      <c r="C781" s="60"/>
      <c r="D781" s="60"/>
      <c r="E781" s="60"/>
      <c r="F781" s="60"/>
      <c r="G781" s="60"/>
      <c r="J781" s="99"/>
      <c r="K781" s="99"/>
      <c r="L781" s="99"/>
      <c r="M781" s="99"/>
      <c r="N781" s="43">
        <f t="shared" si="12"/>
        <v>0</v>
      </c>
    </row>
    <row r="782" spans="2:14" ht="1.5" customHeight="1">
      <c r="B782" s="57"/>
      <c r="C782" s="60"/>
      <c r="D782" s="60"/>
      <c r="E782" s="60"/>
      <c r="F782" s="60"/>
      <c r="G782" s="60"/>
      <c r="J782" s="99"/>
      <c r="K782" s="99"/>
      <c r="L782" s="99"/>
      <c r="M782" s="99"/>
      <c r="N782" s="43">
        <f t="shared" si="12"/>
        <v>0</v>
      </c>
    </row>
    <row r="783" spans="2:14" ht="1.5" customHeight="1">
      <c r="B783" s="57"/>
      <c r="C783" s="60"/>
      <c r="D783" s="60"/>
      <c r="E783" s="60"/>
      <c r="F783" s="60"/>
      <c r="G783" s="60"/>
      <c r="J783" s="99"/>
      <c r="K783" s="99"/>
      <c r="L783" s="99"/>
      <c r="M783" s="99"/>
      <c r="N783" s="43">
        <f t="shared" si="12"/>
        <v>0</v>
      </c>
    </row>
    <row r="784" spans="2:14" ht="1.5" customHeight="1">
      <c r="B784" s="57"/>
      <c r="C784" s="60"/>
      <c r="D784" s="60"/>
      <c r="E784" s="60"/>
      <c r="F784" s="60"/>
      <c r="G784" s="60"/>
      <c r="J784" s="99"/>
      <c r="K784" s="99"/>
      <c r="L784" s="99"/>
      <c r="M784" s="99"/>
      <c r="N784" s="43">
        <f t="shared" si="12"/>
        <v>0</v>
      </c>
    </row>
    <row r="785" spans="2:14" ht="1.5" customHeight="1">
      <c r="B785" s="57"/>
      <c r="C785" s="60"/>
      <c r="D785" s="60"/>
      <c r="E785" s="60"/>
      <c r="F785" s="60"/>
      <c r="G785" s="60"/>
      <c r="J785" s="99"/>
      <c r="K785" s="99"/>
      <c r="L785" s="99"/>
      <c r="M785" s="99"/>
      <c r="N785" s="43">
        <f t="shared" si="12"/>
        <v>0</v>
      </c>
    </row>
    <row r="786" spans="2:14" ht="1.5" customHeight="1">
      <c r="B786" s="57"/>
      <c r="C786" s="60"/>
      <c r="D786" s="60"/>
      <c r="E786" s="60"/>
      <c r="F786" s="60"/>
      <c r="G786" s="60"/>
      <c r="J786" s="99"/>
      <c r="K786" s="99"/>
      <c r="L786" s="99"/>
      <c r="M786" s="99"/>
      <c r="N786" s="43">
        <f t="shared" si="12"/>
        <v>0</v>
      </c>
    </row>
    <row r="787" spans="2:14" ht="1.5" customHeight="1">
      <c r="B787" s="57"/>
      <c r="C787" s="60"/>
      <c r="D787" s="60"/>
      <c r="E787" s="60"/>
      <c r="F787" s="60"/>
      <c r="G787" s="60"/>
      <c r="J787" s="99"/>
      <c r="K787" s="99"/>
      <c r="L787" s="99"/>
      <c r="M787" s="99"/>
      <c r="N787" s="43">
        <f t="shared" si="12"/>
        <v>0</v>
      </c>
    </row>
    <row r="788" spans="2:14" ht="1.5" customHeight="1">
      <c r="B788" s="57"/>
      <c r="C788" s="60"/>
      <c r="D788" s="60"/>
      <c r="E788" s="60"/>
      <c r="F788" s="60"/>
      <c r="G788" s="60"/>
      <c r="J788" s="99"/>
      <c r="K788" s="99"/>
      <c r="L788" s="99"/>
      <c r="M788" s="99"/>
      <c r="N788" s="43">
        <f t="shared" si="12"/>
        <v>0</v>
      </c>
    </row>
    <row r="789" spans="2:14" ht="1.5" customHeight="1">
      <c r="B789" s="57"/>
      <c r="C789" s="60"/>
      <c r="D789" s="60"/>
      <c r="E789" s="60"/>
      <c r="F789" s="60"/>
      <c r="G789" s="60"/>
      <c r="J789" s="99"/>
      <c r="K789" s="99"/>
      <c r="L789" s="99"/>
      <c r="M789" s="99"/>
      <c r="N789" s="43">
        <f t="shared" si="12"/>
        <v>0</v>
      </c>
    </row>
    <row r="790" spans="2:14" ht="1.5" customHeight="1">
      <c r="B790" s="57"/>
      <c r="C790" s="60"/>
      <c r="D790" s="60"/>
      <c r="E790" s="60"/>
      <c r="F790" s="60"/>
      <c r="G790" s="60"/>
      <c r="J790" s="99"/>
      <c r="K790" s="99"/>
      <c r="L790" s="99"/>
      <c r="M790" s="99"/>
      <c r="N790" s="43">
        <f t="shared" si="12"/>
        <v>0</v>
      </c>
    </row>
    <row r="791" spans="2:14" ht="1.5" customHeight="1">
      <c r="B791" s="57"/>
      <c r="C791" s="60"/>
      <c r="D791" s="60"/>
      <c r="E791" s="60"/>
      <c r="F791" s="60"/>
      <c r="G791" s="60"/>
      <c r="J791" s="99"/>
      <c r="K791" s="99"/>
      <c r="L791" s="99"/>
      <c r="M791" s="99"/>
      <c r="N791" s="43">
        <f t="shared" si="12"/>
        <v>0</v>
      </c>
    </row>
    <row r="792" spans="2:14" ht="1.5" customHeight="1">
      <c r="B792" s="57"/>
      <c r="C792" s="60"/>
      <c r="D792" s="60"/>
      <c r="E792" s="60"/>
      <c r="F792" s="60"/>
      <c r="G792" s="60"/>
      <c r="J792" s="99"/>
      <c r="K792" s="99"/>
      <c r="L792" s="99"/>
      <c r="M792" s="99"/>
      <c r="N792" s="43">
        <f t="shared" si="12"/>
        <v>0</v>
      </c>
    </row>
    <row r="793" spans="2:14" ht="1.5" customHeight="1">
      <c r="B793" s="57"/>
      <c r="C793" s="60"/>
      <c r="D793" s="60"/>
      <c r="E793" s="60"/>
      <c r="F793" s="60"/>
      <c r="G793" s="60"/>
      <c r="J793" s="99"/>
      <c r="K793" s="99"/>
      <c r="L793" s="99"/>
      <c r="M793" s="99"/>
      <c r="N793" s="43">
        <f t="shared" si="12"/>
        <v>0</v>
      </c>
    </row>
    <row r="794" spans="2:14" ht="1.5" customHeight="1">
      <c r="B794" s="57"/>
      <c r="C794" s="60"/>
      <c r="D794" s="60"/>
      <c r="E794" s="60"/>
      <c r="F794" s="60"/>
      <c r="G794" s="60"/>
      <c r="J794" s="99"/>
      <c r="K794" s="99"/>
      <c r="L794" s="99"/>
      <c r="M794" s="99"/>
      <c r="N794" s="43">
        <f t="shared" si="12"/>
        <v>0</v>
      </c>
    </row>
    <row r="795" spans="2:14" ht="1.5" customHeight="1">
      <c r="B795" s="57"/>
      <c r="C795" s="60"/>
      <c r="D795" s="60"/>
      <c r="E795" s="60"/>
      <c r="F795" s="60"/>
      <c r="G795" s="60"/>
      <c r="J795" s="99"/>
      <c r="K795" s="99"/>
      <c r="L795" s="99"/>
      <c r="M795" s="99"/>
      <c r="N795" s="43">
        <f t="shared" si="12"/>
        <v>0</v>
      </c>
    </row>
    <row r="796" spans="2:14" ht="1.5" customHeight="1">
      <c r="B796" s="57"/>
      <c r="C796" s="60"/>
      <c r="D796" s="60"/>
      <c r="E796" s="60"/>
      <c r="F796" s="60"/>
      <c r="G796" s="60"/>
      <c r="J796" s="99"/>
      <c r="K796" s="99"/>
      <c r="L796" s="99"/>
      <c r="M796" s="99"/>
      <c r="N796" s="43">
        <f t="shared" si="12"/>
        <v>0</v>
      </c>
    </row>
    <row r="797" spans="2:14" ht="1.5" customHeight="1">
      <c r="B797" s="57"/>
      <c r="C797" s="60"/>
      <c r="D797" s="60"/>
      <c r="E797" s="60"/>
      <c r="F797" s="60"/>
      <c r="G797" s="60"/>
      <c r="J797" s="99"/>
      <c r="K797" s="99"/>
      <c r="L797" s="99"/>
      <c r="M797" s="99"/>
      <c r="N797" s="43">
        <f t="shared" si="12"/>
        <v>0</v>
      </c>
    </row>
    <row r="798" spans="2:14" ht="1.5" customHeight="1">
      <c r="B798" s="57"/>
      <c r="C798" s="60"/>
      <c r="D798" s="60"/>
      <c r="E798" s="60"/>
      <c r="F798" s="60"/>
      <c r="G798" s="60"/>
      <c r="J798" s="99"/>
      <c r="K798" s="99"/>
      <c r="L798" s="99"/>
      <c r="M798" s="99"/>
      <c r="N798" s="43">
        <f t="shared" si="12"/>
        <v>0</v>
      </c>
    </row>
    <row r="799" spans="2:14" ht="1.5" customHeight="1">
      <c r="B799" s="57"/>
      <c r="C799" s="60"/>
      <c r="D799" s="60"/>
      <c r="E799" s="60"/>
      <c r="F799" s="60"/>
      <c r="G799" s="60"/>
      <c r="J799" s="99"/>
      <c r="K799" s="99"/>
      <c r="L799" s="99"/>
      <c r="M799" s="99"/>
      <c r="N799" s="43">
        <f t="shared" si="12"/>
        <v>0</v>
      </c>
    </row>
    <row r="800" spans="2:14" ht="1.5" customHeight="1">
      <c r="B800" s="57"/>
      <c r="C800" s="60"/>
      <c r="D800" s="60"/>
      <c r="E800" s="60"/>
      <c r="F800" s="60"/>
      <c r="G800" s="60"/>
      <c r="J800" s="99"/>
      <c r="K800" s="99"/>
      <c r="L800" s="99"/>
      <c r="M800" s="99"/>
      <c r="N800" s="43">
        <f t="shared" si="12"/>
        <v>0</v>
      </c>
    </row>
    <row r="801" spans="2:14" ht="1.5" customHeight="1">
      <c r="B801" s="57"/>
      <c r="C801" s="60"/>
      <c r="D801" s="60"/>
      <c r="E801" s="60"/>
      <c r="F801" s="60"/>
      <c r="G801" s="60"/>
      <c r="J801" s="99"/>
      <c r="K801" s="99"/>
      <c r="L801" s="99"/>
      <c r="M801" s="99"/>
      <c r="N801" s="43">
        <f t="shared" si="12"/>
        <v>0</v>
      </c>
    </row>
    <row r="802" spans="2:14" ht="1.5" customHeight="1">
      <c r="B802" s="57"/>
      <c r="C802" s="60"/>
      <c r="D802" s="60"/>
      <c r="E802" s="60"/>
      <c r="F802" s="60"/>
      <c r="G802" s="60"/>
      <c r="J802" s="99"/>
      <c r="K802" s="99"/>
      <c r="L802" s="99"/>
      <c r="M802" s="99"/>
      <c r="N802" s="43">
        <f t="shared" si="12"/>
        <v>0</v>
      </c>
    </row>
    <row r="803" spans="2:14" ht="1.5" customHeight="1">
      <c r="B803" s="57"/>
      <c r="C803" s="60"/>
      <c r="D803" s="60"/>
      <c r="E803" s="60"/>
      <c r="F803" s="60"/>
      <c r="G803" s="60"/>
      <c r="J803" s="99"/>
      <c r="K803" s="99"/>
      <c r="L803" s="99"/>
      <c r="M803" s="99"/>
      <c r="N803" s="43">
        <f t="shared" si="12"/>
        <v>0</v>
      </c>
    </row>
    <row r="804" spans="2:14" ht="1.5" customHeight="1">
      <c r="B804" s="57"/>
      <c r="C804" s="60"/>
      <c r="D804" s="60"/>
      <c r="E804" s="60"/>
      <c r="F804" s="60"/>
      <c r="G804" s="60"/>
      <c r="J804" s="99"/>
      <c r="K804" s="99"/>
      <c r="L804" s="99"/>
      <c r="M804" s="99"/>
      <c r="N804" s="43">
        <f t="shared" si="12"/>
        <v>0</v>
      </c>
    </row>
    <row r="805" spans="2:14" ht="1.5" customHeight="1">
      <c r="B805" s="57"/>
      <c r="C805" s="60"/>
      <c r="D805" s="60"/>
      <c r="E805" s="60"/>
      <c r="F805" s="60"/>
      <c r="G805" s="60"/>
      <c r="J805" s="99"/>
      <c r="K805" s="99"/>
      <c r="L805" s="99"/>
      <c r="M805" s="99"/>
      <c r="N805" s="43">
        <f t="shared" si="12"/>
        <v>0</v>
      </c>
    </row>
    <row r="806" spans="2:14" ht="1.5" customHeight="1">
      <c r="B806" s="57"/>
      <c r="C806" s="60"/>
      <c r="D806" s="60"/>
      <c r="E806" s="60"/>
      <c r="F806" s="60"/>
      <c r="G806" s="60"/>
      <c r="J806" s="99"/>
      <c r="K806" s="99"/>
      <c r="L806" s="99"/>
      <c r="M806" s="99"/>
      <c r="N806" s="43">
        <f t="shared" si="12"/>
        <v>0</v>
      </c>
    </row>
    <row r="807" spans="2:14" ht="1.5" customHeight="1">
      <c r="B807" s="57"/>
      <c r="C807" s="60"/>
      <c r="D807" s="60"/>
      <c r="E807" s="60"/>
      <c r="F807" s="60"/>
      <c r="G807" s="60"/>
      <c r="J807" s="99"/>
      <c r="K807" s="99"/>
      <c r="L807" s="99"/>
      <c r="M807" s="99"/>
      <c r="N807" s="43">
        <f t="shared" si="12"/>
        <v>0</v>
      </c>
    </row>
    <row r="808" spans="2:14" ht="1.5" customHeight="1">
      <c r="B808" s="57"/>
      <c r="C808" s="60"/>
      <c r="D808" s="60"/>
      <c r="E808" s="60"/>
      <c r="F808" s="60"/>
      <c r="G808" s="60"/>
      <c r="J808" s="99"/>
      <c r="K808" s="99"/>
      <c r="L808" s="99"/>
      <c r="M808" s="99"/>
      <c r="N808" s="43">
        <f t="shared" si="12"/>
        <v>0</v>
      </c>
    </row>
    <row r="809" spans="2:14" ht="1.5" customHeight="1">
      <c r="B809" s="57"/>
      <c r="C809" s="60"/>
      <c r="D809" s="60"/>
      <c r="E809" s="60"/>
      <c r="F809" s="60"/>
      <c r="G809" s="60"/>
      <c r="J809" s="99"/>
      <c r="K809" s="99"/>
      <c r="L809" s="99"/>
      <c r="M809" s="99"/>
      <c r="N809" s="43">
        <f t="shared" si="12"/>
        <v>0</v>
      </c>
    </row>
    <row r="810" spans="2:14" ht="1.5" customHeight="1">
      <c r="B810" s="57"/>
      <c r="C810" s="60"/>
      <c r="D810" s="60"/>
      <c r="E810" s="60"/>
      <c r="F810" s="60"/>
      <c r="G810" s="60"/>
      <c r="J810" s="99"/>
      <c r="K810" s="99"/>
      <c r="L810" s="99"/>
      <c r="M810" s="99"/>
      <c r="N810" s="43">
        <f t="shared" si="12"/>
        <v>0</v>
      </c>
    </row>
    <row r="811" spans="2:14" ht="1.5" customHeight="1">
      <c r="B811" s="57"/>
      <c r="C811" s="60"/>
      <c r="D811" s="60"/>
      <c r="E811" s="60"/>
      <c r="F811" s="60"/>
      <c r="G811" s="60"/>
      <c r="J811" s="99"/>
      <c r="K811" s="99"/>
      <c r="L811" s="99"/>
      <c r="M811" s="99"/>
      <c r="N811" s="43">
        <f t="shared" si="12"/>
        <v>0</v>
      </c>
    </row>
    <row r="812" spans="2:14" ht="12.6" customHeight="1">
      <c r="B812" s="57"/>
      <c r="C812" s="60"/>
      <c r="D812" s="60"/>
      <c r="E812" s="60"/>
      <c r="F812" s="60"/>
      <c r="G812" s="60"/>
      <c r="J812" s="99"/>
      <c r="K812" s="99"/>
      <c r="L812" s="99"/>
      <c r="M812" s="99"/>
      <c r="N812" s="43"/>
    </row>
    <row r="813" spans="2:14" ht="12.6" customHeight="1"/>
  </sheetData>
  <mergeCells count="1641">
    <mergeCell ref="J811:K811"/>
    <mergeCell ref="L811:M811"/>
    <mergeCell ref="J812:K812"/>
    <mergeCell ref="L812:M812"/>
    <mergeCell ref="J808:K808"/>
    <mergeCell ref="L808:M808"/>
    <mergeCell ref="J809:K809"/>
    <mergeCell ref="L809:M809"/>
    <mergeCell ref="J810:K810"/>
    <mergeCell ref="L810:M810"/>
    <mergeCell ref="J805:K805"/>
    <mergeCell ref="L805:M805"/>
    <mergeCell ref="J806:K806"/>
    <mergeCell ref="L806:M806"/>
    <mergeCell ref="J807:K807"/>
    <mergeCell ref="L807:M807"/>
    <mergeCell ref="J802:K802"/>
    <mergeCell ref="L802:M802"/>
    <mergeCell ref="J803:K803"/>
    <mergeCell ref="L803:M803"/>
    <mergeCell ref="J804:K804"/>
    <mergeCell ref="L804:M804"/>
    <mergeCell ref="J799:K799"/>
    <mergeCell ref="L799:M799"/>
    <mergeCell ref="J800:K800"/>
    <mergeCell ref="L800:M800"/>
    <mergeCell ref="J801:K801"/>
    <mergeCell ref="L801:M801"/>
    <mergeCell ref="J796:K796"/>
    <mergeCell ref="L796:M796"/>
    <mergeCell ref="J797:K797"/>
    <mergeCell ref="L797:M797"/>
    <mergeCell ref="J798:K798"/>
    <mergeCell ref="L798:M798"/>
    <mergeCell ref="J793:K793"/>
    <mergeCell ref="L793:M793"/>
    <mergeCell ref="J794:K794"/>
    <mergeCell ref="L794:M794"/>
    <mergeCell ref="J795:K795"/>
    <mergeCell ref="L795:M795"/>
    <mergeCell ref="J790:K790"/>
    <mergeCell ref="L790:M790"/>
    <mergeCell ref="J791:K791"/>
    <mergeCell ref="L791:M791"/>
    <mergeCell ref="J792:K792"/>
    <mergeCell ref="L792:M792"/>
    <mergeCell ref="J787:K787"/>
    <mergeCell ref="L787:M787"/>
    <mergeCell ref="J788:K788"/>
    <mergeCell ref="L788:M788"/>
    <mergeCell ref="J789:K789"/>
    <mergeCell ref="L789:M789"/>
    <mergeCell ref="J784:K784"/>
    <mergeCell ref="L784:M784"/>
    <mergeCell ref="J785:K785"/>
    <mergeCell ref="L785:M785"/>
    <mergeCell ref="J786:K786"/>
    <mergeCell ref="L786:M786"/>
    <mergeCell ref="J781:K781"/>
    <mergeCell ref="L781:M781"/>
    <mergeCell ref="J782:K782"/>
    <mergeCell ref="L782:M782"/>
    <mergeCell ref="J783:K783"/>
    <mergeCell ref="L783:M783"/>
    <mergeCell ref="J778:K778"/>
    <mergeCell ref="L778:M778"/>
    <mergeCell ref="J779:K779"/>
    <mergeCell ref="L779:M779"/>
    <mergeCell ref="J780:K780"/>
    <mergeCell ref="L780:M780"/>
    <mergeCell ref="J775:K775"/>
    <mergeCell ref="L775:M775"/>
    <mergeCell ref="J776:K776"/>
    <mergeCell ref="L776:M776"/>
    <mergeCell ref="J777:K777"/>
    <mergeCell ref="L777:M777"/>
    <mergeCell ref="J772:K772"/>
    <mergeCell ref="L772:M772"/>
    <mergeCell ref="J773:K773"/>
    <mergeCell ref="L773:M773"/>
    <mergeCell ref="J774:K774"/>
    <mergeCell ref="L774:M774"/>
    <mergeCell ref="J769:K769"/>
    <mergeCell ref="L769:M769"/>
    <mergeCell ref="J770:K770"/>
    <mergeCell ref="L770:M770"/>
    <mergeCell ref="J771:K771"/>
    <mergeCell ref="L771:M771"/>
    <mergeCell ref="J766:K766"/>
    <mergeCell ref="L766:M766"/>
    <mergeCell ref="J767:K767"/>
    <mergeCell ref="L767:M767"/>
    <mergeCell ref="J768:K768"/>
    <mergeCell ref="L768:M768"/>
    <mergeCell ref="J763:K763"/>
    <mergeCell ref="L763:M763"/>
    <mergeCell ref="J764:K764"/>
    <mergeCell ref="L764:M764"/>
    <mergeCell ref="J765:K765"/>
    <mergeCell ref="L765:M765"/>
    <mergeCell ref="J760:K760"/>
    <mergeCell ref="L760:M760"/>
    <mergeCell ref="J761:K761"/>
    <mergeCell ref="L761:M761"/>
    <mergeCell ref="J762:K762"/>
    <mergeCell ref="L762:M762"/>
    <mergeCell ref="J757:K757"/>
    <mergeCell ref="L757:M757"/>
    <mergeCell ref="J758:K758"/>
    <mergeCell ref="L758:M758"/>
    <mergeCell ref="J759:K759"/>
    <mergeCell ref="L759:M759"/>
    <mergeCell ref="J754:K754"/>
    <mergeCell ref="L754:M754"/>
    <mergeCell ref="J755:K755"/>
    <mergeCell ref="L755:M755"/>
    <mergeCell ref="J756:K756"/>
    <mergeCell ref="L756:M756"/>
    <mergeCell ref="J751:K751"/>
    <mergeCell ref="L751:M751"/>
    <mergeCell ref="J752:K752"/>
    <mergeCell ref="L752:M752"/>
    <mergeCell ref="J753:K753"/>
    <mergeCell ref="L753:M753"/>
    <mergeCell ref="J748:K748"/>
    <mergeCell ref="L748:M748"/>
    <mergeCell ref="J749:K749"/>
    <mergeCell ref="L749:M749"/>
    <mergeCell ref="J750:K750"/>
    <mergeCell ref="L750:M750"/>
    <mergeCell ref="J745:K745"/>
    <mergeCell ref="L745:M745"/>
    <mergeCell ref="J746:K746"/>
    <mergeCell ref="L746:M746"/>
    <mergeCell ref="J747:K747"/>
    <mergeCell ref="L747:M747"/>
    <mergeCell ref="J742:K742"/>
    <mergeCell ref="L742:M742"/>
    <mergeCell ref="J743:K743"/>
    <mergeCell ref="L743:M743"/>
    <mergeCell ref="J744:K744"/>
    <mergeCell ref="L744:M744"/>
    <mergeCell ref="J739:K739"/>
    <mergeCell ref="L739:M739"/>
    <mergeCell ref="J740:K740"/>
    <mergeCell ref="L740:M740"/>
    <mergeCell ref="J741:K741"/>
    <mergeCell ref="L741:M741"/>
    <mergeCell ref="J736:K736"/>
    <mergeCell ref="L736:M736"/>
    <mergeCell ref="J737:K737"/>
    <mergeCell ref="L737:M737"/>
    <mergeCell ref="J738:K738"/>
    <mergeCell ref="L738:M738"/>
    <mergeCell ref="J733:K733"/>
    <mergeCell ref="L733:M733"/>
    <mergeCell ref="J734:K734"/>
    <mergeCell ref="L734:M734"/>
    <mergeCell ref="J735:K735"/>
    <mergeCell ref="L735:M735"/>
    <mergeCell ref="J730:K730"/>
    <mergeCell ref="L730:M730"/>
    <mergeCell ref="J731:K731"/>
    <mergeCell ref="L731:M731"/>
    <mergeCell ref="J732:K732"/>
    <mergeCell ref="L732:M732"/>
    <mergeCell ref="J727:K727"/>
    <mergeCell ref="L727:M727"/>
    <mergeCell ref="J728:K728"/>
    <mergeCell ref="L728:M728"/>
    <mergeCell ref="J729:K729"/>
    <mergeCell ref="L729:M729"/>
    <mergeCell ref="J724:K724"/>
    <mergeCell ref="L724:M724"/>
    <mergeCell ref="J725:K725"/>
    <mergeCell ref="L725:M725"/>
    <mergeCell ref="J726:K726"/>
    <mergeCell ref="L726:M726"/>
    <mergeCell ref="J721:K721"/>
    <mergeCell ref="L721:M721"/>
    <mergeCell ref="J722:K722"/>
    <mergeCell ref="L722:M722"/>
    <mergeCell ref="J723:K723"/>
    <mergeCell ref="L723:M723"/>
    <mergeCell ref="J718:K718"/>
    <mergeCell ref="L718:M718"/>
    <mergeCell ref="J719:K719"/>
    <mergeCell ref="L719:M719"/>
    <mergeCell ref="J720:K720"/>
    <mergeCell ref="L720:M720"/>
    <mergeCell ref="J715:K715"/>
    <mergeCell ref="L715:M715"/>
    <mergeCell ref="J716:K716"/>
    <mergeCell ref="L716:M716"/>
    <mergeCell ref="J717:K717"/>
    <mergeCell ref="L717:M717"/>
    <mergeCell ref="J712:K712"/>
    <mergeCell ref="L712:M712"/>
    <mergeCell ref="J713:K713"/>
    <mergeCell ref="L713:M713"/>
    <mergeCell ref="J714:K714"/>
    <mergeCell ref="L714:M714"/>
    <mergeCell ref="J709:K709"/>
    <mergeCell ref="L709:M709"/>
    <mergeCell ref="J710:K710"/>
    <mergeCell ref="L710:M710"/>
    <mergeCell ref="J711:K711"/>
    <mergeCell ref="L711:M711"/>
    <mergeCell ref="J706:K706"/>
    <mergeCell ref="L706:M706"/>
    <mergeCell ref="J707:K707"/>
    <mergeCell ref="L707:M707"/>
    <mergeCell ref="J708:K708"/>
    <mergeCell ref="L708:M708"/>
    <mergeCell ref="J703:K703"/>
    <mergeCell ref="L703:M703"/>
    <mergeCell ref="J704:K704"/>
    <mergeCell ref="L704:M704"/>
    <mergeCell ref="J705:K705"/>
    <mergeCell ref="L705:M705"/>
    <mergeCell ref="J700:K700"/>
    <mergeCell ref="L700:M700"/>
    <mergeCell ref="J701:K701"/>
    <mergeCell ref="L701:M701"/>
    <mergeCell ref="J702:K702"/>
    <mergeCell ref="L702:M702"/>
    <mergeCell ref="J697:K697"/>
    <mergeCell ref="L697:M697"/>
    <mergeCell ref="J698:K698"/>
    <mergeCell ref="L698:M698"/>
    <mergeCell ref="J699:K699"/>
    <mergeCell ref="L699:M699"/>
    <mergeCell ref="J694:K694"/>
    <mergeCell ref="L694:M694"/>
    <mergeCell ref="J695:K695"/>
    <mergeCell ref="L695:M695"/>
    <mergeCell ref="J696:K696"/>
    <mergeCell ref="L696:M696"/>
    <mergeCell ref="J691:K691"/>
    <mergeCell ref="L691:M691"/>
    <mergeCell ref="J692:K692"/>
    <mergeCell ref="L692:M692"/>
    <mergeCell ref="J693:K693"/>
    <mergeCell ref="L693:M693"/>
    <mergeCell ref="J688:K688"/>
    <mergeCell ref="L688:M688"/>
    <mergeCell ref="J689:K689"/>
    <mergeCell ref="L689:M689"/>
    <mergeCell ref="J690:K690"/>
    <mergeCell ref="L690:M690"/>
    <mergeCell ref="J685:K685"/>
    <mergeCell ref="L685:M685"/>
    <mergeCell ref="J686:K686"/>
    <mergeCell ref="L686:M686"/>
    <mergeCell ref="J687:K687"/>
    <mergeCell ref="L687:M687"/>
    <mergeCell ref="J682:K682"/>
    <mergeCell ref="L682:M682"/>
    <mergeCell ref="J683:K683"/>
    <mergeCell ref="L683:M683"/>
    <mergeCell ref="J684:K684"/>
    <mergeCell ref="L684:M684"/>
    <mergeCell ref="J679:K679"/>
    <mergeCell ref="L679:M679"/>
    <mergeCell ref="J680:K680"/>
    <mergeCell ref="L680:M680"/>
    <mergeCell ref="J681:K681"/>
    <mergeCell ref="L681:M681"/>
    <mergeCell ref="J676:K676"/>
    <mergeCell ref="L676:M676"/>
    <mergeCell ref="J677:K677"/>
    <mergeCell ref="L677:M677"/>
    <mergeCell ref="J678:K678"/>
    <mergeCell ref="L678:M678"/>
    <mergeCell ref="J673:K673"/>
    <mergeCell ref="L673:M673"/>
    <mergeCell ref="J674:K674"/>
    <mergeCell ref="L674:M674"/>
    <mergeCell ref="J675:K675"/>
    <mergeCell ref="L675:M675"/>
    <mergeCell ref="J670:K670"/>
    <mergeCell ref="L670:M670"/>
    <mergeCell ref="J671:K671"/>
    <mergeCell ref="L671:M671"/>
    <mergeCell ref="J672:K672"/>
    <mergeCell ref="L672:M672"/>
    <mergeCell ref="J667:K667"/>
    <mergeCell ref="L667:M667"/>
    <mergeCell ref="J668:K668"/>
    <mergeCell ref="L668:M668"/>
    <mergeCell ref="J669:K669"/>
    <mergeCell ref="L669:M669"/>
    <mergeCell ref="J664:K664"/>
    <mergeCell ref="L664:M664"/>
    <mergeCell ref="J665:K665"/>
    <mergeCell ref="L665:M665"/>
    <mergeCell ref="J666:K666"/>
    <mergeCell ref="L666:M666"/>
    <mergeCell ref="J661:K661"/>
    <mergeCell ref="L661:M661"/>
    <mergeCell ref="J662:K662"/>
    <mergeCell ref="L662:M662"/>
    <mergeCell ref="J663:K663"/>
    <mergeCell ref="L663:M663"/>
    <mergeCell ref="J658:K658"/>
    <mergeCell ref="L658:M658"/>
    <mergeCell ref="J659:K659"/>
    <mergeCell ref="L659:M659"/>
    <mergeCell ref="J660:K660"/>
    <mergeCell ref="L660:M660"/>
    <mergeCell ref="J655:K655"/>
    <mergeCell ref="L655:M655"/>
    <mergeCell ref="J656:K656"/>
    <mergeCell ref="L656:M656"/>
    <mergeCell ref="J657:K657"/>
    <mergeCell ref="L657:M657"/>
    <mergeCell ref="J652:K652"/>
    <mergeCell ref="L652:M652"/>
    <mergeCell ref="J653:K653"/>
    <mergeCell ref="L653:M653"/>
    <mergeCell ref="J654:K654"/>
    <mergeCell ref="L654:M654"/>
    <mergeCell ref="J649:K649"/>
    <mergeCell ref="L649:M649"/>
    <mergeCell ref="J650:K650"/>
    <mergeCell ref="L650:M650"/>
    <mergeCell ref="J651:K651"/>
    <mergeCell ref="L651:M651"/>
    <mergeCell ref="J646:K646"/>
    <mergeCell ref="L646:M646"/>
    <mergeCell ref="J647:K647"/>
    <mergeCell ref="L647:M647"/>
    <mergeCell ref="J648:K648"/>
    <mergeCell ref="L648:M648"/>
    <mergeCell ref="J643:K643"/>
    <mergeCell ref="L643:M643"/>
    <mergeCell ref="J644:K644"/>
    <mergeCell ref="L644:M644"/>
    <mergeCell ref="J645:K645"/>
    <mergeCell ref="L645:M645"/>
    <mergeCell ref="J640:K640"/>
    <mergeCell ref="L640:M640"/>
    <mergeCell ref="J641:K641"/>
    <mergeCell ref="L641:M641"/>
    <mergeCell ref="J642:K642"/>
    <mergeCell ref="L642:M642"/>
    <mergeCell ref="J637:K637"/>
    <mergeCell ref="L637:M637"/>
    <mergeCell ref="J638:K638"/>
    <mergeCell ref="L638:M638"/>
    <mergeCell ref="J639:K639"/>
    <mergeCell ref="L639:M639"/>
    <mergeCell ref="J634:K634"/>
    <mergeCell ref="L634:M634"/>
    <mergeCell ref="J635:K635"/>
    <mergeCell ref="L635:M635"/>
    <mergeCell ref="J636:K636"/>
    <mergeCell ref="L636:M636"/>
    <mergeCell ref="J631:K631"/>
    <mergeCell ref="L631:M631"/>
    <mergeCell ref="J632:K632"/>
    <mergeCell ref="L632:M632"/>
    <mergeCell ref="J633:K633"/>
    <mergeCell ref="L633:M633"/>
    <mergeCell ref="J628:K628"/>
    <mergeCell ref="L628:M628"/>
    <mergeCell ref="J629:K629"/>
    <mergeCell ref="L629:M629"/>
    <mergeCell ref="J630:K630"/>
    <mergeCell ref="L630:M630"/>
    <mergeCell ref="J625:K625"/>
    <mergeCell ref="L625:M625"/>
    <mergeCell ref="J626:K626"/>
    <mergeCell ref="L626:M626"/>
    <mergeCell ref="J627:K627"/>
    <mergeCell ref="L627:M627"/>
    <mergeCell ref="J622:K622"/>
    <mergeCell ref="L622:M622"/>
    <mergeCell ref="J623:K623"/>
    <mergeCell ref="L623:M623"/>
    <mergeCell ref="J624:K624"/>
    <mergeCell ref="L624:M624"/>
    <mergeCell ref="J619:K619"/>
    <mergeCell ref="L619:M619"/>
    <mergeCell ref="J620:K620"/>
    <mergeCell ref="L620:M620"/>
    <mergeCell ref="J621:K621"/>
    <mergeCell ref="L621:M621"/>
    <mergeCell ref="J616:K616"/>
    <mergeCell ref="L616:M616"/>
    <mergeCell ref="J617:K617"/>
    <mergeCell ref="L617:M617"/>
    <mergeCell ref="J618:K618"/>
    <mergeCell ref="L618:M618"/>
    <mergeCell ref="J613:K613"/>
    <mergeCell ref="L613:M613"/>
    <mergeCell ref="J614:K614"/>
    <mergeCell ref="L614:M614"/>
    <mergeCell ref="J615:K615"/>
    <mergeCell ref="L615:M615"/>
    <mergeCell ref="J610:K610"/>
    <mergeCell ref="L610:M610"/>
    <mergeCell ref="J611:K611"/>
    <mergeCell ref="L611:M611"/>
    <mergeCell ref="J612:K612"/>
    <mergeCell ref="L612:M612"/>
    <mergeCell ref="J607:K607"/>
    <mergeCell ref="L607:M607"/>
    <mergeCell ref="J608:K608"/>
    <mergeCell ref="L608:M608"/>
    <mergeCell ref="J609:K609"/>
    <mergeCell ref="L609:M609"/>
    <mergeCell ref="J604:K604"/>
    <mergeCell ref="L604:M604"/>
    <mergeCell ref="J605:K605"/>
    <mergeCell ref="L605:M605"/>
    <mergeCell ref="J606:K606"/>
    <mergeCell ref="L606:M606"/>
    <mergeCell ref="J601:K601"/>
    <mergeCell ref="L601:M601"/>
    <mergeCell ref="J602:K602"/>
    <mergeCell ref="L602:M602"/>
    <mergeCell ref="J603:K603"/>
    <mergeCell ref="L603:M603"/>
    <mergeCell ref="J598:K598"/>
    <mergeCell ref="L598:M598"/>
    <mergeCell ref="J599:K599"/>
    <mergeCell ref="L599:M599"/>
    <mergeCell ref="J600:K600"/>
    <mergeCell ref="L600:M600"/>
    <mergeCell ref="J595:K595"/>
    <mergeCell ref="L595:M595"/>
    <mergeCell ref="J596:K596"/>
    <mergeCell ref="L596:M596"/>
    <mergeCell ref="J597:K597"/>
    <mergeCell ref="L597:M597"/>
    <mergeCell ref="J592:K592"/>
    <mergeCell ref="L592:M592"/>
    <mergeCell ref="J593:K593"/>
    <mergeCell ref="L593:M593"/>
    <mergeCell ref="J594:K594"/>
    <mergeCell ref="L594:M594"/>
    <mergeCell ref="J589:K589"/>
    <mergeCell ref="L589:M589"/>
    <mergeCell ref="J590:K590"/>
    <mergeCell ref="L590:M590"/>
    <mergeCell ref="J591:K591"/>
    <mergeCell ref="L591:M591"/>
    <mergeCell ref="J586:K586"/>
    <mergeCell ref="L586:M586"/>
    <mergeCell ref="J587:K587"/>
    <mergeCell ref="L587:M587"/>
    <mergeCell ref="J588:K588"/>
    <mergeCell ref="L588:M588"/>
    <mergeCell ref="J583:K583"/>
    <mergeCell ref="L583:M583"/>
    <mergeCell ref="J584:K584"/>
    <mergeCell ref="L584:M584"/>
    <mergeCell ref="J585:K585"/>
    <mergeCell ref="L585:M585"/>
    <mergeCell ref="J580:K580"/>
    <mergeCell ref="L580:M580"/>
    <mergeCell ref="J581:K581"/>
    <mergeCell ref="L581:M581"/>
    <mergeCell ref="J582:K582"/>
    <mergeCell ref="L582:M582"/>
    <mergeCell ref="J577:K577"/>
    <mergeCell ref="L577:M577"/>
    <mergeCell ref="J578:K578"/>
    <mergeCell ref="L578:M578"/>
    <mergeCell ref="J579:K579"/>
    <mergeCell ref="L579:M579"/>
    <mergeCell ref="J574:K574"/>
    <mergeCell ref="L574:M574"/>
    <mergeCell ref="J575:K575"/>
    <mergeCell ref="L575:M575"/>
    <mergeCell ref="J576:K576"/>
    <mergeCell ref="L576:M576"/>
    <mergeCell ref="J571:K571"/>
    <mergeCell ref="L571:M571"/>
    <mergeCell ref="J572:K572"/>
    <mergeCell ref="L572:M572"/>
    <mergeCell ref="J573:K573"/>
    <mergeCell ref="L573:M573"/>
    <mergeCell ref="J568:K568"/>
    <mergeCell ref="L568:M568"/>
    <mergeCell ref="J569:K569"/>
    <mergeCell ref="L569:M569"/>
    <mergeCell ref="J570:K570"/>
    <mergeCell ref="L570:M570"/>
    <mergeCell ref="J565:K565"/>
    <mergeCell ref="L565:M565"/>
    <mergeCell ref="J566:K566"/>
    <mergeCell ref="L566:M566"/>
    <mergeCell ref="J567:K567"/>
    <mergeCell ref="L567:M567"/>
    <mergeCell ref="J562:K562"/>
    <mergeCell ref="L562:M562"/>
    <mergeCell ref="J563:K563"/>
    <mergeCell ref="L563:M563"/>
    <mergeCell ref="J564:K564"/>
    <mergeCell ref="L564:M564"/>
    <mergeCell ref="J559:K559"/>
    <mergeCell ref="L559:M559"/>
    <mergeCell ref="J560:K560"/>
    <mergeCell ref="L560:M560"/>
    <mergeCell ref="J561:K561"/>
    <mergeCell ref="L561:M561"/>
    <mergeCell ref="J556:K556"/>
    <mergeCell ref="L556:M556"/>
    <mergeCell ref="J557:K557"/>
    <mergeCell ref="L557:M557"/>
    <mergeCell ref="J558:K558"/>
    <mergeCell ref="L558:M558"/>
    <mergeCell ref="J553:K553"/>
    <mergeCell ref="L553:M553"/>
    <mergeCell ref="J554:K554"/>
    <mergeCell ref="L554:M554"/>
    <mergeCell ref="J555:K555"/>
    <mergeCell ref="L555:M555"/>
    <mergeCell ref="J550:K550"/>
    <mergeCell ref="L550:M550"/>
    <mergeCell ref="J551:K551"/>
    <mergeCell ref="L551:M551"/>
    <mergeCell ref="J552:K552"/>
    <mergeCell ref="L552:M552"/>
    <mergeCell ref="J547:K547"/>
    <mergeCell ref="L547:M547"/>
    <mergeCell ref="J548:K548"/>
    <mergeCell ref="L548:M548"/>
    <mergeCell ref="J549:K549"/>
    <mergeCell ref="L549:M549"/>
    <mergeCell ref="J544:K544"/>
    <mergeCell ref="L544:M544"/>
    <mergeCell ref="J545:K545"/>
    <mergeCell ref="L545:M545"/>
    <mergeCell ref="J546:K546"/>
    <mergeCell ref="L546:M546"/>
    <mergeCell ref="J541:K541"/>
    <mergeCell ref="L541:M541"/>
    <mergeCell ref="J542:K542"/>
    <mergeCell ref="L542:M542"/>
    <mergeCell ref="J543:K543"/>
    <mergeCell ref="L543:M543"/>
    <mergeCell ref="J538:K538"/>
    <mergeCell ref="L538:M538"/>
    <mergeCell ref="J539:K539"/>
    <mergeCell ref="L539:M539"/>
    <mergeCell ref="J540:K540"/>
    <mergeCell ref="L540:M540"/>
    <mergeCell ref="J535:K535"/>
    <mergeCell ref="L535:M535"/>
    <mergeCell ref="J536:K536"/>
    <mergeCell ref="L536:M536"/>
    <mergeCell ref="J537:K537"/>
    <mergeCell ref="L537:M537"/>
    <mergeCell ref="J532:K532"/>
    <mergeCell ref="L532:M532"/>
    <mergeCell ref="J533:K533"/>
    <mergeCell ref="L533:M533"/>
    <mergeCell ref="J534:K534"/>
    <mergeCell ref="L534:M534"/>
    <mergeCell ref="J529:K529"/>
    <mergeCell ref="L529:M529"/>
    <mergeCell ref="J530:K530"/>
    <mergeCell ref="L530:M530"/>
    <mergeCell ref="J531:K531"/>
    <mergeCell ref="L531:M531"/>
    <mergeCell ref="J526:K526"/>
    <mergeCell ref="L526:M526"/>
    <mergeCell ref="J527:K527"/>
    <mergeCell ref="L527:M527"/>
    <mergeCell ref="J528:K528"/>
    <mergeCell ref="L528:M528"/>
    <mergeCell ref="J523:K523"/>
    <mergeCell ref="L523:M523"/>
    <mergeCell ref="J524:K524"/>
    <mergeCell ref="L524:M524"/>
    <mergeCell ref="J525:K525"/>
    <mergeCell ref="L525:M525"/>
    <mergeCell ref="J520:K520"/>
    <mergeCell ref="L520:M520"/>
    <mergeCell ref="J521:K521"/>
    <mergeCell ref="L521:M521"/>
    <mergeCell ref="J522:K522"/>
    <mergeCell ref="L522:M522"/>
    <mergeCell ref="J517:K517"/>
    <mergeCell ref="L517:M517"/>
    <mergeCell ref="J518:K518"/>
    <mergeCell ref="L518:M518"/>
    <mergeCell ref="J519:K519"/>
    <mergeCell ref="L519:M519"/>
    <mergeCell ref="J514:K514"/>
    <mergeCell ref="L514:M514"/>
    <mergeCell ref="J515:K515"/>
    <mergeCell ref="L515:M515"/>
    <mergeCell ref="J516:K516"/>
    <mergeCell ref="L516:M516"/>
    <mergeCell ref="J511:K511"/>
    <mergeCell ref="L511:M511"/>
    <mergeCell ref="J512:K512"/>
    <mergeCell ref="L512:M512"/>
    <mergeCell ref="J513:K513"/>
    <mergeCell ref="L513:M513"/>
    <mergeCell ref="J508:K508"/>
    <mergeCell ref="L508:M508"/>
    <mergeCell ref="J509:K509"/>
    <mergeCell ref="L509:M509"/>
    <mergeCell ref="J510:K510"/>
    <mergeCell ref="L510:M510"/>
    <mergeCell ref="J505:K505"/>
    <mergeCell ref="L505:M505"/>
    <mergeCell ref="J506:K506"/>
    <mergeCell ref="L506:M506"/>
    <mergeCell ref="J507:K507"/>
    <mergeCell ref="L507:M507"/>
    <mergeCell ref="J502:K502"/>
    <mergeCell ref="L502:M502"/>
    <mergeCell ref="J503:K503"/>
    <mergeCell ref="L503:M503"/>
    <mergeCell ref="J504:K504"/>
    <mergeCell ref="L504:M504"/>
    <mergeCell ref="J499:K499"/>
    <mergeCell ref="L499:M499"/>
    <mergeCell ref="J500:K500"/>
    <mergeCell ref="L500:M500"/>
    <mergeCell ref="J501:K501"/>
    <mergeCell ref="L501:M501"/>
    <mergeCell ref="J496:K496"/>
    <mergeCell ref="L496:M496"/>
    <mergeCell ref="J497:K497"/>
    <mergeCell ref="L497:M497"/>
    <mergeCell ref="J498:K498"/>
    <mergeCell ref="L498:M498"/>
    <mergeCell ref="J493:K493"/>
    <mergeCell ref="L493:M493"/>
    <mergeCell ref="J494:K494"/>
    <mergeCell ref="L494:M494"/>
    <mergeCell ref="J495:K495"/>
    <mergeCell ref="L495:M495"/>
    <mergeCell ref="J490:K490"/>
    <mergeCell ref="L490:M490"/>
    <mergeCell ref="J491:K491"/>
    <mergeCell ref="L491:M491"/>
    <mergeCell ref="J492:K492"/>
    <mergeCell ref="L492:M492"/>
    <mergeCell ref="J487:K487"/>
    <mergeCell ref="L487:M487"/>
    <mergeCell ref="J488:K488"/>
    <mergeCell ref="L488:M488"/>
    <mergeCell ref="J489:K489"/>
    <mergeCell ref="L489:M489"/>
    <mergeCell ref="J484:K484"/>
    <mergeCell ref="L484:M484"/>
    <mergeCell ref="J485:K485"/>
    <mergeCell ref="L485:M485"/>
    <mergeCell ref="J486:K486"/>
    <mergeCell ref="L486:M486"/>
    <mergeCell ref="J481:K481"/>
    <mergeCell ref="L481:M481"/>
    <mergeCell ref="J482:K482"/>
    <mergeCell ref="L482:M482"/>
    <mergeCell ref="J483:K483"/>
    <mergeCell ref="L483:M483"/>
    <mergeCell ref="J478:K478"/>
    <mergeCell ref="L478:M478"/>
    <mergeCell ref="J479:K479"/>
    <mergeCell ref="L479:M479"/>
    <mergeCell ref="J480:K480"/>
    <mergeCell ref="L480:M480"/>
    <mergeCell ref="J475:K475"/>
    <mergeCell ref="L475:M475"/>
    <mergeCell ref="J476:K476"/>
    <mergeCell ref="L476:M476"/>
    <mergeCell ref="J477:K477"/>
    <mergeCell ref="L477:M477"/>
    <mergeCell ref="J472:K472"/>
    <mergeCell ref="L472:M472"/>
    <mergeCell ref="J473:K473"/>
    <mergeCell ref="L473:M473"/>
    <mergeCell ref="J474:K474"/>
    <mergeCell ref="L474:M474"/>
    <mergeCell ref="J469:K469"/>
    <mergeCell ref="L469:M469"/>
    <mergeCell ref="J470:K470"/>
    <mergeCell ref="L470:M470"/>
    <mergeCell ref="J471:K471"/>
    <mergeCell ref="L471:M471"/>
    <mergeCell ref="J466:K466"/>
    <mergeCell ref="L466:M466"/>
    <mergeCell ref="J467:K467"/>
    <mergeCell ref="L467:M467"/>
    <mergeCell ref="J468:K468"/>
    <mergeCell ref="L468:M468"/>
    <mergeCell ref="J463:K463"/>
    <mergeCell ref="L463:M463"/>
    <mergeCell ref="J464:K464"/>
    <mergeCell ref="L464:M464"/>
    <mergeCell ref="J465:K465"/>
    <mergeCell ref="L465:M465"/>
    <mergeCell ref="J460:K460"/>
    <mergeCell ref="L460:M460"/>
    <mergeCell ref="J461:K461"/>
    <mergeCell ref="L461:M461"/>
    <mergeCell ref="J462:K462"/>
    <mergeCell ref="L462:M462"/>
    <mergeCell ref="J457:K457"/>
    <mergeCell ref="L457:M457"/>
    <mergeCell ref="J458:K458"/>
    <mergeCell ref="L458:M458"/>
    <mergeCell ref="J459:K459"/>
    <mergeCell ref="L459:M459"/>
    <mergeCell ref="J454:K454"/>
    <mergeCell ref="L454:M454"/>
    <mergeCell ref="J455:K455"/>
    <mergeCell ref="L455:M455"/>
    <mergeCell ref="J456:K456"/>
    <mergeCell ref="L456:M456"/>
    <mergeCell ref="J451:K451"/>
    <mergeCell ref="L451:M451"/>
    <mergeCell ref="J452:K452"/>
    <mergeCell ref="L452:M452"/>
    <mergeCell ref="J453:K453"/>
    <mergeCell ref="L453:M453"/>
    <mergeCell ref="J448:K448"/>
    <mergeCell ref="L448:M448"/>
    <mergeCell ref="J449:K449"/>
    <mergeCell ref="L449:M449"/>
    <mergeCell ref="J450:K450"/>
    <mergeCell ref="L450:M450"/>
    <mergeCell ref="J445:K445"/>
    <mergeCell ref="L445:M445"/>
    <mergeCell ref="J446:K446"/>
    <mergeCell ref="L446:M446"/>
    <mergeCell ref="J447:K447"/>
    <mergeCell ref="L447:M447"/>
    <mergeCell ref="J442:K442"/>
    <mergeCell ref="L442:M442"/>
    <mergeCell ref="J443:K443"/>
    <mergeCell ref="L443:M443"/>
    <mergeCell ref="J444:K444"/>
    <mergeCell ref="L444:M444"/>
    <mergeCell ref="J439:K439"/>
    <mergeCell ref="L439:M439"/>
    <mergeCell ref="J440:K440"/>
    <mergeCell ref="L440:M440"/>
    <mergeCell ref="J441:K441"/>
    <mergeCell ref="L441:M441"/>
    <mergeCell ref="J436:K436"/>
    <mergeCell ref="L436:M436"/>
    <mergeCell ref="J437:K437"/>
    <mergeCell ref="L437:M437"/>
    <mergeCell ref="J438:K438"/>
    <mergeCell ref="L438:M438"/>
    <mergeCell ref="J433:K433"/>
    <mergeCell ref="L433:M433"/>
    <mergeCell ref="J434:K434"/>
    <mergeCell ref="L434:M434"/>
    <mergeCell ref="J435:K435"/>
    <mergeCell ref="L435:M435"/>
    <mergeCell ref="J430:K430"/>
    <mergeCell ref="L430:M430"/>
    <mergeCell ref="J431:K431"/>
    <mergeCell ref="L431:M431"/>
    <mergeCell ref="J432:K432"/>
    <mergeCell ref="L432:M432"/>
    <mergeCell ref="J427:K427"/>
    <mergeCell ref="L427:M427"/>
    <mergeCell ref="J428:K428"/>
    <mergeCell ref="L428:M428"/>
    <mergeCell ref="J429:K429"/>
    <mergeCell ref="L429:M429"/>
    <mergeCell ref="J424:K424"/>
    <mergeCell ref="L424:M424"/>
    <mergeCell ref="J425:K425"/>
    <mergeCell ref="L425:M425"/>
    <mergeCell ref="J426:K426"/>
    <mergeCell ref="L426:M426"/>
    <mergeCell ref="J421:K421"/>
    <mergeCell ref="L421:M421"/>
    <mergeCell ref="J422:K422"/>
    <mergeCell ref="L422:M422"/>
    <mergeCell ref="J423:K423"/>
    <mergeCell ref="L423:M423"/>
    <mergeCell ref="J418:K418"/>
    <mergeCell ref="L418:M418"/>
    <mergeCell ref="J419:K419"/>
    <mergeCell ref="L419:M419"/>
    <mergeCell ref="J420:K420"/>
    <mergeCell ref="L420:M420"/>
    <mergeCell ref="J415:K415"/>
    <mergeCell ref="L415:M415"/>
    <mergeCell ref="J416:K416"/>
    <mergeCell ref="L416:M416"/>
    <mergeCell ref="J417:K417"/>
    <mergeCell ref="L417:M417"/>
    <mergeCell ref="J412:K412"/>
    <mergeCell ref="L412:M412"/>
    <mergeCell ref="J413:K413"/>
    <mergeCell ref="L413:M413"/>
    <mergeCell ref="J414:K414"/>
    <mergeCell ref="L414:M414"/>
    <mergeCell ref="J409:K409"/>
    <mergeCell ref="L409:M409"/>
    <mergeCell ref="J410:K410"/>
    <mergeCell ref="L410:M410"/>
    <mergeCell ref="J411:K411"/>
    <mergeCell ref="L411:M411"/>
    <mergeCell ref="J406:K406"/>
    <mergeCell ref="L406:M406"/>
    <mergeCell ref="J407:K407"/>
    <mergeCell ref="L407:M407"/>
    <mergeCell ref="J408:K408"/>
    <mergeCell ref="L408:M408"/>
    <mergeCell ref="J403:K403"/>
    <mergeCell ref="L403:M403"/>
    <mergeCell ref="J404:K404"/>
    <mergeCell ref="L404:M404"/>
    <mergeCell ref="J405:K405"/>
    <mergeCell ref="L405:M405"/>
    <mergeCell ref="J400:K400"/>
    <mergeCell ref="L400:M400"/>
    <mergeCell ref="J401:K401"/>
    <mergeCell ref="L401:M401"/>
    <mergeCell ref="J402:K402"/>
    <mergeCell ref="L402:M402"/>
    <mergeCell ref="J397:K397"/>
    <mergeCell ref="L397:M397"/>
    <mergeCell ref="J398:K398"/>
    <mergeCell ref="L398:M398"/>
    <mergeCell ref="J399:K399"/>
    <mergeCell ref="L399:M399"/>
    <mergeCell ref="J394:K394"/>
    <mergeCell ref="L394:M394"/>
    <mergeCell ref="J395:K395"/>
    <mergeCell ref="L395:M395"/>
    <mergeCell ref="J396:K396"/>
    <mergeCell ref="L396:M396"/>
    <mergeCell ref="J391:K391"/>
    <mergeCell ref="L391:M391"/>
    <mergeCell ref="J392:K392"/>
    <mergeCell ref="L392:M392"/>
    <mergeCell ref="J393:K393"/>
    <mergeCell ref="L393:M393"/>
    <mergeCell ref="J388:K388"/>
    <mergeCell ref="L388:M388"/>
    <mergeCell ref="J389:K389"/>
    <mergeCell ref="L389:M389"/>
    <mergeCell ref="J390:K390"/>
    <mergeCell ref="L390:M390"/>
    <mergeCell ref="J385:K385"/>
    <mergeCell ref="L385:M385"/>
    <mergeCell ref="J386:K386"/>
    <mergeCell ref="L386:M386"/>
    <mergeCell ref="J387:K387"/>
    <mergeCell ref="L387:M387"/>
    <mergeCell ref="J382:K382"/>
    <mergeCell ref="L382:M382"/>
    <mergeCell ref="J383:K383"/>
    <mergeCell ref="L383:M383"/>
    <mergeCell ref="J384:K384"/>
    <mergeCell ref="L384:M384"/>
    <mergeCell ref="J379:K379"/>
    <mergeCell ref="L379:M379"/>
    <mergeCell ref="J380:K380"/>
    <mergeCell ref="L380:M380"/>
    <mergeCell ref="J381:K381"/>
    <mergeCell ref="L381:M381"/>
    <mergeCell ref="J376:K376"/>
    <mergeCell ref="L376:M376"/>
    <mergeCell ref="J377:K377"/>
    <mergeCell ref="L377:M377"/>
    <mergeCell ref="J378:K378"/>
    <mergeCell ref="L378:M378"/>
    <mergeCell ref="J373:K373"/>
    <mergeCell ref="L373:M373"/>
    <mergeCell ref="J374:K374"/>
    <mergeCell ref="L374:M374"/>
    <mergeCell ref="J375:K375"/>
    <mergeCell ref="L375:M375"/>
    <mergeCell ref="J370:K370"/>
    <mergeCell ref="L370:M370"/>
    <mergeCell ref="J371:K371"/>
    <mergeCell ref="L371:M371"/>
    <mergeCell ref="J372:K372"/>
    <mergeCell ref="L372:M372"/>
    <mergeCell ref="J367:K367"/>
    <mergeCell ref="L367:M367"/>
    <mergeCell ref="J368:K368"/>
    <mergeCell ref="L368:M368"/>
    <mergeCell ref="J369:K369"/>
    <mergeCell ref="L369:M369"/>
    <mergeCell ref="J364:K364"/>
    <mergeCell ref="L364:M364"/>
    <mergeCell ref="J365:K365"/>
    <mergeCell ref="L365:M365"/>
    <mergeCell ref="J366:K366"/>
    <mergeCell ref="L366:M366"/>
    <mergeCell ref="J361:K361"/>
    <mergeCell ref="L361:M361"/>
    <mergeCell ref="J362:K362"/>
    <mergeCell ref="L362:M362"/>
    <mergeCell ref="J363:K363"/>
    <mergeCell ref="L363:M363"/>
    <mergeCell ref="J358:K358"/>
    <mergeCell ref="L358:M358"/>
    <mergeCell ref="J359:K359"/>
    <mergeCell ref="L359:M359"/>
    <mergeCell ref="J360:K360"/>
    <mergeCell ref="L360:M360"/>
    <mergeCell ref="J355:K355"/>
    <mergeCell ref="L355:M355"/>
    <mergeCell ref="J356:K356"/>
    <mergeCell ref="L356:M356"/>
    <mergeCell ref="J357:K357"/>
    <mergeCell ref="L357:M357"/>
    <mergeCell ref="J352:K352"/>
    <mergeCell ref="L352:M352"/>
    <mergeCell ref="J353:K353"/>
    <mergeCell ref="L353:M353"/>
    <mergeCell ref="J354:K354"/>
    <mergeCell ref="L354:M354"/>
    <mergeCell ref="J349:K349"/>
    <mergeCell ref="L349:M349"/>
    <mergeCell ref="J350:K350"/>
    <mergeCell ref="L350:M350"/>
    <mergeCell ref="J351:K351"/>
    <mergeCell ref="L351:M351"/>
    <mergeCell ref="J346:K346"/>
    <mergeCell ref="L346:M346"/>
    <mergeCell ref="J347:K347"/>
    <mergeCell ref="L347:M347"/>
    <mergeCell ref="J348:K348"/>
    <mergeCell ref="L348:M348"/>
    <mergeCell ref="J343:K343"/>
    <mergeCell ref="L343:M343"/>
    <mergeCell ref="J344:K344"/>
    <mergeCell ref="L344:M344"/>
    <mergeCell ref="J345:K345"/>
    <mergeCell ref="L345:M345"/>
    <mergeCell ref="J340:K340"/>
    <mergeCell ref="L340:M340"/>
    <mergeCell ref="J341:K341"/>
    <mergeCell ref="L341:M341"/>
    <mergeCell ref="J342:K342"/>
    <mergeCell ref="L342:M342"/>
    <mergeCell ref="J337:K337"/>
    <mergeCell ref="L337:M337"/>
    <mergeCell ref="J338:K338"/>
    <mergeCell ref="L338:M338"/>
    <mergeCell ref="J339:K339"/>
    <mergeCell ref="L339:M339"/>
    <mergeCell ref="J334:K334"/>
    <mergeCell ref="L334:M334"/>
    <mergeCell ref="J335:K335"/>
    <mergeCell ref="L335:M335"/>
    <mergeCell ref="J336:K336"/>
    <mergeCell ref="L336:M336"/>
    <mergeCell ref="J331:K331"/>
    <mergeCell ref="L331:M331"/>
    <mergeCell ref="J332:K332"/>
    <mergeCell ref="L332:M332"/>
    <mergeCell ref="J333:K333"/>
    <mergeCell ref="L333:M333"/>
    <mergeCell ref="J328:K328"/>
    <mergeCell ref="L328:M328"/>
    <mergeCell ref="J329:K329"/>
    <mergeCell ref="L329:M329"/>
    <mergeCell ref="J330:K330"/>
    <mergeCell ref="L330:M330"/>
    <mergeCell ref="J325:K325"/>
    <mergeCell ref="L325:M325"/>
    <mergeCell ref="J326:K326"/>
    <mergeCell ref="L326:M326"/>
    <mergeCell ref="J327:K327"/>
    <mergeCell ref="L327:M327"/>
    <mergeCell ref="J322:K322"/>
    <mergeCell ref="L322:M322"/>
    <mergeCell ref="J323:K323"/>
    <mergeCell ref="L323:M323"/>
    <mergeCell ref="J324:K324"/>
    <mergeCell ref="L324:M324"/>
    <mergeCell ref="J319:K319"/>
    <mergeCell ref="L319:M319"/>
    <mergeCell ref="J320:K320"/>
    <mergeCell ref="L320:M320"/>
    <mergeCell ref="J321:K321"/>
    <mergeCell ref="L321:M321"/>
    <mergeCell ref="J316:K316"/>
    <mergeCell ref="L316:M316"/>
    <mergeCell ref="J317:K317"/>
    <mergeCell ref="L317:M317"/>
    <mergeCell ref="J318:K318"/>
    <mergeCell ref="L318:M318"/>
    <mergeCell ref="J313:K313"/>
    <mergeCell ref="L313:M313"/>
    <mergeCell ref="J314:K314"/>
    <mergeCell ref="L314:M314"/>
    <mergeCell ref="J315:K315"/>
    <mergeCell ref="L315:M315"/>
    <mergeCell ref="J310:K310"/>
    <mergeCell ref="L310:M310"/>
    <mergeCell ref="J311:K311"/>
    <mergeCell ref="L311:M311"/>
    <mergeCell ref="J312:K312"/>
    <mergeCell ref="L312:M312"/>
    <mergeCell ref="J307:K307"/>
    <mergeCell ref="L307:M307"/>
    <mergeCell ref="J308:K308"/>
    <mergeCell ref="L308:M308"/>
    <mergeCell ref="J309:K309"/>
    <mergeCell ref="L309:M309"/>
    <mergeCell ref="J304:K304"/>
    <mergeCell ref="L304:M304"/>
    <mergeCell ref="J305:K305"/>
    <mergeCell ref="L305:M305"/>
    <mergeCell ref="J306:K306"/>
    <mergeCell ref="L306:M306"/>
    <mergeCell ref="J301:K301"/>
    <mergeCell ref="L301:M301"/>
    <mergeCell ref="J302:K302"/>
    <mergeCell ref="L302:M302"/>
    <mergeCell ref="J303:K303"/>
    <mergeCell ref="L303:M303"/>
    <mergeCell ref="J298:K298"/>
    <mergeCell ref="L298:M298"/>
    <mergeCell ref="J299:K299"/>
    <mergeCell ref="L299:M299"/>
    <mergeCell ref="J300:K300"/>
    <mergeCell ref="L300:M300"/>
    <mergeCell ref="J295:K295"/>
    <mergeCell ref="L295:M295"/>
    <mergeCell ref="J296:K296"/>
    <mergeCell ref="L296:M296"/>
    <mergeCell ref="J297:K297"/>
    <mergeCell ref="L297:M297"/>
    <mergeCell ref="J292:K292"/>
    <mergeCell ref="L292:M292"/>
    <mergeCell ref="J293:K293"/>
    <mergeCell ref="L293:M293"/>
    <mergeCell ref="J294:K294"/>
    <mergeCell ref="L294:M294"/>
    <mergeCell ref="J289:K289"/>
    <mergeCell ref="L289:M289"/>
    <mergeCell ref="J290:K290"/>
    <mergeCell ref="L290:M290"/>
    <mergeCell ref="J291:K291"/>
    <mergeCell ref="L291:M291"/>
    <mergeCell ref="J286:K286"/>
    <mergeCell ref="L286:M286"/>
    <mergeCell ref="J287:K287"/>
    <mergeCell ref="L287:M287"/>
    <mergeCell ref="J288:K288"/>
    <mergeCell ref="L288:M288"/>
    <mergeCell ref="J283:K283"/>
    <mergeCell ref="L283:M283"/>
    <mergeCell ref="J284:K284"/>
    <mergeCell ref="L284:M284"/>
    <mergeCell ref="J285:K285"/>
    <mergeCell ref="L285:M285"/>
    <mergeCell ref="J280:K280"/>
    <mergeCell ref="L280:M280"/>
    <mergeCell ref="J281:K281"/>
    <mergeCell ref="L281:M281"/>
    <mergeCell ref="J282:K282"/>
    <mergeCell ref="L282:M282"/>
    <mergeCell ref="J277:K277"/>
    <mergeCell ref="L277:M277"/>
    <mergeCell ref="J278:K278"/>
    <mergeCell ref="L278:M278"/>
    <mergeCell ref="J279:K279"/>
    <mergeCell ref="L279:M279"/>
    <mergeCell ref="J274:K274"/>
    <mergeCell ref="L274:M274"/>
    <mergeCell ref="J275:K275"/>
    <mergeCell ref="L275:M275"/>
    <mergeCell ref="J276:K276"/>
    <mergeCell ref="L276:M276"/>
    <mergeCell ref="J271:K271"/>
    <mergeCell ref="L271:M271"/>
    <mergeCell ref="J272:K272"/>
    <mergeCell ref="L272:M272"/>
    <mergeCell ref="J273:K273"/>
    <mergeCell ref="L273:M273"/>
    <mergeCell ref="J268:K268"/>
    <mergeCell ref="L268:M268"/>
    <mergeCell ref="J269:K269"/>
    <mergeCell ref="L269:M269"/>
    <mergeCell ref="J270:K270"/>
    <mergeCell ref="L270:M270"/>
    <mergeCell ref="J265:K265"/>
    <mergeCell ref="L265:M265"/>
    <mergeCell ref="J266:K266"/>
    <mergeCell ref="L266:M266"/>
    <mergeCell ref="J267:K267"/>
    <mergeCell ref="L267:M267"/>
    <mergeCell ref="J262:K262"/>
    <mergeCell ref="L262:M262"/>
    <mergeCell ref="J263:K263"/>
    <mergeCell ref="L263:M263"/>
    <mergeCell ref="J264:K264"/>
    <mergeCell ref="L264:M264"/>
    <mergeCell ref="J259:K259"/>
    <mergeCell ref="L259:M259"/>
    <mergeCell ref="J260:K260"/>
    <mergeCell ref="L260:M260"/>
    <mergeCell ref="J261:K261"/>
    <mergeCell ref="L261:M261"/>
    <mergeCell ref="J256:K256"/>
    <mergeCell ref="L256:M256"/>
    <mergeCell ref="J257:K257"/>
    <mergeCell ref="L257:M257"/>
    <mergeCell ref="J258:K258"/>
    <mergeCell ref="L258:M258"/>
    <mergeCell ref="J253:K253"/>
    <mergeCell ref="L253:M253"/>
    <mergeCell ref="J254:K254"/>
    <mergeCell ref="L254:M254"/>
    <mergeCell ref="J255:K255"/>
    <mergeCell ref="L255:M255"/>
    <mergeCell ref="J250:K250"/>
    <mergeCell ref="L250:M250"/>
    <mergeCell ref="J251:K251"/>
    <mergeCell ref="L251:M251"/>
    <mergeCell ref="J252:K252"/>
    <mergeCell ref="L252:M252"/>
    <mergeCell ref="J247:K247"/>
    <mergeCell ref="L247:M247"/>
    <mergeCell ref="J248:K248"/>
    <mergeCell ref="L248:M248"/>
    <mergeCell ref="J249:K249"/>
    <mergeCell ref="L249:M249"/>
    <mergeCell ref="J244:K244"/>
    <mergeCell ref="L244:M244"/>
    <mergeCell ref="J245:K245"/>
    <mergeCell ref="L245:M245"/>
    <mergeCell ref="J246:K246"/>
    <mergeCell ref="L246:M246"/>
    <mergeCell ref="J241:K241"/>
    <mergeCell ref="L241:M241"/>
    <mergeCell ref="J242:K242"/>
    <mergeCell ref="L242:M242"/>
    <mergeCell ref="J243:K243"/>
    <mergeCell ref="L243:M243"/>
    <mergeCell ref="J238:K238"/>
    <mergeCell ref="L238:M238"/>
    <mergeCell ref="J239:K239"/>
    <mergeCell ref="L239:M239"/>
    <mergeCell ref="J240:K240"/>
    <mergeCell ref="L240:M240"/>
    <mergeCell ref="J235:K235"/>
    <mergeCell ref="L235:M235"/>
    <mergeCell ref="J236:K236"/>
    <mergeCell ref="L236:M236"/>
    <mergeCell ref="J237:K237"/>
    <mergeCell ref="L237:M237"/>
    <mergeCell ref="J232:K232"/>
    <mergeCell ref="L232:M232"/>
    <mergeCell ref="J233:K233"/>
    <mergeCell ref="L233:M233"/>
    <mergeCell ref="J234:K234"/>
    <mergeCell ref="L234:M234"/>
    <mergeCell ref="J229:K229"/>
    <mergeCell ref="L229:M229"/>
    <mergeCell ref="J230:K230"/>
    <mergeCell ref="L230:M230"/>
    <mergeCell ref="J231:K231"/>
    <mergeCell ref="L231:M231"/>
    <mergeCell ref="J226:K226"/>
    <mergeCell ref="L226:M226"/>
    <mergeCell ref="J227:K227"/>
    <mergeCell ref="L227:M227"/>
    <mergeCell ref="J228:K228"/>
    <mergeCell ref="L228:M228"/>
    <mergeCell ref="J223:K223"/>
    <mergeCell ref="L223:M223"/>
    <mergeCell ref="J224:K224"/>
    <mergeCell ref="L224:M224"/>
    <mergeCell ref="J225:K225"/>
    <mergeCell ref="L225:M225"/>
    <mergeCell ref="J220:K220"/>
    <mergeCell ref="L220:M220"/>
    <mergeCell ref="J221:K221"/>
    <mergeCell ref="L221:M221"/>
    <mergeCell ref="J222:K222"/>
    <mergeCell ref="L222:M222"/>
    <mergeCell ref="J217:K217"/>
    <mergeCell ref="L217:M217"/>
    <mergeCell ref="J218:K218"/>
    <mergeCell ref="L218:M218"/>
    <mergeCell ref="J219:K219"/>
    <mergeCell ref="L219:M219"/>
    <mergeCell ref="J214:K214"/>
    <mergeCell ref="L214:M214"/>
    <mergeCell ref="J215:K215"/>
    <mergeCell ref="L215:M215"/>
    <mergeCell ref="J216:K216"/>
    <mergeCell ref="L216:M216"/>
    <mergeCell ref="J211:K211"/>
    <mergeCell ref="L211:M211"/>
    <mergeCell ref="J212:K212"/>
    <mergeCell ref="L212:M212"/>
    <mergeCell ref="J213:K213"/>
    <mergeCell ref="L213:M213"/>
    <mergeCell ref="J208:K208"/>
    <mergeCell ref="L208:M208"/>
    <mergeCell ref="J209:K209"/>
    <mergeCell ref="L209:M209"/>
    <mergeCell ref="J210:K210"/>
    <mergeCell ref="L210:M210"/>
    <mergeCell ref="J205:K205"/>
    <mergeCell ref="L205:M205"/>
    <mergeCell ref="J206:K206"/>
    <mergeCell ref="L206:M206"/>
    <mergeCell ref="J207:K207"/>
    <mergeCell ref="L207:M207"/>
    <mergeCell ref="J202:K202"/>
    <mergeCell ref="L202:M202"/>
    <mergeCell ref="J203:K203"/>
    <mergeCell ref="L203:M203"/>
    <mergeCell ref="J204:K204"/>
    <mergeCell ref="L204:M204"/>
    <mergeCell ref="J199:K199"/>
    <mergeCell ref="L199:M199"/>
    <mergeCell ref="J200:K200"/>
    <mergeCell ref="L200:M200"/>
    <mergeCell ref="J201:K201"/>
    <mergeCell ref="L201:M201"/>
    <mergeCell ref="J196:K196"/>
    <mergeCell ref="L196:M196"/>
    <mergeCell ref="J197:K197"/>
    <mergeCell ref="L197:M197"/>
    <mergeCell ref="J198:K198"/>
    <mergeCell ref="L198:M198"/>
    <mergeCell ref="J193:K193"/>
    <mergeCell ref="L193:M193"/>
    <mergeCell ref="J194:K194"/>
    <mergeCell ref="L194:M194"/>
    <mergeCell ref="J195:K195"/>
    <mergeCell ref="L195:M195"/>
    <mergeCell ref="J190:K190"/>
    <mergeCell ref="L190:M190"/>
    <mergeCell ref="J191:K191"/>
    <mergeCell ref="L191:M191"/>
    <mergeCell ref="J192:K192"/>
    <mergeCell ref="L192:M192"/>
    <mergeCell ref="J187:K187"/>
    <mergeCell ref="L187:M187"/>
    <mergeCell ref="J188:K188"/>
    <mergeCell ref="L188:M188"/>
    <mergeCell ref="J189:K189"/>
    <mergeCell ref="L189:M189"/>
    <mergeCell ref="J184:K184"/>
    <mergeCell ref="L184:M184"/>
    <mergeCell ref="J185:K185"/>
    <mergeCell ref="L185:M185"/>
    <mergeCell ref="J186:K186"/>
    <mergeCell ref="L186:M186"/>
    <mergeCell ref="J181:K181"/>
    <mergeCell ref="L181:M181"/>
    <mergeCell ref="J182:K182"/>
    <mergeCell ref="L182:M182"/>
    <mergeCell ref="J183:K183"/>
    <mergeCell ref="L183:M183"/>
    <mergeCell ref="J178:K178"/>
    <mergeCell ref="L178:M178"/>
    <mergeCell ref="J179:K179"/>
    <mergeCell ref="L179:M179"/>
    <mergeCell ref="J180:K180"/>
    <mergeCell ref="L180:M180"/>
    <mergeCell ref="J175:K175"/>
    <mergeCell ref="L175:M175"/>
    <mergeCell ref="J176:K176"/>
    <mergeCell ref="L176:M176"/>
    <mergeCell ref="J177:K177"/>
    <mergeCell ref="L177:M177"/>
    <mergeCell ref="J172:K172"/>
    <mergeCell ref="L172:M172"/>
    <mergeCell ref="J173:K173"/>
    <mergeCell ref="L173:M173"/>
    <mergeCell ref="J174:K174"/>
    <mergeCell ref="L174:M174"/>
    <mergeCell ref="J169:K169"/>
    <mergeCell ref="L169:M169"/>
    <mergeCell ref="J170:K170"/>
    <mergeCell ref="L170:M170"/>
    <mergeCell ref="J171:K171"/>
    <mergeCell ref="L171:M171"/>
    <mergeCell ref="J166:K166"/>
    <mergeCell ref="L166:M166"/>
    <mergeCell ref="J167:K167"/>
    <mergeCell ref="L167:M167"/>
    <mergeCell ref="J168:K168"/>
    <mergeCell ref="L168:M168"/>
    <mergeCell ref="J163:K163"/>
    <mergeCell ref="L163:M163"/>
    <mergeCell ref="J164:K164"/>
    <mergeCell ref="L164:M164"/>
    <mergeCell ref="J165:K165"/>
    <mergeCell ref="L165:M165"/>
    <mergeCell ref="J160:K160"/>
    <mergeCell ref="L160:M160"/>
    <mergeCell ref="J161:K161"/>
    <mergeCell ref="L161:M161"/>
    <mergeCell ref="J162:K162"/>
    <mergeCell ref="L162:M162"/>
    <mergeCell ref="J157:K157"/>
    <mergeCell ref="L157:M157"/>
    <mergeCell ref="J158:K158"/>
    <mergeCell ref="L158:M158"/>
    <mergeCell ref="J159:K159"/>
    <mergeCell ref="L159:M159"/>
    <mergeCell ref="J154:K154"/>
    <mergeCell ref="L154:M154"/>
    <mergeCell ref="J155:K155"/>
    <mergeCell ref="L155:M155"/>
    <mergeCell ref="J156:K156"/>
    <mergeCell ref="L156:M156"/>
    <mergeCell ref="J151:K151"/>
    <mergeCell ref="L151:M151"/>
    <mergeCell ref="J152:K152"/>
    <mergeCell ref="L152:M152"/>
    <mergeCell ref="J153:K153"/>
    <mergeCell ref="L153:M153"/>
    <mergeCell ref="J148:K148"/>
    <mergeCell ref="L148:M148"/>
    <mergeCell ref="J149:K149"/>
    <mergeCell ref="L149:M149"/>
    <mergeCell ref="J150:K150"/>
    <mergeCell ref="L150:M150"/>
    <mergeCell ref="J145:K145"/>
    <mergeCell ref="L145:M145"/>
    <mergeCell ref="J146:K146"/>
    <mergeCell ref="L146:M146"/>
    <mergeCell ref="J147:K147"/>
    <mergeCell ref="L147:M147"/>
    <mergeCell ref="J142:K142"/>
    <mergeCell ref="L142:M142"/>
    <mergeCell ref="J143:K143"/>
    <mergeCell ref="L143:M143"/>
    <mergeCell ref="J144:K144"/>
    <mergeCell ref="L144:M144"/>
    <mergeCell ref="J139:K139"/>
    <mergeCell ref="L139:M139"/>
    <mergeCell ref="J140:K140"/>
    <mergeCell ref="L140:M140"/>
    <mergeCell ref="J141:K141"/>
    <mergeCell ref="L141:M141"/>
    <mergeCell ref="J136:K136"/>
    <mergeCell ref="L136:M136"/>
    <mergeCell ref="J137:K137"/>
    <mergeCell ref="L137:M137"/>
    <mergeCell ref="J138:K138"/>
    <mergeCell ref="L138:M138"/>
    <mergeCell ref="J133:K133"/>
    <mergeCell ref="L133:M133"/>
    <mergeCell ref="J134:K134"/>
    <mergeCell ref="L134:M134"/>
    <mergeCell ref="J135:K135"/>
    <mergeCell ref="L135:M135"/>
    <mergeCell ref="J130:K130"/>
    <mergeCell ref="L130:M130"/>
    <mergeCell ref="J131:K131"/>
    <mergeCell ref="L131:M131"/>
    <mergeCell ref="J132:K132"/>
    <mergeCell ref="L132:M132"/>
    <mergeCell ref="J127:K127"/>
    <mergeCell ref="L127:M127"/>
    <mergeCell ref="J128:K128"/>
    <mergeCell ref="L128:M128"/>
    <mergeCell ref="J129:K129"/>
    <mergeCell ref="L129:M129"/>
    <mergeCell ref="J124:K124"/>
    <mergeCell ref="L124:M124"/>
    <mergeCell ref="J125:K125"/>
    <mergeCell ref="L125:M125"/>
    <mergeCell ref="J126:K126"/>
    <mergeCell ref="L126:M126"/>
    <mergeCell ref="J121:K121"/>
    <mergeCell ref="L121:M121"/>
    <mergeCell ref="J122:K122"/>
    <mergeCell ref="L122:M122"/>
    <mergeCell ref="J123:K123"/>
    <mergeCell ref="L123:M123"/>
    <mergeCell ref="J118:K118"/>
    <mergeCell ref="L118:M118"/>
    <mergeCell ref="J119:K119"/>
    <mergeCell ref="L119:M119"/>
    <mergeCell ref="J120:K120"/>
    <mergeCell ref="L120:M120"/>
    <mergeCell ref="J115:K115"/>
    <mergeCell ref="L115:M115"/>
    <mergeCell ref="J116:K116"/>
    <mergeCell ref="L116:M116"/>
    <mergeCell ref="J117:K117"/>
    <mergeCell ref="L117:M117"/>
    <mergeCell ref="J112:K112"/>
    <mergeCell ref="L112:M112"/>
    <mergeCell ref="J113:K113"/>
    <mergeCell ref="L113:M113"/>
    <mergeCell ref="J114:K114"/>
    <mergeCell ref="L114:M114"/>
    <mergeCell ref="J109:K109"/>
    <mergeCell ref="L109:M109"/>
    <mergeCell ref="J110:K110"/>
    <mergeCell ref="L110:M110"/>
    <mergeCell ref="J111:K111"/>
    <mergeCell ref="L111:M111"/>
    <mergeCell ref="J106:K106"/>
    <mergeCell ref="L106:M106"/>
    <mergeCell ref="J107:K107"/>
    <mergeCell ref="L107:M107"/>
    <mergeCell ref="J108:K108"/>
    <mergeCell ref="L108:M108"/>
    <mergeCell ref="J103:K103"/>
    <mergeCell ref="L103:M103"/>
    <mergeCell ref="J104:K104"/>
    <mergeCell ref="L104:M104"/>
    <mergeCell ref="J105:K105"/>
    <mergeCell ref="L105:M105"/>
    <mergeCell ref="J100:K100"/>
    <mergeCell ref="L100:M100"/>
    <mergeCell ref="J101:K101"/>
    <mergeCell ref="L101:M101"/>
    <mergeCell ref="J102:K102"/>
    <mergeCell ref="L102:M102"/>
    <mergeCell ref="J97:K97"/>
    <mergeCell ref="L97:M97"/>
    <mergeCell ref="J98:K98"/>
    <mergeCell ref="L98:M98"/>
    <mergeCell ref="J99:K99"/>
    <mergeCell ref="L99:M99"/>
    <mergeCell ref="J94:K94"/>
    <mergeCell ref="L94:M94"/>
    <mergeCell ref="J95:K95"/>
    <mergeCell ref="L95:M95"/>
    <mergeCell ref="J96:K96"/>
    <mergeCell ref="L96:M96"/>
    <mergeCell ref="J91:K91"/>
    <mergeCell ref="L91:M91"/>
    <mergeCell ref="J92:K92"/>
    <mergeCell ref="L92:M92"/>
    <mergeCell ref="J93:K93"/>
    <mergeCell ref="L93:M93"/>
    <mergeCell ref="J88:K88"/>
    <mergeCell ref="L88:M88"/>
    <mergeCell ref="J89:K89"/>
    <mergeCell ref="L89:M89"/>
    <mergeCell ref="J90:K90"/>
    <mergeCell ref="L90:M90"/>
    <mergeCell ref="J85:K85"/>
    <mergeCell ref="L85:M85"/>
    <mergeCell ref="J86:K86"/>
    <mergeCell ref="L86:M86"/>
    <mergeCell ref="J87:K87"/>
    <mergeCell ref="L87:M87"/>
    <mergeCell ref="J82:K82"/>
    <mergeCell ref="L82:M82"/>
    <mergeCell ref="J83:K83"/>
    <mergeCell ref="L83:M83"/>
    <mergeCell ref="J84:K84"/>
    <mergeCell ref="L84:M84"/>
    <mergeCell ref="J79:K79"/>
    <mergeCell ref="L79:M79"/>
    <mergeCell ref="J80:K80"/>
    <mergeCell ref="L80:M80"/>
    <mergeCell ref="J81:K81"/>
    <mergeCell ref="L81:M81"/>
    <mergeCell ref="J76:K76"/>
    <mergeCell ref="L76:M76"/>
    <mergeCell ref="J77:K77"/>
    <mergeCell ref="L77:M77"/>
    <mergeCell ref="J78:K78"/>
    <mergeCell ref="L78:M78"/>
    <mergeCell ref="J73:K73"/>
    <mergeCell ref="L73:M73"/>
    <mergeCell ref="J74:K74"/>
    <mergeCell ref="L74:M74"/>
    <mergeCell ref="J75:K75"/>
    <mergeCell ref="L75:M75"/>
    <mergeCell ref="J70:K70"/>
    <mergeCell ref="L70:M70"/>
    <mergeCell ref="J71:K71"/>
    <mergeCell ref="L71:M71"/>
    <mergeCell ref="J72:K72"/>
    <mergeCell ref="L72:M72"/>
    <mergeCell ref="J67:K67"/>
    <mergeCell ref="L67:M67"/>
    <mergeCell ref="J68:K68"/>
    <mergeCell ref="L68:M68"/>
    <mergeCell ref="J69:K69"/>
    <mergeCell ref="L69:M69"/>
    <mergeCell ref="J64:K64"/>
    <mergeCell ref="L64:M64"/>
    <mergeCell ref="J65:K65"/>
    <mergeCell ref="L65:M65"/>
    <mergeCell ref="J66:K66"/>
    <mergeCell ref="L66:M66"/>
    <mergeCell ref="J61:K61"/>
    <mergeCell ref="L61:M61"/>
    <mergeCell ref="J62:K62"/>
    <mergeCell ref="L62:M62"/>
    <mergeCell ref="J63:K63"/>
    <mergeCell ref="L63:M63"/>
    <mergeCell ref="J58:K58"/>
    <mergeCell ref="L58:M58"/>
    <mergeCell ref="J59:K59"/>
    <mergeCell ref="L59:M59"/>
    <mergeCell ref="J60:K60"/>
    <mergeCell ref="L60:M60"/>
    <mergeCell ref="J55:K55"/>
    <mergeCell ref="L55:M55"/>
    <mergeCell ref="J56:K56"/>
    <mergeCell ref="L56:M56"/>
    <mergeCell ref="J57:K57"/>
    <mergeCell ref="L57:M57"/>
    <mergeCell ref="J52:K52"/>
    <mergeCell ref="L52:M52"/>
    <mergeCell ref="J53:K53"/>
    <mergeCell ref="L53:M53"/>
    <mergeCell ref="J54:K54"/>
    <mergeCell ref="L54:M54"/>
    <mergeCell ref="J49:K49"/>
    <mergeCell ref="L49:M49"/>
    <mergeCell ref="J50:K50"/>
    <mergeCell ref="L50:M50"/>
    <mergeCell ref="J51:K51"/>
    <mergeCell ref="L51:M51"/>
    <mergeCell ref="J46:K46"/>
    <mergeCell ref="L46:M46"/>
    <mergeCell ref="J47:K47"/>
    <mergeCell ref="L47:M47"/>
    <mergeCell ref="J48:K48"/>
    <mergeCell ref="L48:M48"/>
    <mergeCell ref="J43:K43"/>
    <mergeCell ref="L43:M43"/>
    <mergeCell ref="J44:K44"/>
    <mergeCell ref="L44:M44"/>
    <mergeCell ref="J45:K45"/>
    <mergeCell ref="L45:M45"/>
    <mergeCell ref="J40:K40"/>
    <mergeCell ref="L40:M40"/>
    <mergeCell ref="J41:K41"/>
    <mergeCell ref="L41:M41"/>
    <mergeCell ref="J42:K42"/>
    <mergeCell ref="L42:M42"/>
    <mergeCell ref="J37:K37"/>
    <mergeCell ref="L37:M37"/>
    <mergeCell ref="J38:K38"/>
    <mergeCell ref="L38:M38"/>
    <mergeCell ref="J39:K39"/>
    <mergeCell ref="L39:M39"/>
    <mergeCell ref="J34:K34"/>
    <mergeCell ref="L34:M34"/>
    <mergeCell ref="J35:K35"/>
    <mergeCell ref="L35:M35"/>
    <mergeCell ref="J36:K36"/>
    <mergeCell ref="L36:M36"/>
    <mergeCell ref="J31:K31"/>
    <mergeCell ref="L31:M31"/>
    <mergeCell ref="J32:K32"/>
    <mergeCell ref="L32:M32"/>
    <mergeCell ref="J33:K33"/>
    <mergeCell ref="L33:M33"/>
    <mergeCell ref="J28:K28"/>
    <mergeCell ref="L28:M28"/>
    <mergeCell ref="J29:K29"/>
    <mergeCell ref="L29:M29"/>
    <mergeCell ref="J30:K30"/>
    <mergeCell ref="L30:M30"/>
    <mergeCell ref="J25:K25"/>
    <mergeCell ref="L25:M25"/>
    <mergeCell ref="J26:K26"/>
    <mergeCell ref="L26:M26"/>
    <mergeCell ref="J27:K27"/>
    <mergeCell ref="L27:M27"/>
    <mergeCell ref="J22:K22"/>
    <mergeCell ref="L22:M22"/>
    <mergeCell ref="J23:K23"/>
    <mergeCell ref="L23:M23"/>
    <mergeCell ref="J24:K24"/>
    <mergeCell ref="L24:M24"/>
    <mergeCell ref="J19:K19"/>
    <mergeCell ref="L19:M19"/>
    <mergeCell ref="J20:K20"/>
    <mergeCell ref="L20:M20"/>
    <mergeCell ref="J21:K21"/>
    <mergeCell ref="L21:M21"/>
    <mergeCell ref="J17:K17"/>
    <mergeCell ref="L17:M17"/>
    <mergeCell ref="J18:K18"/>
    <mergeCell ref="L18:M18"/>
    <mergeCell ref="J13:K13"/>
    <mergeCell ref="L13:M13"/>
    <mergeCell ref="J14:K14"/>
    <mergeCell ref="L14:M14"/>
    <mergeCell ref="J15:K15"/>
    <mergeCell ref="L15:M15"/>
    <mergeCell ref="T9:Y9"/>
    <mergeCell ref="J10:K10"/>
    <mergeCell ref="L10:M10"/>
    <mergeCell ref="J11:K11"/>
    <mergeCell ref="L11:M11"/>
    <mergeCell ref="J12:K12"/>
    <mergeCell ref="L12:M12"/>
    <mergeCell ref="B8:C8"/>
    <mergeCell ref="D8:E8"/>
    <mergeCell ref="F8:G8"/>
    <mergeCell ref="H8:I8"/>
    <mergeCell ref="T8:Y8"/>
    <mergeCell ref="B5:C5"/>
    <mergeCell ref="D5:E5"/>
    <mergeCell ref="F5:G5"/>
    <mergeCell ref="H5:I5"/>
    <mergeCell ref="T5:Y5"/>
    <mergeCell ref="B6:C6"/>
    <mergeCell ref="D6:E6"/>
    <mergeCell ref="F6:G6"/>
    <mergeCell ref="H6:I6"/>
    <mergeCell ref="T6:Y6"/>
    <mergeCell ref="J16:K16"/>
    <mergeCell ref="L16:M16"/>
    <mergeCell ref="K3:L3"/>
    <mergeCell ref="N3:O3"/>
    <mergeCell ref="T3:Y3"/>
    <mergeCell ref="B4:C4"/>
    <mergeCell ref="D4:E4"/>
    <mergeCell ref="F4:G4"/>
    <mergeCell ref="H4:I4"/>
    <mergeCell ref="T4:Y4"/>
    <mergeCell ref="B1:C1"/>
    <mergeCell ref="B2:C2"/>
    <mergeCell ref="B3:C3"/>
    <mergeCell ref="D3:E3"/>
    <mergeCell ref="F3:G3"/>
    <mergeCell ref="H3:I3"/>
    <mergeCell ref="B7:C7"/>
    <mergeCell ref="D7:E7"/>
    <mergeCell ref="F7:G7"/>
    <mergeCell ref="H7:I7"/>
    <mergeCell ref="T7:Y7"/>
  </mergeCells>
  <dataValidations count="1">
    <dataValidation type="list" allowBlank="1" showInputMessage="1" showErrorMessage="1" sqref="L4" xr:uid="{EA595C73-53BB-4512-9687-FD3230135494}">
      <formula1>$O$11:$O$12</formula1>
    </dataValidation>
  </dataValidations>
  <pageMargins left="0.25" right="0.25" top="0.75" bottom="0.75" header="0.3" footer="0.3"/>
  <pageSetup paperSize="9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0C04-A4CC-4307-B142-C9CE1678102B}">
  <sheetPr codeName="Sheet11"/>
  <dimension ref="A1:Y813"/>
  <sheetViews>
    <sheetView showGridLines="0" topLeftCell="A18" zoomScaleNormal="100" workbookViewId="0"/>
  </sheetViews>
  <sheetFormatPr defaultColWidth="9" defaultRowHeight="13.8"/>
  <cols>
    <col min="1" max="1" width="1.88671875" style="24" customWidth="1"/>
    <col min="2" max="9" width="9.6640625" style="24" customWidth="1"/>
    <col min="10" max="10" width="3.6640625" style="24" customWidth="1"/>
    <col min="11" max="11" width="6.6640625" style="24" customWidth="1"/>
    <col min="12" max="12" width="7.6640625" style="24" customWidth="1"/>
    <col min="13" max="13" width="3.6640625" style="24" customWidth="1"/>
    <col min="14" max="14" width="6.6640625" style="24" bestFit="1" customWidth="1"/>
    <col min="15" max="15" width="7.21875" style="24" bestFit="1" customWidth="1"/>
    <col min="16" max="16" width="4.33203125" style="24" customWidth="1"/>
    <col min="17" max="17" width="1.88671875" style="24" customWidth="1"/>
    <col min="18" max="16384" width="9" style="24"/>
  </cols>
  <sheetData>
    <row r="1" spans="1:25">
      <c r="A1" s="23"/>
      <c r="B1" s="88">
        <v>44767.535752314812</v>
      </c>
      <c r="C1" s="88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65" t="s">
        <v>70</v>
      </c>
    </row>
    <row r="2" spans="1:25">
      <c r="A2" s="23"/>
      <c r="B2" s="95" t="s">
        <v>50</v>
      </c>
      <c r="C2" s="9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4" t="s">
        <v>71</v>
      </c>
      <c r="S2" s="24" t="s">
        <v>69</v>
      </c>
      <c r="T2" s="24" t="s">
        <v>68</v>
      </c>
    </row>
    <row r="3" spans="1:25" ht="14.25" customHeight="1">
      <c r="A3" s="23"/>
      <c r="B3" s="89" t="s">
        <v>15</v>
      </c>
      <c r="C3" s="96"/>
      <c r="D3" s="93" t="s">
        <v>64</v>
      </c>
      <c r="E3" s="90"/>
      <c r="F3" s="89" t="s">
        <v>16</v>
      </c>
      <c r="G3" s="90"/>
      <c r="H3" s="89" t="s">
        <v>61</v>
      </c>
      <c r="I3" s="90"/>
      <c r="J3" s="25"/>
      <c r="K3" s="102" t="s">
        <v>17</v>
      </c>
      <c r="L3" s="103"/>
      <c r="M3" s="23"/>
      <c r="N3" s="98"/>
      <c r="O3" s="98"/>
      <c r="P3" s="23"/>
      <c r="Q3" s="23"/>
      <c r="R3" s="66"/>
      <c r="S3" s="66"/>
      <c r="T3" s="106"/>
      <c r="U3" s="107"/>
      <c r="V3" s="107"/>
      <c r="W3" s="107"/>
      <c r="X3" s="107"/>
      <c r="Y3" s="108"/>
    </row>
    <row r="4" spans="1:25" ht="13.5" customHeight="1">
      <c r="A4" s="23"/>
      <c r="B4" s="91" t="s">
        <v>18</v>
      </c>
      <c r="C4" s="97"/>
      <c r="D4" s="94" t="s">
        <v>55</v>
      </c>
      <c r="E4" s="92"/>
      <c r="F4" s="91" t="s">
        <v>19</v>
      </c>
      <c r="G4" s="92"/>
      <c r="H4" s="91" t="s">
        <v>59</v>
      </c>
      <c r="I4" s="92"/>
      <c r="J4" s="25"/>
      <c r="K4" s="26" t="s">
        <v>20</v>
      </c>
      <c r="L4" s="27" t="str">
        <f>C10</f>
        <v>Frequency</v>
      </c>
      <c r="M4" s="23"/>
      <c r="N4" s="28"/>
      <c r="O4" s="28"/>
      <c r="P4" s="23"/>
      <c r="Q4" s="23"/>
      <c r="R4" s="66"/>
      <c r="S4" s="66"/>
      <c r="T4" s="106"/>
      <c r="U4" s="107"/>
      <c r="V4" s="107"/>
      <c r="W4" s="107"/>
      <c r="X4" s="107"/>
      <c r="Y4" s="108"/>
    </row>
    <row r="5" spans="1:25" ht="13.5" customHeight="1">
      <c r="A5" s="23"/>
      <c r="B5" s="91" t="s">
        <v>21</v>
      </c>
      <c r="C5" s="97"/>
      <c r="D5" s="94" t="s">
        <v>56</v>
      </c>
      <c r="E5" s="92"/>
      <c r="F5" s="91" t="s">
        <v>22</v>
      </c>
      <c r="G5" s="92"/>
      <c r="H5" s="91">
        <v>5</v>
      </c>
      <c r="I5" s="92"/>
      <c r="J5" s="25"/>
      <c r="K5" s="29" t="s">
        <v>23</v>
      </c>
      <c r="L5" s="30" t="s">
        <v>65</v>
      </c>
      <c r="M5" s="23"/>
      <c r="N5" s="28"/>
      <c r="O5" s="28"/>
      <c r="P5" s="23"/>
      <c r="Q5" s="23"/>
      <c r="R5" s="66"/>
      <c r="S5" s="66"/>
      <c r="T5" s="106"/>
      <c r="U5" s="107"/>
      <c r="V5" s="107"/>
      <c r="W5" s="107"/>
      <c r="X5" s="107"/>
      <c r="Y5" s="108"/>
    </row>
    <row r="6" spans="1:25" ht="13.5" customHeight="1">
      <c r="A6" s="23"/>
      <c r="B6" s="91" t="s">
        <v>24</v>
      </c>
      <c r="C6" s="97"/>
      <c r="D6" s="94">
        <v>201</v>
      </c>
      <c r="E6" s="92"/>
      <c r="F6" s="91" t="s">
        <v>25</v>
      </c>
      <c r="G6" s="92"/>
      <c r="H6" s="91" t="s">
        <v>59</v>
      </c>
      <c r="I6" s="92"/>
      <c r="J6" s="25"/>
      <c r="K6" s="31" t="s">
        <v>14</v>
      </c>
      <c r="L6" s="32" t="s">
        <v>66</v>
      </c>
      <c r="M6" s="23"/>
      <c r="N6" s="28"/>
      <c r="O6" s="28"/>
      <c r="P6" s="23"/>
      <c r="Q6" s="23"/>
      <c r="R6" s="66"/>
      <c r="S6" s="66"/>
      <c r="T6" s="106"/>
      <c r="U6" s="107"/>
      <c r="V6" s="107"/>
      <c r="W6" s="107"/>
      <c r="X6" s="107"/>
      <c r="Y6" s="108"/>
    </row>
    <row r="7" spans="1:25" ht="13.5" customHeight="1">
      <c r="A7" s="23"/>
      <c r="B7" s="91" t="s">
        <v>26</v>
      </c>
      <c r="C7" s="97"/>
      <c r="D7" s="94" t="s">
        <v>57</v>
      </c>
      <c r="E7" s="92"/>
      <c r="F7" s="91" t="s">
        <v>27</v>
      </c>
      <c r="G7" s="92"/>
      <c r="H7" s="91" t="s">
        <v>59</v>
      </c>
      <c r="I7" s="92"/>
      <c r="J7" s="25"/>
      <c r="K7" s="33"/>
      <c r="L7" s="33"/>
      <c r="M7" s="23"/>
      <c r="N7" s="28"/>
      <c r="O7" s="28"/>
      <c r="P7" s="23"/>
      <c r="Q7" s="23"/>
      <c r="R7" s="66"/>
      <c r="S7" s="66"/>
      <c r="T7" s="106"/>
      <c r="U7" s="107"/>
      <c r="V7" s="107"/>
      <c r="W7" s="107"/>
      <c r="X7" s="107"/>
      <c r="Y7" s="108"/>
    </row>
    <row r="8" spans="1:25">
      <c r="A8" s="23"/>
      <c r="B8" s="100" t="s">
        <v>28</v>
      </c>
      <c r="C8" s="101"/>
      <c r="D8" s="104" t="s">
        <v>58</v>
      </c>
      <c r="E8" s="105"/>
      <c r="F8" s="100" t="s">
        <v>67</v>
      </c>
      <c r="G8" s="105"/>
      <c r="H8" s="91" t="s">
        <v>13</v>
      </c>
      <c r="I8" s="92"/>
      <c r="J8" s="34"/>
      <c r="K8" s="33"/>
      <c r="L8" s="33"/>
      <c r="M8" s="23"/>
      <c r="N8" s="28"/>
      <c r="O8" s="28"/>
      <c r="P8" s="23"/>
      <c r="Q8" s="23"/>
      <c r="R8" s="66"/>
      <c r="S8" s="66"/>
      <c r="T8" s="106"/>
      <c r="U8" s="107"/>
      <c r="V8" s="107"/>
      <c r="W8" s="107"/>
      <c r="X8" s="107"/>
      <c r="Y8" s="108"/>
    </row>
    <row r="9" spans="1:25">
      <c r="A9" s="23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23"/>
      <c r="N9" s="23"/>
      <c r="O9" s="23"/>
      <c r="P9" s="23"/>
      <c r="Q9" s="23"/>
      <c r="R9" s="66"/>
      <c r="S9" s="66"/>
      <c r="T9" s="106"/>
      <c r="U9" s="107"/>
      <c r="V9" s="107"/>
      <c r="W9" s="107"/>
      <c r="X9" s="107"/>
      <c r="Y9" s="108"/>
    </row>
    <row r="10" spans="1:25" ht="27.75" customHeight="1" thickBot="1">
      <c r="A10" s="23"/>
      <c r="B10" s="36" t="s">
        <v>30</v>
      </c>
      <c r="C10" s="36" t="s">
        <v>60</v>
      </c>
      <c r="D10" s="51" t="s">
        <v>51</v>
      </c>
      <c r="E10" s="51" t="s">
        <v>52</v>
      </c>
      <c r="F10" s="51" t="s">
        <v>53</v>
      </c>
      <c r="G10" s="51" t="s">
        <v>54</v>
      </c>
      <c r="H10" s="37"/>
      <c r="I10" s="37"/>
      <c r="J10" s="99"/>
      <c r="K10" s="99"/>
      <c r="L10" s="99"/>
      <c r="M10" s="99"/>
      <c r="N10" s="38" t="s">
        <v>32</v>
      </c>
      <c r="O10" s="39" t="s">
        <v>33</v>
      </c>
      <c r="P10" s="23"/>
      <c r="Q10" s="23"/>
    </row>
    <row r="11" spans="1:25" ht="14.4" thickTop="1">
      <c r="A11" s="23"/>
      <c r="B11" s="53">
        <v>1</v>
      </c>
      <c r="C11" s="58">
        <v>40</v>
      </c>
      <c r="D11" s="59">
        <v>8847941</v>
      </c>
      <c r="E11" s="59">
        <v>0</v>
      </c>
      <c r="F11" s="59">
        <v>-84.491569519042969</v>
      </c>
      <c r="G11" s="42">
        <v>0</v>
      </c>
      <c r="H11" s="23"/>
      <c r="I11" s="23"/>
      <c r="J11" s="99"/>
      <c r="K11" s="99"/>
      <c r="L11" s="99"/>
      <c r="M11" s="99"/>
      <c r="N11" s="43">
        <f t="shared" ref="N11:N74" si="0">IF($L$4=$C$10,C11,IF(D11="","",B11))</f>
        <v>40</v>
      </c>
      <c r="O11" s="39" t="str">
        <f>B10</f>
        <v>Point#</v>
      </c>
      <c r="P11" s="23"/>
      <c r="Q11" s="23"/>
    </row>
    <row r="12" spans="1:25">
      <c r="A12" s="23"/>
      <c r="B12" s="53">
        <v>2</v>
      </c>
      <c r="C12" s="58">
        <v>42.759998321533203</v>
      </c>
      <c r="D12" s="59">
        <v>8293728</v>
      </c>
      <c r="E12" s="59">
        <v>0</v>
      </c>
      <c r="F12" s="59">
        <v>-84.834251403808594</v>
      </c>
      <c r="G12" s="42">
        <v>0</v>
      </c>
      <c r="H12" s="23"/>
      <c r="I12" s="23"/>
      <c r="J12" s="99"/>
      <c r="K12" s="99"/>
      <c r="L12" s="99"/>
      <c r="M12" s="99"/>
      <c r="N12" s="43">
        <f t="shared" si="0"/>
        <v>42.759998321533203</v>
      </c>
      <c r="O12" s="39" t="str">
        <f>C10</f>
        <v>Frequency</v>
      </c>
      <c r="P12" s="23"/>
      <c r="Q12" s="23"/>
    </row>
    <row r="13" spans="1:25">
      <c r="A13" s="23"/>
      <c r="B13" s="53">
        <v>3</v>
      </c>
      <c r="C13" s="58">
        <v>45.71099853515625</v>
      </c>
      <c r="D13" s="59">
        <v>7758724</v>
      </c>
      <c r="E13" s="59">
        <v>0</v>
      </c>
      <c r="F13" s="59">
        <v>-85.067832946777344</v>
      </c>
      <c r="G13" s="42">
        <v>0</v>
      </c>
      <c r="H13" s="23"/>
      <c r="I13" s="23"/>
      <c r="J13" s="99"/>
      <c r="K13" s="99"/>
      <c r="L13" s="99"/>
      <c r="M13" s="99"/>
      <c r="N13" s="43">
        <f t="shared" si="0"/>
        <v>45.71099853515625</v>
      </c>
      <c r="O13" s="43"/>
      <c r="P13" s="23"/>
      <c r="Q13" s="23"/>
    </row>
    <row r="14" spans="1:25">
      <c r="A14" s="23"/>
      <c r="B14" s="53">
        <v>4</v>
      </c>
      <c r="C14" s="58">
        <v>48.865001678466797</v>
      </c>
      <c r="D14" s="59">
        <v>7258204</v>
      </c>
      <c r="E14" s="59">
        <v>0</v>
      </c>
      <c r="F14" s="59">
        <v>-85.435676574707031</v>
      </c>
      <c r="G14" s="42">
        <v>0</v>
      </c>
      <c r="H14" s="23"/>
      <c r="I14" s="23"/>
      <c r="J14" s="99"/>
      <c r="K14" s="99"/>
      <c r="L14" s="99"/>
      <c r="M14" s="99"/>
      <c r="N14" s="43">
        <f t="shared" si="0"/>
        <v>48.865001678466797</v>
      </c>
      <c r="O14" s="43"/>
      <c r="P14" s="23"/>
      <c r="Q14" s="23"/>
    </row>
    <row r="15" spans="1:25">
      <c r="A15" s="23"/>
      <c r="B15" s="53">
        <v>5</v>
      </c>
      <c r="C15" s="58">
        <v>52.23699951171875</v>
      </c>
      <c r="D15" s="59">
        <v>6794058</v>
      </c>
      <c r="E15" s="59">
        <v>0</v>
      </c>
      <c r="F15" s="59">
        <v>-85.58782958984375</v>
      </c>
      <c r="G15" s="42">
        <v>0</v>
      </c>
      <c r="H15" s="23"/>
      <c r="I15" s="23"/>
      <c r="J15" s="99"/>
      <c r="K15" s="99"/>
      <c r="L15" s="99"/>
      <c r="M15" s="99"/>
      <c r="N15" s="43">
        <f t="shared" si="0"/>
        <v>52.23699951171875</v>
      </c>
      <c r="O15" s="43"/>
      <c r="P15" s="23"/>
      <c r="Q15" s="23"/>
    </row>
    <row r="16" spans="1:25">
      <c r="A16" s="23"/>
      <c r="B16" s="53">
        <v>6</v>
      </c>
      <c r="C16" s="58">
        <v>55.840999603271484</v>
      </c>
      <c r="D16" s="59">
        <v>6361402</v>
      </c>
      <c r="E16" s="59">
        <v>0</v>
      </c>
      <c r="F16" s="59">
        <v>-85.827606201171875</v>
      </c>
      <c r="G16" s="42">
        <v>0</v>
      </c>
      <c r="H16" s="23"/>
      <c r="I16" s="23"/>
      <c r="J16" s="99"/>
      <c r="K16" s="99"/>
      <c r="L16" s="99"/>
      <c r="M16" s="99"/>
      <c r="N16" s="43">
        <f t="shared" si="0"/>
        <v>55.840999603271484</v>
      </c>
      <c r="O16" s="43"/>
      <c r="P16" s="23"/>
      <c r="Q16" s="23"/>
    </row>
    <row r="17" spans="1:17">
      <c r="A17" s="23"/>
      <c r="B17" s="53">
        <v>7</v>
      </c>
      <c r="C17" s="58">
        <v>59.694999694824219</v>
      </c>
      <c r="D17" s="59">
        <v>5954890</v>
      </c>
      <c r="E17" s="59">
        <v>0</v>
      </c>
      <c r="F17" s="59">
        <v>-86.098587036132813</v>
      </c>
      <c r="G17" s="42">
        <v>0</v>
      </c>
      <c r="H17" s="23"/>
      <c r="I17" s="23"/>
      <c r="J17" s="99"/>
      <c r="K17" s="99"/>
      <c r="L17" s="99"/>
      <c r="M17" s="99"/>
      <c r="N17" s="43">
        <f t="shared" si="0"/>
        <v>59.694999694824219</v>
      </c>
      <c r="O17" s="43"/>
      <c r="P17" s="23"/>
      <c r="Q17" s="23"/>
    </row>
    <row r="18" spans="1:17">
      <c r="A18" s="23"/>
      <c r="B18" s="53">
        <v>8</v>
      </c>
      <c r="C18" s="58">
        <v>63.813999176025391</v>
      </c>
      <c r="D18" s="59">
        <v>5573406</v>
      </c>
      <c r="E18" s="59">
        <v>0</v>
      </c>
      <c r="F18" s="59">
        <v>-86.314788818359375</v>
      </c>
      <c r="G18" s="42">
        <v>0</v>
      </c>
      <c r="H18" s="23"/>
      <c r="I18" s="23"/>
      <c r="J18" s="99"/>
      <c r="K18" s="99"/>
      <c r="L18" s="99"/>
      <c r="M18" s="99"/>
      <c r="N18" s="43">
        <f t="shared" si="0"/>
        <v>63.813999176025391</v>
      </c>
      <c r="O18" s="43"/>
      <c r="P18" s="23"/>
      <c r="Q18" s="23"/>
    </row>
    <row r="19" spans="1:17">
      <c r="A19" s="23"/>
      <c r="B19" s="53">
        <v>9</v>
      </c>
      <c r="C19" s="58">
        <v>68.217002868652344</v>
      </c>
      <c r="D19" s="59">
        <v>5215677</v>
      </c>
      <c r="E19" s="59">
        <v>0</v>
      </c>
      <c r="F19" s="59">
        <v>-86.462013244628906</v>
      </c>
      <c r="G19" s="42">
        <v>0</v>
      </c>
      <c r="H19" s="23"/>
      <c r="I19" s="23"/>
      <c r="J19" s="99"/>
      <c r="K19" s="99"/>
      <c r="L19" s="99"/>
      <c r="M19" s="99"/>
      <c r="N19" s="43">
        <f t="shared" si="0"/>
        <v>68.217002868652344</v>
      </c>
      <c r="O19" s="43"/>
      <c r="P19" s="23"/>
      <c r="Q19" s="23"/>
    </row>
    <row r="20" spans="1:17">
      <c r="A20" s="23"/>
      <c r="B20" s="53">
        <v>10</v>
      </c>
      <c r="C20" s="58">
        <v>72.925003051757813</v>
      </c>
      <c r="D20" s="59">
        <v>4881663</v>
      </c>
      <c r="E20" s="59">
        <v>0</v>
      </c>
      <c r="F20" s="59">
        <v>-86.636573791503906</v>
      </c>
      <c r="G20" s="42">
        <v>0</v>
      </c>
      <c r="H20" s="23"/>
      <c r="I20" s="23"/>
      <c r="J20" s="99"/>
      <c r="K20" s="99"/>
      <c r="L20" s="99"/>
      <c r="M20" s="99"/>
      <c r="N20" s="43">
        <f t="shared" si="0"/>
        <v>72.925003051757813</v>
      </c>
      <c r="O20" s="43"/>
      <c r="P20" s="23"/>
      <c r="Q20" s="23"/>
    </row>
    <row r="21" spans="1:17">
      <c r="A21" s="23"/>
      <c r="B21" s="53">
        <v>11</v>
      </c>
      <c r="C21" s="58">
        <v>77.957000732421875</v>
      </c>
      <c r="D21" s="59">
        <v>4568793</v>
      </c>
      <c r="E21" s="59">
        <v>0</v>
      </c>
      <c r="F21" s="59">
        <v>-86.792579650878906</v>
      </c>
      <c r="G21" s="42">
        <v>0</v>
      </c>
      <c r="H21" s="23"/>
      <c r="I21" s="23"/>
      <c r="J21" s="99"/>
      <c r="K21" s="99"/>
      <c r="L21" s="99"/>
      <c r="M21" s="99"/>
      <c r="N21" s="43">
        <f t="shared" si="0"/>
        <v>77.957000732421875</v>
      </c>
      <c r="O21" s="43"/>
      <c r="P21" s="23"/>
      <c r="Q21" s="23"/>
    </row>
    <row r="22" spans="1:17">
      <c r="A22" s="23"/>
      <c r="B22" s="53">
        <v>12</v>
      </c>
      <c r="C22" s="58">
        <v>83.33599853515625</v>
      </c>
      <c r="D22" s="59">
        <v>4273927</v>
      </c>
      <c r="E22" s="59">
        <v>0</v>
      </c>
      <c r="F22" s="59">
        <v>-86.935806274414063</v>
      </c>
      <c r="G22" s="42">
        <v>0</v>
      </c>
      <c r="H22" s="23"/>
      <c r="I22" s="23"/>
      <c r="J22" s="99"/>
      <c r="K22" s="99"/>
      <c r="L22" s="99"/>
      <c r="M22" s="99"/>
      <c r="N22" s="43">
        <f t="shared" si="0"/>
        <v>83.33599853515625</v>
      </c>
      <c r="O22" s="43"/>
      <c r="P22" s="23"/>
      <c r="Q22" s="23"/>
    </row>
    <row r="23" spans="1:17">
      <c r="A23" s="23"/>
      <c r="B23" s="53">
        <v>13</v>
      </c>
      <c r="C23" s="58">
        <v>89.086997985839844</v>
      </c>
      <c r="D23" s="59">
        <v>3998208</v>
      </c>
      <c r="E23" s="59">
        <v>0</v>
      </c>
      <c r="F23" s="59">
        <v>-87.089668273925781</v>
      </c>
      <c r="G23" s="42">
        <v>0</v>
      </c>
      <c r="H23" s="23"/>
      <c r="I23" s="23"/>
      <c r="J23" s="99"/>
      <c r="K23" s="99"/>
      <c r="L23" s="99"/>
      <c r="M23" s="99"/>
      <c r="N23" s="43">
        <f t="shared" si="0"/>
        <v>89.086997985839844</v>
      </c>
      <c r="O23" s="43"/>
      <c r="P23" s="23"/>
      <c r="Q23" s="23"/>
    </row>
    <row r="24" spans="1:17">
      <c r="A24" s="23"/>
      <c r="B24" s="53">
        <v>14</v>
      </c>
      <c r="C24" s="58">
        <v>95.234001159667969</v>
      </c>
      <c r="D24" s="59">
        <v>3746012</v>
      </c>
      <c r="E24" s="59">
        <v>0</v>
      </c>
      <c r="F24" s="59">
        <v>-87.245780944824219</v>
      </c>
      <c r="G24" s="42">
        <v>0</v>
      </c>
      <c r="H24" s="23"/>
      <c r="I24" s="23"/>
      <c r="J24" s="99"/>
      <c r="K24" s="99"/>
      <c r="L24" s="99"/>
      <c r="M24" s="99"/>
      <c r="N24" s="43">
        <f t="shared" si="0"/>
        <v>95.234001159667969</v>
      </c>
      <c r="O24" s="43"/>
      <c r="P24" s="23"/>
      <c r="Q24" s="23"/>
    </row>
    <row r="25" spans="1:17">
      <c r="A25" s="23"/>
      <c r="B25" s="53">
        <v>15</v>
      </c>
      <c r="C25" s="58">
        <v>101.80599975585938</v>
      </c>
      <c r="D25" s="59">
        <v>3504306</v>
      </c>
      <c r="E25" s="59">
        <v>0</v>
      </c>
      <c r="F25" s="59">
        <v>-87.359542846679688</v>
      </c>
      <c r="G25" s="42">
        <v>0</v>
      </c>
      <c r="H25" s="23"/>
      <c r="I25" s="23"/>
      <c r="J25" s="99"/>
      <c r="K25" s="99"/>
      <c r="L25" s="99"/>
      <c r="M25" s="99"/>
      <c r="N25" s="43">
        <f t="shared" si="0"/>
        <v>101.80599975585938</v>
      </c>
      <c r="O25" s="43"/>
      <c r="P25" s="23"/>
      <c r="Q25" s="23"/>
    </row>
    <row r="26" spans="1:17">
      <c r="A26" s="23"/>
      <c r="B26" s="53">
        <v>16</v>
      </c>
      <c r="C26" s="58">
        <v>108.83100128173828</v>
      </c>
      <c r="D26" s="59">
        <v>3278098</v>
      </c>
      <c r="E26" s="59">
        <v>0</v>
      </c>
      <c r="F26" s="59">
        <v>-87.448982238769531</v>
      </c>
      <c r="G26" s="42">
        <v>0</v>
      </c>
      <c r="H26" s="23"/>
      <c r="I26" s="23"/>
      <c r="J26" s="99"/>
      <c r="K26" s="99"/>
      <c r="L26" s="99"/>
      <c r="M26" s="99"/>
      <c r="N26" s="43">
        <f t="shared" si="0"/>
        <v>108.83100128173828</v>
      </c>
      <c r="O26" s="43"/>
      <c r="P26" s="23"/>
      <c r="Q26" s="23"/>
    </row>
    <row r="27" spans="1:17">
      <c r="A27" s="23"/>
      <c r="B27" s="53">
        <v>17</v>
      </c>
      <c r="C27" s="58">
        <v>116.33999633789063</v>
      </c>
      <c r="D27" s="59">
        <v>3067551</v>
      </c>
      <c r="E27" s="59">
        <v>0</v>
      </c>
      <c r="F27" s="59">
        <v>-87.5546875</v>
      </c>
      <c r="G27" s="42">
        <v>0</v>
      </c>
      <c r="H27" s="23"/>
      <c r="I27" s="23"/>
      <c r="J27" s="99"/>
      <c r="K27" s="99"/>
      <c r="L27" s="99"/>
      <c r="M27" s="99"/>
      <c r="N27" s="43">
        <f t="shared" si="0"/>
        <v>116.33999633789063</v>
      </c>
      <c r="O27" s="43"/>
      <c r="P27" s="23"/>
      <c r="Q27" s="23"/>
    </row>
    <row r="28" spans="1:17">
      <c r="A28" s="23"/>
      <c r="B28" s="53">
        <v>18</v>
      </c>
      <c r="C28" s="58">
        <v>124.36799621582031</v>
      </c>
      <c r="D28" s="59">
        <v>2868749</v>
      </c>
      <c r="E28" s="59">
        <v>0</v>
      </c>
      <c r="F28" s="59">
        <v>-87.61517333984375</v>
      </c>
      <c r="G28" s="42">
        <v>0</v>
      </c>
      <c r="H28" s="23"/>
      <c r="I28" s="23"/>
      <c r="J28" s="99"/>
      <c r="K28" s="99"/>
      <c r="L28" s="99"/>
      <c r="M28" s="99"/>
      <c r="N28" s="43">
        <f t="shared" si="0"/>
        <v>124.36799621582031</v>
      </c>
      <c r="O28" s="43"/>
      <c r="P28" s="23"/>
      <c r="Q28" s="23"/>
    </row>
    <row r="29" spans="1:17">
      <c r="A29" s="23"/>
      <c r="B29" s="53">
        <v>19</v>
      </c>
      <c r="C29" s="58">
        <v>132.94999694824219</v>
      </c>
      <c r="D29" s="59">
        <v>2684496</v>
      </c>
      <c r="E29" s="59">
        <v>0</v>
      </c>
      <c r="F29" s="59">
        <v>-87.68585205078125</v>
      </c>
      <c r="G29" s="42">
        <v>0</v>
      </c>
      <c r="H29" s="23"/>
      <c r="I29" s="23"/>
      <c r="J29" s="99"/>
      <c r="K29" s="99"/>
      <c r="L29" s="99"/>
      <c r="M29" s="99"/>
      <c r="N29" s="43">
        <f t="shared" si="0"/>
        <v>132.94999694824219</v>
      </c>
      <c r="O29" s="43"/>
      <c r="P29" s="23"/>
      <c r="Q29" s="23"/>
    </row>
    <row r="30" spans="1:17">
      <c r="A30" s="23"/>
      <c r="B30" s="53">
        <v>20</v>
      </c>
      <c r="C30" s="58">
        <v>142.12399291992188</v>
      </c>
      <c r="D30" s="59">
        <v>2512727</v>
      </c>
      <c r="E30" s="59">
        <v>0</v>
      </c>
      <c r="F30" s="59">
        <v>-87.728736877441406</v>
      </c>
      <c r="G30" s="42">
        <v>0</v>
      </c>
      <c r="H30" s="23"/>
      <c r="I30" s="23"/>
      <c r="J30" s="99"/>
      <c r="K30" s="99"/>
      <c r="L30" s="99"/>
      <c r="M30" s="99"/>
      <c r="N30" s="43">
        <f t="shared" si="0"/>
        <v>142.12399291992188</v>
      </c>
      <c r="O30" s="43"/>
      <c r="P30" s="23"/>
      <c r="Q30" s="23"/>
    </row>
    <row r="31" spans="1:17">
      <c r="A31" s="23"/>
      <c r="B31" s="53">
        <v>21</v>
      </c>
      <c r="C31" s="58">
        <v>151.9320068359375</v>
      </c>
      <c r="D31" s="59">
        <v>2350402</v>
      </c>
      <c r="E31" s="59">
        <v>0</v>
      </c>
      <c r="F31" s="59">
        <v>-87.800422668457031</v>
      </c>
      <c r="G31" s="42">
        <v>0</v>
      </c>
      <c r="H31" s="23"/>
      <c r="I31" s="23"/>
      <c r="J31" s="99"/>
      <c r="K31" s="99"/>
      <c r="L31" s="99"/>
      <c r="M31" s="99"/>
      <c r="N31" s="43">
        <f t="shared" si="0"/>
        <v>151.9320068359375</v>
      </c>
      <c r="O31" s="43"/>
      <c r="P31" s="23"/>
      <c r="Q31" s="23"/>
    </row>
    <row r="32" spans="1:17">
      <c r="A32" s="23"/>
      <c r="B32" s="53">
        <v>22</v>
      </c>
      <c r="C32" s="58">
        <v>162.41499328613281</v>
      </c>
      <c r="D32" s="59">
        <v>2200338</v>
      </c>
      <c r="E32" s="59">
        <v>0</v>
      </c>
      <c r="F32" s="59">
        <v>-87.843887329101563</v>
      </c>
      <c r="G32" s="42">
        <v>0</v>
      </c>
      <c r="H32" s="23"/>
      <c r="I32" s="23"/>
      <c r="J32" s="99"/>
      <c r="K32" s="99"/>
      <c r="L32" s="99"/>
      <c r="M32" s="99"/>
      <c r="N32" s="43">
        <f t="shared" si="0"/>
        <v>162.41499328613281</v>
      </c>
      <c r="O32" s="43"/>
      <c r="P32" s="23"/>
      <c r="Q32" s="23"/>
    </row>
    <row r="33" spans="1:17">
      <c r="A33" s="23"/>
      <c r="B33" s="53">
        <v>23</v>
      </c>
      <c r="C33" s="58">
        <v>173.62300109863281</v>
      </c>
      <c r="D33" s="59">
        <v>2058694</v>
      </c>
      <c r="E33" s="59">
        <v>0</v>
      </c>
      <c r="F33" s="59">
        <v>-87.89837646484375</v>
      </c>
      <c r="G33" s="42">
        <v>0</v>
      </c>
      <c r="H33" s="23"/>
      <c r="I33" s="23"/>
      <c r="J33" s="99"/>
      <c r="K33" s="99"/>
      <c r="L33" s="99"/>
      <c r="M33" s="99"/>
      <c r="N33" s="43">
        <f t="shared" si="0"/>
        <v>173.62300109863281</v>
      </c>
      <c r="O33" s="43"/>
      <c r="P33" s="23"/>
      <c r="Q33" s="23"/>
    </row>
    <row r="34" spans="1:17">
      <c r="A34" s="23"/>
      <c r="B34" s="53">
        <v>24</v>
      </c>
      <c r="C34" s="58">
        <v>185.60400390625</v>
      </c>
      <c r="D34" s="59">
        <v>1927400</v>
      </c>
      <c r="E34" s="59">
        <v>0</v>
      </c>
      <c r="F34" s="59">
        <v>-87.917373657226563</v>
      </c>
      <c r="G34" s="42">
        <v>0</v>
      </c>
      <c r="H34" s="23"/>
      <c r="I34" s="23"/>
      <c r="J34" s="99"/>
      <c r="K34" s="99"/>
      <c r="L34" s="99"/>
      <c r="M34" s="99"/>
      <c r="N34" s="43">
        <f t="shared" si="0"/>
        <v>185.60400390625</v>
      </c>
      <c r="O34" s="43"/>
      <c r="P34" s="23"/>
      <c r="Q34" s="23"/>
    </row>
    <row r="35" spans="1:17">
      <c r="A35" s="23"/>
      <c r="B35" s="53">
        <v>25</v>
      </c>
      <c r="C35" s="58">
        <v>198.41099548339844</v>
      </c>
      <c r="D35" s="59">
        <v>1802613</v>
      </c>
      <c r="E35" s="59">
        <v>0</v>
      </c>
      <c r="F35" s="59">
        <v>-87.948799133300781</v>
      </c>
      <c r="G35" s="42">
        <v>0</v>
      </c>
      <c r="H35" s="23"/>
      <c r="I35" s="23"/>
      <c r="J35" s="99"/>
      <c r="K35" s="99"/>
      <c r="L35" s="99"/>
      <c r="M35" s="99"/>
      <c r="N35" s="43">
        <f t="shared" si="0"/>
        <v>198.41099548339844</v>
      </c>
      <c r="O35" s="43"/>
      <c r="P35" s="23"/>
      <c r="Q35" s="23"/>
    </row>
    <row r="36" spans="1:17">
      <c r="A36" s="23"/>
      <c r="B36" s="53">
        <v>26</v>
      </c>
      <c r="C36" s="58">
        <v>212.10200500488281</v>
      </c>
      <c r="D36" s="59">
        <v>1688181</v>
      </c>
      <c r="E36" s="59">
        <v>0</v>
      </c>
      <c r="F36" s="59">
        <v>-87.959808349609375</v>
      </c>
      <c r="G36" s="42">
        <v>0</v>
      </c>
      <c r="H36" s="23"/>
      <c r="I36" s="23"/>
      <c r="J36" s="99"/>
      <c r="K36" s="99"/>
      <c r="L36" s="99"/>
      <c r="M36" s="99"/>
      <c r="N36" s="43">
        <f t="shared" si="0"/>
        <v>212.10200500488281</v>
      </c>
      <c r="O36" s="43"/>
      <c r="P36" s="23"/>
      <c r="Q36" s="23"/>
    </row>
    <row r="37" spans="1:17">
      <c r="A37" s="23"/>
      <c r="B37" s="53">
        <v>27</v>
      </c>
      <c r="C37" s="58">
        <v>226.73800659179688</v>
      </c>
      <c r="D37" s="59">
        <v>1579031</v>
      </c>
      <c r="E37" s="59">
        <v>0</v>
      </c>
      <c r="F37" s="59">
        <v>-87.977287292480469</v>
      </c>
      <c r="G37" s="42">
        <v>0</v>
      </c>
      <c r="H37" s="23"/>
      <c r="I37" s="23"/>
      <c r="J37" s="99"/>
      <c r="K37" s="99"/>
      <c r="L37" s="99"/>
      <c r="M37" s="99"/>
      <c r="N37" s="43">
        <f t="shared" si="0"/>
        <v>226.73800659179688</v>
      </c>
      <c r="O37" s="43"/>
      <c r="P37" s="23"/>
      <c r="Q37" s="23"/>
    </row>
    <row r="38" spans="1:17">
      <c r="A38" s="23"/>
      <c r="B38" s="53">
        <v>28</v>
      </c>
      <c r="C38" s="58">
        <v>242.38400268554688</v>
      </c>
      <c r="D38" s="59">
        <v>1476924</v>
      </c>
      <c r="E38" s="59">
        <v>0</v>
      </c>
      <c r="F38" s="59">
        <v>-87.978141784667969</v>
      </c>
      <c r="G38" s="42">
        <v>0</v>
      </c>
      <c r="H38" s="23"/>
      <c r="I38" s="23"/>
      <c r="J38" s="99"/>
      <c r="K38" s="99"/>
      <c r="L38" s="99"/>
      <c r="M38" s="99"/>
      <c r="N38" s="43">
        <f t="shared" si="0"/>
        <v>242.38400268554688</v>
      </c>
      <c r="O38" s="43"/>
      <c r="P38" s="23"/>
      <c r="Q38" s="23"/>
    </row>
    <row r="39" spans="1:17">
      <c r="A39" s="23"/>
      <c r="B39" s="53">
        <v>29</v>
      </c>
      <c r="C39" s="58">
        <v>259.1090087890625</v>
      </c>
      <c r="D39" s="59">
        <v>1382202</v>
      </c>
      <c r="E39" s="59">
        <v>0</v>
      </c>
      <c r="F39" s="59">
        <v>-87.974151611328125</v>
      </c>
      <c r="G39" s="42">
        <v>0</v>
      </c>
      <c r="H39" s="23"/>
      <c r="I39" s="23"/>
      <c r="J39" s="99"/>
      <c r="K39" s="99"/>
      <c r="L39" s="99"/>
      <c r="M39" s="99"/>
      <c r="N39" s="43">
        <f t="shared" si="0"/>
        <v>259.1090087890625</v>
      </c>
      <c r="O39" s="43"/>
      <c r="P39" s="23"/>
      <c r="Q39" s="23"/>
    </row>
    <row r="40" spans="1:17">
      <c r="A40" s="23"/>
      <c r="B40" s="53">
        <v>30</v>
      </c>
      <c r="C40" s="58">
        <v>276.989013671875</v>
      </c>
      <c r="D40" s="59">
        <v>1293357</v>
      </c>
      <c r="E40" s="59">
        <v>0</v>
      </c>
      <c r="F40" s="59">
        <v>-87.971046447753906</v>
      </c>
      <c r="G40" s="42">
        <v>0</v>
      </c>
      <c r="H40" s="23"/>
      <c r="I40" s="23"/>
      <c r="J40" s="99"/>
      <c r="K40" s="99"/>
      <c r="L40" s="99"/>
      <c r="M40" s="99"/>
      <c r="N40" s="43">
        <f t="shared" si="0"/>
        <v>276.989013671875</v>
      </c>
      <c r="O40" s="43"/>
      <c r="P40" s="23"/>
      <c r="Q40" s="23"/>
    </row>
    <row r="41" spans="1:17">
      <c r="A41" s="23"/>
      <c r="B41" s="53">
        <v>31</v>
      </c>
      <c r="C41" s="58">
        <v>296.10198974609375</v>
      </c>
      <c r="D41" s="59">
        <v>1210425</v>
      </c>
      <c r="E41" s="59">
        <v>0</v>
      </c>
      <c r="F41" s="59">
        <v>-87.951507568359375</v>
      </c>
      <c r="G41" s="42">
        <v>0</v>
      </c>
      <c r="H41" s="23"/>
      <c r="I41" s="23"/>
      <c r="J41" s="99"/>
      <c r="K41" s="99"/>
      <c r="L41" s="99"/>
      <c r="M41" s="99"/>
      <c r="N41" s="43">
        <f t="shared" si="0"/>
        <v>296.10198974609375</v>
      </c>
      <c r="O41" s="43"/>
      <c r="P41" s="23"/>
      <c r="Q41" s="23"/>
    </row>
    <row r="42" spans="1:17">
      <c r="A42" s="23"/>
      <c r="B42" s="53">
        <v>32</v>
      </c>
      <c r="C42" s="58">
        <v>316.53500366210938</v>
      </c>
      <c r="D42" s="59">
        <v>1132399</v>
      </c>
      <c r="E42" s="59">
        <v>0</v>
      </c>
      <c r="F42" s="59">
        <v>-87.920646667480469</v>
      </c>
      <c r="G42" s="42">
        <v>0</v>
      </c>
      <c r="H42" s="23"/>
      <c r="I42" s="23"/>
      <c r="J42" s="99"/>
      <c r="K42" s="99"/>
      <c r="L42" s="99"/>
      <c r="M42" s="99"/>
      <c r="N42" s="43">
        <f t="shared" si="0"/>
        <v>316.53500366210938</v>
      </c>
      <c r="O42" s="43"/>
      <c r="P42" s="23"/>
      <c r="Q42" s="23"/>
    </row>
    <row r="43" spans="1:17">
      <c r="A43" s="23"/>
      <c r="B43" s="53">
        <v>33</v>
      </c>
      <c r="C43" s="58">
        <v>338.37701416015625</v>
      </c>
      <c r="D43" s="59">
        <v>1059643</v>
      </c>
      <c r="E43" s="59">
        <v>0</v>
      </c>
      <c r="F43" s="59">
        <v>-87.881393432617188</v>
      </c>
      <c r="G43" s="42">
        <v>0</v>
      </c>
      <c r="H43" s="23"/>
      <c r="I43" s="23"/>
      <c r="J43" s="99"/>
      <c r="K43" s="99"/>
      <c r="L43" s="99"/>
      <c r="M43" s="99"/>
      <c r="N43" s="43">
        <f t="shared" si="0"/>
        <v>338.37701416015625</v>
      </c>
      <c r="O43" s="43"/>
      <c r="P43" s="23"/>
      <c r="Q43" s="23"/>
    </row>
    <row r="44" spans="1:17">
      <c r="A44" s="23"/>
      <c r="B44" s="53">
        <v>34</v>
      </c>
      <c r="C44" s="58">
        <v>361.72601318359375</v>
      </c>
      <c r="D44" s="59">
        <v>991313.6875</v>
      </c>
      <c r="E44" s="59">
        <v>0</v>
      </c>
      <c r="F44" s="59">
        <v>-87.841888427734375</v>
      </c>
      <c r="G44" s="42">
        <v>0</v>
      </c>
      <c r="H44" s="23"/>
      <c r="I44" s="23"/>
      <c r="J44" s="99"/>
      <c r="K44" s="99"/>
      <c r="L44" s="99"/>
      <c r="M44" s="99"/>
      <c r="N44" s="43">
        <f t="shared" si="0"/>
        <v>361.72601318359375</v>
      </c>
      <c r="O44" s="43"/>
      <c r="P44" s="23"/>
      <c r="Q44" s="23"/>
    </row>
    <row r="45" spans="1:17">
      <c r="A45" s="23"/>
      <c r="B45" s="53">
        <v>35</v>
      </c>
      <c r="C45" s="58">
        <v>386.68701171875</v>
      </c>
      <c r="D45" s="59">
        <v>927681.375</v>
      </c>
      <c r="E45" s="59">
        <v>0</v>
      </c>
      <c r="F45" s="59">
        <v>-87.800628662109375</v>
      </c>
      <c r="G45" s="42">
        <v>0</v>
      </c>
      <c r="H45" s="23"/>
      <c r="I45" s="23"/>
      <c r="J45" s="99"/>
      <c r="K45" s="99"/>
      <c r="L45" s="99"/>
      <c r="M45" s="99"/>
      <c r="N45" s="43">
        <f t="shared" si="0"/>
        <v>386.68701171875</v>
      </c>
      <c r="O45" s="43"/>
      <c r="P45" s="23"/>
      <c r="Q45" s="23"/>
    </row>
    <row r="46" spans="1:17">
      <c r="A46" s="23"/>
      <c r="B46" s="53">
        <v>36</v>
      </c>
      <c r="C46" s="58">
        <v>413.3699951171875</v>
      </c>
      <c r="D46" s="59">
        <v>868149.875</v>
      </c>
      <c r="E46" s="59">
        <v>0</v>
      </c>
      <c r="F46" s="59">
        <v>-87.740707397460938</v>
      </c>
      <c r="G46" s="42">
        <v>0</v>
      </c>
      <c r="H46" s="23"/>
      <c r="I46" s="23"/>
      <c r="J46" s="99"/>
      <c r="K46" s="99"/>
      <c r="L46" s="99"/>
      <c r="M46" s="99"/>
      <c r="N46" s="43">
        <f t="shared" si="0"/>
        <v>413.3699951171875</v>
      </c>
      <c r="O46" s="43"/>
      <c r="P46" s="23"/>
      <c r="Q46" s="23"/>
    </row>
    <row r="47" spans="1:17">
      <c r="A47" s="23"/>
      <c r="B47" s="53">
        <v>37</v>
      </c>
      <c r="C47" s="58">
        <v>441.89401245117188</v>
      </c>
      <c r="D47" s="59">
        <v>812461.625</v>
      </c>
      <c r="E47" s="59">
        <v>0</v>
      </c>
      <c r="F47" s="59">
        <v>-87.682266235351563</v>
      </c>
      <c r="G47" s="42">
        <v>0</v>
      </c>
      <c r="H47" s="23"/>
      <c r="I47" s="23"/>
      <c r="J47" s="99"/>
      <c r="K47" s="99"/>
      <c r="L47" s="99"/>
      <c r="M47" s="99"/>
      <c r="N47" s="43">
        <f t="shared" si="0"/>
        <v>441.89401245117188</v>
      </c>
      <c r="O47" s="43"/>
      <c r="P47" s="23"/>
      <c r="Q47" s="23"/>
    </row>
    <row r="48" spans="1:17">
      <c r="A48" s="23"/>
      <c r="B48" s="53">
        <v>38</v>
      </c>
      <c r="C48" s="58">
        <v>472.38699340820313</v>
      </c>
      <c r="D48" s="59">
        <v>760272.125</v>
      </c>
      <c r="E48" s="59">
        <v>0</v>
      </c>
      <c r="F48" s="59">
        <v>-87.605209350585938</v>
      </c>
      <c r="G48" s="42">
        <v>0</v>
      </c>
      <c r="H48" s="23"/>
      <c r="I48" s="23"/>
      <c r="J48" s="99"/>
      <c r="K48" s="99"/>
      <c r="L48" s="99"/>
      <c r="M48" s="99"/>
      <c r="N48" s="43">
        <f t="shared" si="0"/>
        <v>472.38699340820313</v>
      </c>
      <c r="O48" s="43"/>
      <c r="P48" s="23"/>
      <c r="Q48" s="23"/>
    </row>
    <row r="49" spans="1:17">
      <c r="A49" s="23"/>
      <c r="B49" s="53">
        <v>39</v>
      </c>
      <c r="C49" s="58">
        <v>504.9840087890625</v>
      </c>
      <c r="D49" s="59">
        <v>711474.875</v>
      </c>
      <c r="E49" s="59">
        <v>0</v>
      </c>
      <c r="F49" s="59">
        <v>-87.525886535644531</v>
      </c>
      <c r="G49" s="42">
        <v>0</v>
      </c>
      <c r="H49" s="23"/>
      <c r="I49" s="23"/>
      <c r="J49" s="99"/>
      <c r="K49" s="99"/>
      <c r="L49" s="99"/>
      <c r="M49" s="99"/>
      <c r="N49" s="43">
        <f t="shared" si="0"/>
        <v>504.9840087890625</v>
      </c>
      <c r="O49" s="43"/>
      <c r="P49" s="23"/>
      <c r="Q49" s="23"/>
    </row>
    <row r="50" spans="1:17">
      <c r="A50" s="23"/>
      <c r="B50" s="53">
        <v>40</v>
      </c>
      <c r="C50" s="58">
        <v>539.8289794921875</v>
      </c>
      <c r="D50" s="59">
        <v>665835.375</v>
      </c>
      <c r="E50" s="59">
        <v>0</v>
      </c>
      <c r="F50" s="59">
        <v>-87.426483154296875</v>
      </c>
      <c r="G50" s="42">
        <v>0</v>
      </c>
      <c r="H50" s="23"/>
      <c r="I50" s="23"/>
      <c r="J50" s="99"/>
      <c r="K50" s="99"/>
      <c r="L50" s="99"/>
      <c r="M50" s="99"/>
      <c r="N50" s="43">
        <f t="shared" si="0"/>
        <v>539.8289794921875</v>
      </c>
      <c r="O50" s="43"/>
      <c r="P50" s="23"/>
      <c r="Q50" s="23"/>
    </row>
    <row r="51" spans="1:17">
      <c r="A51" s="23"/>
      <c r="B51" s="53">
        <v>41</v>
      </c>
      <c r="C51" s="58">
        <v>577.08001708984375</v>
      </c>
      <c r="D51" s="59">
        <v>623163.3125</v>
      </c>
      <c r="E51" s="59">
        <v>0</v>
      </c>
      <c r="F51" s="59">
        <v>-87.330642700195313</v>
      </c>
      <c r="G51" s="42">
        <v>0</v>
      </c>
      <c r="H51" s="23"/>
      <c r="I51" s="23"/>
      <c r="J51" s="99"/>
      <c r="K51" s="99"/>
      <c r="L51" s="99"/>
      <c r="M51" s="99"/>
      <c r="N51" s="43">
        <f t="shared" si="0"/>
        <v>577.08001708984375</v>
      </c>
      <c r="O51" s="43"/>
      <c r="P51" s="23"/>
      <c r="Q51" s="23"/>
    </row>
    <row r="52" spans="1:17">
      <c r="A52" s="23"/>
      <c r="B52" s="53">
        <v>42</v>
      </c>
      <c r="C52" s="58">
        <v>616.9010009765625</v>
      </c>
      <c r="D52" s="59">
        <v>583227.8125</v>
      </c>
      <c r="E52" s="59">
        <v>0</v>
      </c>
      <c r="F52" s="59">
        <v>-87.229827880859375</v>
      </c>
      <c r="G52" s="42">
        <v>0</v>
      </c>
      <c r="H52" s="23"/>
      <c r="I52" s="23"/>
      <c r="J52" s="99"/>
      <c r="K52" s="99"/>
      <c r="L52" s="99"/>
      <c r="M52" s="99"/>
      <c r="N52" s="43">
        <f t="shared" si="0"/>
        <v>616.9010009765625</v>
      </c>
      <c r="O52" s="43"/>
      <c r="P52" s="23"/>
      <c r="Q52" s="23"/>
    </row>
    <row r="53" spans="1:17">
      <c r="A53" s="23"/>
      <c r="B53" s="53">
        <v>43</v>
      </c>
      <c r="C53" s="58">
        <v>659.469970703125</v>
      </c>
      <c r="D53" s="59">
        <v>545873.8125</v>
      </c>
      <c r="E53" s="59">
        <v>0</v>
      </c>
      <c r="F53" s="59">
        <v>-87.10858154296875</v>
      </c>
      <c r="G53" s="42">
        <v>0</v>
      </c>
      <c r="H53" s="23"/>
      <c r="I53" s="23"/>
      <c r="J53" s="99"/>
      <c r="K53" s="99"/>
      <c r="L53" s="99"/>
      <c r="M53" s="99"/>
      <c r="N53" s="43">
        <f t="shared" si="0"/>
        <v>659.469970703125</v>
      </c>
      <c r="O53" s="43"/>
      <c r="P53" s="23"/>
      <c r="Q53" s="23"/>
    </row>
    <row r="54" spans="1:17">
      <c r="A54" s="23"/>
      <c r="B54" s="53">
        <v>44</v>
      </c>
      <c r="C54" s="58">
        <v>704.97601318359375</v>
      </c>
      <c r="D54" s="59">
        <v>510886.6875</v>
      </c>
      <c r="E54" s="59">
        <v>0</v>
      </c>
      <c r="F54" s="59">
        <v>-86.977706909179688</v>
      </c>
      <c r="G54" s="42">
        <v>0</v>
      </c>
      <c r="H54" s="23"/>
      <c r="I54" s="23"/>
      <c r="J54" s="99"/>
      <c r="K54" s="99"/>
      <c r="L54" s="99"/>
      <c r="M54" s="99"/>
      <c r="N54" s="43">
        <f t="shared" si="0"/>
        <v>704.97601318359375</v>
      </c>
      <c r="O54" s="43"/>
      <c r="P54" s="23"/>
      <c r="Q54" s="23"/>
    </row>
    <row r="55" spans="1:17">
      <c r="A55" s="23"/>
      <c r="B55" s="53">
        <v>45</v>
      </c>
      <c r="C55" s="58">
        <v>753.62200927734375</v>
      </c>
      <c r="D55" s="59">
        <v>478143.8125</v>
      </c>
      <c r="E55" s="59">
        <v>0</v>
      </c>
      <c r="F55" s="59">
        <v>-86.839866638183594</v>
      </c>
      <c r="G55" s="42">
        <v>0</v>
      </c>
      <c r="H55" s="23"/>
      <c r="I55" s="23"/>
      <c r="J55" s="99"/>
      <c r="K55" s="99"/>
      <c r="L55" s="99"/>
      <c r="M55" s="99"/>
      <c r="N55" s="43">
        <f t="shared" si="0"/>
        <v>753.62200927734375</v>
      </c>
      <c r="O55" s="43"/>
      <c r="P55" s="23"/>
      <c r="Q55" s="23"/>
    </row>
    <row r="56" spans="1:17">
      <c r="A56" s="23"/>
      <c r="B56" s="53">
        <v>46</v>
      </c>
      <c r="C56" s="58">
        <v>805.625</v>
      </c>
      <c r="D56" s="59">
        <v>447523.3125</v>
      </c>
      <c r="E56" s="59">
        <v>0</v>
      </c>
      <c r="F56" s="59">
        <v>-86.69403076171875</v>
      </c>
      <c r="G56" s="42">
        <v>0</v>
      </c>
      <c r="H56" s="23"/>
      <c r="I56" s="23"/>
      <c r="J56" s="99"/>
      <c r="K56" s="99"/>
      <c r="L56" s="99"/>
      <c r="M56" s="99"/>
      <c r="N56" s="43">
        <f t="shared" si="0"/>
        <v>805.625</v>
      </c>
      <c r="O56" s="43"/>
      <c r="P56" s="23"/>
      <c r="Q56" s="23"/>
    </row>
    <row r="57" spans="1:17">
      <c r="A57" s="23"/>
      <c r="B57" s="53">
        <v>47</v>
      </c>
      <c r="C57" s="58">
        <v>861.21697998046875</v>
      </c>
      <c r="D57" s="59">
        <v>418844.90625</v>
      </c>
      <c r="E57" s="59">
        <v>0</v>
      </c>
      <c r="F57" s="59">
        <v>-86.527519226074219</v>
      </c>
      <c r="G57" s="42">
        <v>0</v>
      </c>
      <c r="H57" s="23"/>
      <c r="I57" s="23"/>
      <c r="J57" s="99"/>
      <c r="K57" s="99"/>
      <c r="L57" s="99"/>
      <c r="M57" s="99"/>
      <c r="N57" s="43">
        <f t="shared" si="0"/>
        <v>861.21697998046875</v>
      </c>
      <c r="O57" s="43"/>
      <c r="P57" s="23"/>
      <c r="Q57" s="23"/>
    </row>
    <row r="58" spans="1:17">
      <c r="A58" s="23"/>
      <c r="B58" s="53">
        <v>48</v>
      </c>
      <c r="C58" s="58">
        <v>920.64398193359375</v>
      </c>
      <c r="D58" s="59">
        <v>392055.3125</v>
      </c>
      <c r="E58" s="59">
        <v>0</v>
      </c>
      <c r="F58" s="59">
        <v>-86.328346252441406</v>
      </c>
      <c r="G58" s="42">
        <v>0</v>
      </c>
      <c r="H58" s="23"/>
      <c r="I58" s="23"/>
      <c r="J58" s="99"/>
      <c r="K58" s="99"/>
      <c r="L58" s="99"/>
      <c r="M58" s="99"/>
      <c r="N58" s="43">
        <f t="shared" si="0"/>
        <v>920.64398193359375</v>
      </c>
      <c r="O58" s="43"/>
      <c r="P58" s="23"/>
      <c r="Q58" s="23"/>
    </row>
    <row r="59" spans="1:17">
      <c r="A59" s="23"/>
      <c r="B59" s="53">
        <v>49</v>
      </c>
      <c r="C59" s="58">
        <v>984.1719970703125</v>
      </c>
      <c r="D59" s="59">
        <v>366943.1875</v>
      </c>
      <c r="E59" s="59">
        <v>0</v>
      </c>
      <c r="F59" s="59">
        <v>-86.145057678222656</v>
      </c>
      <c r="G59" s="42">
        <v>0</v>
      </c>
      <c r="H59" s="23"/>
      <c r="I59" s="23"/>
      <c r="J59" s="99"/>
      <c r="K59" s="99"/>
      <c r="L59" s="99"/>
      <c r="M59" s="99"/>
      <c r="N59" s="43">
        <f t="shared" si="0"/>
        <v>984.1719970703125</v>
      </c>
      <c r="O59" s="43"/>
      <c r="P59" s="23"/>
      <c r="Q59" s="23"/>
    </row>
    <row r="60" spans="1:17">
      <c r="A60" s="23"/>
      <c r="B60" s="53">
        <v>50</v>
      </c>
      <c r="C60" s="58">
        <v>1052.083984375</v>
      </c>
      <c r="D60" s="59">
        <v>343512.8125</v>
      </c>
      <c r="E60" s="59">
        <v>0</v>
      </c>
      <c r="F60" s="59">
        <v>-85.942573547363281</v>
      </c>
      <c r="G60" s="42">
        <v>0</v>
      </c>
      <c r="H60" s="23"/>
      <c r="I60" s="23"/>
      <c r="J60" s="99"/>
      <c r="K60" s="99"/>
      <c r="L60" s="99"/>
      <c r="M60" s="99"/>
      <c r="N60" s="43">
        <f t="shared" si="0"/>
        <v>1052.083984375</v>
      </c>
      <c r="O60" s="43"/>
      <c r="P60" s="23"/>
      <c r="Q60" s="23"/>
    </row>
    <row r="61" spans="1:17">
      <c r="A61" s="23"/>
      <c r="B61" s="53">
        <v>51</v>
      </c>
      <c r="C61" s="58">
        <v>1124.6829833984375</v>
      </c>
      <c r="D61" s="59">
        <v>321542.3125</v>
      </c>
      <c r="E61" s="59">
        <v>0</v>
      </c>
      <c r="F61" s="59">
        <v>-85.723289489746094</v>
      </c>
      <c r="G61" s="42">
        <v>0</v>
      </c>
      <c r="H61" s="23"/>
      <c r="I61" s="23"/>
      <c r="J61" s="99"/>
      <c r="K61" s="99"/>
      <c r="L61" s="99"/>
      <c r="M61" s="99"/>
      <c r="N61" s="43">
        <f t="shared" si="0"/>
        <v>1124.6829833984375</v>
      </c>
      <c r="O61" s="43"/>
      <c r="P61" s="23"/>
      <c r="Q61" s="23"/>
    </row>
    <row r="62" spans="1:17">
      <c r="A62" s="23"/>
      <c r="B62" s="53">
        <v>52</v>
      </c>
      <c r="C62" s="58">
        <v>1202.2900390625</v>
      </c>
      <c r="D62" s="59">
        <v>301031.40625</v>
      </c>
      <c r="E62" s="59">
        <v>0</v>
      </c>
      <c r="F62" s="59">
        <v>-85.490249633789063</v>
      </c>
      <c r="G62" s="42">
        <v>0</v>
      </c>
      <c r="H62" s="23"/>
      <c r="I62" s="23"/>
      <c r="J62" s="99"/>
      <c r="K62" s="99"/>
      <c r="L62" s="99"/>
      <c r="M62" s="99"/>
      <c r="N62" s="43">
        <f t="shared" si="0"/>
        <v>1202.2900390625</v>
      </c>
      <c r="O62" s="43"/>
      <c r="P62" s="23"/>
      <c r="Q62" s="23"/>
    </row>
    <row r="63" spans="1:17">
      <c r="A63" s="23"/>
      <c r="B63" s="53">
        <v>53</v>
      </c>
      <c r="C63" s="58">
        <v>1285.2540283203125</v>
      </c>
      <c r="D63" s="59">
        <v>281837.5</v>
      </c>
      <c r="E63" s="59">
        <v>0</v>
      </c>
      <c r="F63" s="59">
        <v>-85.225822448730469</v>
      </c>
      <c r="G63" s="42">
        <v>0</v>
      </c>
      <c r="H63" s="23"/>
      <c r="I63" s="23"/>
      <c r="J63" s="99"/>
      <c r="K63" s="99"/>
      <c r="L63" s="99"/>
      <c r="M63" s="99"/>
      <c r="N63" s="43">
        <f t="shared" si="0"/>
        <v>1285.2540283203125</v>
      </c>
      <c r="O63" s="43"/>
      <c r="P63" s="23"/>
      <c r="Q63" s="23"/>
    </row>
    <row r="64" spans="1:17">
      <c r="A64" s="23"/>
      <c r="B64" s="53">
        <v>54</v>
      </c>
      <c r="C64" s="58">
        <v>1373.9410400390625</v>
      </c>
      <c r="D64" s="59">
        <v>263861.1875</v>
      </c>
      <c r="E64" s="59">
        <v>0</v>
      </c>
      <c r="F64" s="59">
        <v>-84.962509155273438</v>
      </c>
      <c r="G64" s="42">
        <v>0</v>
      </c>
      <c r="H64" s="23"/>
      <c r="I64" s="23"/>
      <c r="J64" s="99"/>
      <c r="K64" s="99"/>
      <c r="L64" s="99"/>
      <c r="M64" s="99"/>
      <c r="N64" s="43">
        <f t="shared" si="0"/>
        <v>1373.9410400390625</v>
      </c>
      <c r="O64" s="43"/>
      <c r="P64" s="23"/>
      <c r="Q64" s="23"/>
    </row>
    <row r="65" spans="1:17">
      <c r="A65" s="23"/>
      <c r="B65" s="53">
        <v>55</v>
      </c>
      <c r="C65" s="58">
        <v>1468.7490234375</v>
      </c>
      <c r="D65" s="59">
        <v>247013.5</v>
      </c>
      <c r="E65" s="59">
        <v>0</v>
      </c>
      <c r="F65" s="59">
        <v>-84.651840209960938</v>
      </c>
      <c r="G65" s="42">
        <v>0</v>
      </c>
      <c r="H65" s="23"/>
      <c r="I65" s="23"/>
      <c r="J65" s="99"/>
      <c r="K65" s="99"/>
      <c r="L65" s="99"/>
      <c r="M65" s="99"/>
      <c r="N65" s="43">
        <f t="shared" si="0"/>
        <v>1468.7490234375</v>
      </c>
      <c r="O65" s="43"/>
      <c r="P65" s="23"/>
      <c r="Q65" s="23"/>
    </row>
    <row r="66" spans="1:17">
      <c r="A66" s="23"/>
      <c r="B66" s="53">
        <v>56</v>
      </c>
      <c r="C66" s="58">
        <v>1570.0989990234375</v>
      </c>
      <c r="D66" s="59">
        <v>231274.296875</v>
      </c>
      <c r="E66" s="59">
        <v>0</v>
      </c>
      <c r="F66" s="59">
        <v>-84.341552734375</v>
      </c>
      <c r="G66" s="42">
        <v>0</v>
      </c>
      <c r="H66" s="23"/>
      <c r="I66" s="23"/>
      <c r="J66" s="99"/>
      <c r="K66" s="99"/>
      <c r="L66" s="99"/>
      <c r="M66" s="99"/>
      <c r="N66" s="43">
        <f t="shared" si="0"/>
        <v>1570.0989990234375</v>
      </c>
      <c r="O66" s="43"/>
      <c r="P66" s="23"/>
      <c r="Q66" s="23"/>
    </row>
    <row r="67" spans="1:17">
      <c r="A67" s="23"/>
      <c r="B67" s="53">
        <v>57</v>
      </c>
      <c r="C67" s="58">
        <v>1678.4420166015625</v>
      </c>
      <c r="D67" s="59">
        <v>216559</v>
      </c>
      <c r="E67" s="59">
        <v>0</v>
      </c>
      <c r="F67" s="59">
        <v>-84.013702392578125</v>
      </c>
      <c r="G67" s="42">
        <v>0</v>
      </c>
      <c r="H67" s="23"/>
      <c r="I67" s="23"/>
      <c r="J67" s="99"/>
      <c r="K67" s="99"/>
      <c r="L67" s="99"/>
      <c r="M67" s="99"/>
      <c r="N67" s="43">
        <f t="shared" si="0"/>
        <v>1678.4420166015625</v>
      </c>
      <c r="O67" s="43"/>
      <c r="P67" s="23"/>
      <c r="Q67" s="23"/>
    </row>
    <row r="68" spans="1:17">
      <c r="A68" s="23"/>
      <c r="B68" s="53">
        <v>58</v>
      </c>
      <c r="C68" s="58">
        <v>1794.261962890625</v>
      </c>
      <c r="D68" s="59">
        <v>202814.796875</v>
      </c>
      <c r="E68" s="59">
        <v>0</v>
      </c>
      <c r="F68" s="59">
        <v>-83.662986755371094</v>
      </c>
      <c r="G68" s="42">
        <v>0</v>
      </c>
      <c r="H68" s="23"/>
      <c r="I68" s="23"/>
      <c r="J68" s="99"/>
      <c r="K68" s="99"/>
      <c r="L68" s="99"/>
      <c r="M68" s="99"/>
      <c r="N68" s="43">
        <f t="shared" si="0"/>
        <v>1794.261962890625</v>
      </c>
      <c r="O68" s="43"/>
      <c r="P68" s="23"/>
      <c r="Q68" s="23"/>
    </row>
    <row r="69" spans="1:17">
      <c r="A69" s="23"/>
      <c r="B69" s="53">
        <v>59</v>
      </c>
      <c r="C69" s="58">
        <v>1918.072998046875</v>
      </c>
      <c r="D69" s="59">
        <v>189934.90625</v>
      </c>
      <c r="E69" s="59">
        <v>0</v>
      </c>
      <c r="F69" s="59">
        <v>-83.277572631835938</v>
      </c>
      <c r="G69" s="42">
        <v>0</v>
      </c>
      <c r="H69" s="23"/>
      <c r="I69" s="23"/>
      <c r="J69" s="99"/>
      <c r="K69" s="99"/>
      <c r="L69" s="99"/>
      <c r="M69" s="99"/>
      <c r="N69" s="43">
        <f t="shared" si="0"/>
        <v>1918.072998046875</v>
      </c>
      <c r="O69" s="43"/>
      <c r="P69" s="23"/>
      <c r="Q69" s="23"/>
    </row>
    <row r="70" spans="1:17">
      <c r="A70" s="23"/>
      <c r="B70" s="53">
        <v>60</v>
      </c>
      <c r="C70" s="58">
        <v>2050.427978515625</v>
      </c>
      <c r="D70" s="59">
        <v>177895.5</v>
      </c>
      <c r="E70" s="59">
        <v>0</v>
      </c>
      <c r="F70" s="59">
        <v>-82.883209228515625</v>
      </c>
      <c r="G70" s="42">
        <v>0</v>
      </c>
      <c r="H70" s="23"/>
      <c r="I70" s="23"/>
      <c r="J70" s="99"/>
      <c r="K70" s="99"/>
      <c r="L70" s="99"/>
      <c r="M70" s="99"/>
      <c r="N70" s="43">
        <f t="shared" si="0"/>
        <v>2050.427978515625</v>
      </c>
      <c r="O70" s="43"/>
      <c r="P70" s="23"/>
      <c r="Q70" s="23"/>
    </row>
    <row r="71" spans="1:17">
      <c r="A71" s="23"/>
      <c r="B71" s="53">
        <v>61</v>
      </c>
      <c r="C71" s="58">
        <v>2191.916015625</v>
      </c>
      <c r="D71" s="59">
        <v>166654.90625</v>
      </c>
      <c r="E71" s="59">
        <v>0</v>
      </c>
      <c r="F71" s="59">
        <v>-82.450042724609375</v>
      </c>
      <c r="G71" s="42">
        <v>0</v>
      </c>
      <c r="H71" s="23"/>
      <c r="I71" s="23"/>
      <c r="J71" s="99"/>
      <c r="K71" s="99"/>
      <c r="L71" s="99"/>
      <c r="M71" s="99"/>
      <c r="N71" s="43">
        <f t="shared" si="0"/>
        <v>2191.916015625</v>
      </c>
      <c r="O71" s="43"/>
      <c r="P71" s="23"/>
      <c r="Q71" s="23"/>
    </row>
    <row r="72" spans="1:17">
      <c r="A72" s="23"/>
      <c r="B72" s="53">
        <v>62</v>
      </c>
      <c r="C72" s="58">
        <v>2343.16796875</v>
      </c>
      <c r="D72" s="59">
        <v>156140.796875</v>
      </c>
      <c r="E72" s="59">
        <v>0</v>
      </c>
      <c r="F72" s="59">
        <v>-81.98046875</v>
      </c>
      <c r="G72" s="42">
        <v>0</v>
      </c>
      <c r="H72" s="23"/>
      <c r="I72" s="23"/>
      <c r="J72" s="99"/>
      <c r="K72" s="99"/>
      <c r="L72" s="99"/>
      <c r="M72" s="99"/>
      <c r="N72" s="43">
        <f t="shared" si="0"/>
        <v>2343.16796875</v>
      </c>
      <c r="O72" s="43"/>
      <c r="P72" s="23"/>
      <c r="Q72" s="23"/>
    </row>
    <row r="73" spans="1:17">
      <c r="A73" s="23"/>
      <c r="B73" s="53">
        <v>63</v>
      </c>
      <c r="C73" s="58">
        <v>2504.85595703125</v>
      </c>
      <c r="D73" s="59">
        <v>146307</v>
      </c>
      <c r="E73" s="59">
        <v>0</v>
      </c>
      <c r="F73" s="59">
        <v>-81.491081237792969</v>
      </c>
      <c r="G73" s="42">
        <v>0</v>
      </c>
      <c r="H73" s="23"/>
      <c r="I73" s="23"/>
      <c r="J73" s="99"/>
      <c r="K73" s="99"/>
      <c r="L73" s="99"/>
      <c r="M73" s="99"/>
      <c r="N73" s="43">
        <f t="shared" si="0"/>
        <v>2504.85595703125</v>
      </c>
      <c r="O73" s="43"/>
      <c r="P73" s="23"/>
      <c r="Q73" s="23"/>
    </row>
    <row r="74" spans="1:17">
      <c r="A74" s="23"/>
      <c r="B74" s="53">
        <v>64</v>
      </c>
      <c r="C74" s="58">
        <v>2677.701904296875</v>
      </c>
      <c r="D74" s="59">
        <v>137106.5</v>
      </c>
      <c r="E74" s="59">
        <v>0</v>
      </c>
      <c r="F74" s="59">
        <v>-80.967849731445313</v>
      </c>
      <c r="G74" s="42">
        <v>0</v>
      </c>
      <c r="H74" s="23"/>
      <c r="I74" s="23"/>
      <c r="J74" s="99"/>
      <c r="K74" s="99"/>
      <c r="L74" s="99"/>
      <c r="M74" s="99"/>
      <c r="N74" s="43">
        <f t="shared" si="0"/>
        <v>2677.701904296875</v>
      </c>
      <c r="O74" s="43"/>
      <c r="P74" s="23"/>
      <c r="Q74" s="23"/>
    </row>
    <row r="75" spans="1:17">
      <c r="A75" s="23"/>
      <c r="B75" s="53">
        <v>65</v>
      </c>
      <c r="C75" s="58">
        <v>2862.47412109375</v>
      </c>
      <c r="D75" s="59">
        <v>128526.296875</v>
      </c>
      <c r="E75" s="59">
        <v>0</v>
      </c>
      <c r="F75" s="59">
        <v>-80.409149169921875</v>
      </c>
      <c r="G75" s="42">
        <v>0</v>
      </c>
      <c r="H75" s="23"/>
      <c r="I75" s="23"/>
      <c r="J75" s="99"/>
      <c r="K75" s="99"/>
      <c r="L75" s="99"/>
      <c r="M75" s="99"/>
      <c r="N75" s="43">
        <f t="shared" ref="N75:N138" si="1">IF($L$4=$C$10,C75,IF(D75="","",B75))</f>
        <v>2862.47412109375</v>
      </c>
      <c r="O75" s="43"/>
      <c r="P75" s="23"/>
      <c r="Q75" s="23"/>
    </row>
    <row r="76" spans="1:17">
      <c r="A76" s="23"/>
      <c r="B76" s="53">
        <v>66</v>
      </c>
      <c r="C76" s="58">
        <v>3059.9970703125</v>
      </c>
      <c r="D76" s="59">
        <v>120513.5</v>
      </c>
      <c r="E76" s="59">
        <v>0</v>
      </c>
      <c r="F76" s="59">
        <v>-79.8194580078125</v>
      </c>
      <c r="G76" s="42">
        <v>0</v>
      </c>
      <c r="H76" s="23"/>
      <c r="I76" s="23"/>
      <c r="J76" s="99"/>
      <c r="K76" s="99"/>
      <c r="L76" s="99"/>
      <c r="M76" s="99"/>
      <c r="N76" s="43">
        <f t="shared" si="1"/>
        <v>3059.9970703125</v>
      </c>
      <c r="O76" s="43"/>
      <c r="P76" s="23"/>
      <c r="Q76" s="23"/>
    </row>
    <row r="77" spans="1:17">
      <c r="A77" s="23"/>
      <c r="B77" s="53">
        <v>67</v>
      </c>
      <c r="C77" s="58">
        <v>3271.14990234375</v>
      </c>
      <c r="D77" s="59">
        <v>113010.203125</v>
      </c>
      <c r="E77" s="59">
        <v>0</v>
      </c>
      <c r="F77" s="59">
        <v>-79.182243347167969</v>
      </c>
      <c r="G77" s="42">
        <v>0</v>
      </c>
      <c r="H77" s="23"/>
      <c r="I77" s="23"/>
      <c r="J77" s="99"/>
      <c r="K77" s="99"/>
      <c r="L77" s="99"/>
      <c r="M77" s="99"/>
      <c r="N77" s="43">
        <f t="shared" si="1"/>
        <v>3271.14990234375</v>
      </c>
      <c r="O77" s="43"/>
      <c r="P77" s="23"/>
      <c r="Q77" s="23"/>
    </row>
    <row r="78" spans="1:17">
      <c r="A78" s="23"/>
      <c r="B78" s="53">
        <v>68</v>
      </c>
      <c r="C78" s="58">
        <v>3496.8720703125</v>
      </c>
      <c r="D78" s="59">
        <v>106013.5</v>
      </c>
      <c r="E78" s="59">
        <v>0</v>
      </c>
      <c r="F78" s="59">
        <v>-78.506370544433594</v>
      </c>
      <c r="G78" s="42">
        <v>0</v>
      </c>
      <c r="H78" s="23"/>
      <c r="I78" s="23"/>
      <c r="J78" s="99"/>
      <c r="K78" s="99"/>
      <c r="L78" s="99"/>
      <c r="M78" s="99"/>
      <c r="N78" s="43">
        <f t="shared" si="1"/>
        <v>3496.8720703125</v>
      </c>
      <c r="O78" s="43"/>
      <c r="P78" s="23"/>
      <c r="Q78" s="23"/>
    </row>
    <row r="79" spans="1:17">
      <c r="A79" s="23"/>
      <c r="B79" s="53">
        <v>69</v>
      </c>
      <c r="C79" s="58">
        <v>3738.1708984375</v>
      </c>
      <c r="D79" s="59">
        <v>99486.3125</v>
      </c>
      <c r="E79" s="59">
        <v>0</v>
      </c>
      <c r="F79" s="59">
        <v>-77.785469055175781</v>
      </c>
      <c r="G79" s="42">
        <v>0</v>
      </c>
      <c r="H79" s="23"/>
      <c r="I79" s="23"/>
      <c r="J79" s="99"/>
      <c r="K79" s="99"/>
      <c r="L79" s="99"/>
      <c r="M79" s="99"/>
      <c r="N79" s="43">
        <f t="shared" si="1"/>
        <v>3738.1708984375</v>
      </c>
      <c r="O79" s="43"/>
      <c r="P79" s="23"/>
      <c r="Q79" s="23"/>
    </row>
    <row r="80" spans="1:17">
      <c r="A80" s="23"/>
      <c r="B80" s="53">
        <v>70</v>
      </c>
      <c r="C80" s="58">
        <v>3996.12109375</v>
      </c>
      <c r="D80" s="59">
        <v>93388.3515625</v>
      </c>
      <c r="E80" s="59">
        <v>0</v>
      </c>
      <c r="F80" s="59">
        <v>-77.019012451171875</v>
      </c>
      <c r="G80" s="42">
        <v>0</v>
      </c>
      <c r="H80" s="23"/>
      <c r="I80" s="23"/>
      <c r="J80" s="99"/>
      <c r="K80" s="99"/>
      <c r="L80" s="99"/>
      <c r="M80" s="99"/>
      <c r="N80" s="43">
        <f t="shared" si="1"/>
        <v>3996.12109375</v>
      </c>
      <c r="O80" s="43"/>
      <c r="P80" s="23"/>
      <c r="Q80" s="23"/>
    </row>
    <row r="81" spans="1:17">
      <c r="A81" s="23"/>
      <c r="B81" s="53">
        <v>71</v>
      </c>
      <c r="C81" s="58">
        <v>4271.8701171875</v>
      </c>
      <c r="D81" s="59">
        <v>87690.0234375</v>
      </c>
      <c r="E81" s="59">
        <v>0</v>
      </c>
      <c r="F81" s="59">
        <v>-76.203086853027344</v>
      </c>
      <c r="G81" s="42">
        <v>0</v>
      </c>
      <c r="H81" s="23"/>
      <c r="I81" s="23"/>
      <c r="J81" s="99"/>
      <c r="K81" s="99"/>
      <c r="L81" s="99"/>
      <c r="M81" s="99"/>
      <c r="N81" s="43">
        <f t="shared" si="1"/>
        <v>4271.8701171875</v>
      </c>
      <c r="O81" s="43"/>
      <c r="P81" s="23"/>
      <c r="Q81" s="23"/>
    </row>
    <row r="82" spans="1:17">
      <c r="A82" s="23"/>
      <c r="B82" s="53">
        <v>72</v>
      </c>
      <c r="C82" s="58">
        <v>4566.64697265625</v>
      </c>
      <c r="D82" s="59">
        <v>82384.703125</v>
      </c>
      <c r="E82" s="59">
        <v>0</v>
      </c>
      <c r="F82" s="59">
        <v>-75.342536926269531</v>
      </c>
      <c r="G82" s="42">
        <v>0</v>
      </c>
      <c r="H82" s="23"/>
      <c r="I82" s="23"/>
      <c r="J82" s="99"/>
      <c r="K82" s="99"/>
      <c r="L82" s="99"/>
      <c r="M82" s="99"/>
      <c r="N82" s="43">
        <f t="shared" si="1"/>
        <v>4566.64697265625</v>
      </c>
      <c r="O82" s="43"/>
      <c r="P82" s="23"/>
      <c r="Q82" s="23"/>
    </row>
    <row r="83" spans="1:17">
      <c r="A83" s="23"/>
      <c r="B83" s="53">
        <v>73</v>
      </c>
      <c r="C83" s="58">
        <v>4881.76416015625</v>
      </c>
      <c r="D83" s="59">
        <v>77432.6875</v>
      </c>
      <c r="E83" s="59">
        <v>0</v>
      </c>
      <c r="F83" s="59">
        <v>-74.428520202636719</v>
      </c>
      <c r="G83" s="42">
        <v>0</v>
      </c>
      <c r="H83" s="23"/>
      <c r="I83" s="23"/>
      <c r="J83" s="99"/>
      <c r="K83" s="99"/>
      <c r="L83" s="99"/>
      <c r="M83" s="99"/>
      <c r="N83" s="43">
        <f t="shared" si="1"/>
        <v>4881.76416015625</v>
      </c>
      <c r="O83" s="43"/>
      <c r="P83" s="23"/>
      <c r="Q83" s="23"/>
    </row>
    <row r="84" spans="1:17">
      <c r="A84" s="23"/>
      <c r="B84" s="53">
        <v>74</v>
      </c>
      <c r="C84" s="58">
        <v>5218.6259765625</v>
      </c>
      <c r="D84" s="59">
        <v>72825.828125</v>
      </c>
      <c r="E84" s="59">
        <v>0</v>
      </c>
      <c r="F84" s="59">
        <v>-73.464218139648438</v>
      </c>
      <c r="G84" s="42">
        <v>0</v>
      </c>
      <c r="H84" s="23"/>
      <c r="I84" s="23"/>
      <c r="J84" s="99"/>
      <c r="K84" s="99"/>
      <c r="L84" s="99"/>
      <c r="M84" s="99"/>
      <c r="N84" s="43">
        <f t="shared" si="1"/>
        <v>5218.6259765625</v>
      </c>
      <c r="O84" s="43"/>
      <c r="P84" s="23"/>
      <c r="Q84" s="23"/>
    </row>
    <row r="85" spans="1:17">
      <c r="A85" s="23"/>
      <c r="B85" s="53">
        <v>75</v>
      </c>
      <c r="C85" s="58">
        <v>5578.73291015625</v>
      </c>
      <c r="D85" s="59">
        <v>68533.6875</v>
      </c>
      <c r="E85" s="59">
        <v>0</v>
      </c>
      <c r="F85" s="59">
        <v>-72.442863464355469</v>
      </c>
      <c r="G85" s="42">
        <v>0</v>
      </c>
      <c r="H85" s="23"/>
      <c r="I85" s="23"/>
      <c r="J85" s="99"/>
      <c r="K85" s="99"/>
      <c r="L85" s="99"/>
      <c r="M85" s="99"/>
      <c r="N85" s="43">
        <f t="shared" si="1"/>
        <v>5578.73291015625</v>
      </c>
      <c r="O85" s="43"/>
      <c r="P85" s="23"/>
      <c r="Q85" s="23"/>
    </row>
    <row r="86" spans="1:17">
      <c r="A86" s="23"/>
      <c r="B86" s="53">
        <v>76</v>
      </c>
      <c r="C86" s="58">
        <v>5963.68896484375</v>
      </c>
      <c r="D86" s="59">
        <v>64539.48046875</v>
      </c>
      <c r="E86" s="59">
        <v>0</v>
      </c>
      <c r="F86" s="59">
        <v>-71.359573364257813</v>
      </c>
      <c r="G86" s="42">
        <v>0</v>
      </c>
      <c r="H86" s="23"/>
      <c r="I86" s="23"/>
      <c r="J86" s="99"/>
      <c r="K86" s="99"/>
      <c r="L86" s="99"/>
      <c r="M86" s="99"/>
      <c r="N86" s="43">
        <f t="shared" si="1"/>
        <v>5963.68896484375</v>
      </c>
      <c r="O86" s="43"/>
      <c r="P86" s="23"/>
      <c r="Q86" s="23"/>
    </row>
    <row r="87" spans="1:17">
      <c r="A87" s="23"/>
      <c r="B87" s="53">
        <v>77</v>
      </c>
      <c r="C87" s="58">
        <v>6375.208984375</v>
      </c>
      <c r="D87" s="59">
        <v>60822.25</v>
      </c>
      <c r="E87" s="59">
        <v>0</v>
      </c>
      <c r="F87" s="59">
        <v>-70.220466613769531</v>
      </c>
      <c r="G87" s="42">
        <v>0</v>
      </c>
      <c r="H87" s="23"/>
      <c r="I87" s="23"/>
      <c r="J87" s="99"/>
      <c r="K87" s="99"/>
      <c r="L87" s="99"/>
      <c r="M87" s="99"/>
      <c r="N87" s="43">
        <f t="shared" si="1"/>
        <v>6375.208984375</v>
      </c>
      <c r="O87" s="43"/>
      <c r="P87" s="23"/>
      <c r="Q87" s="23"/>
    </row>
    <row r="88" spans="1:17">
      <c r="A88" s="23"/>
      <c r="B88" s="53">
        <v>78</v>
      </c>
      <c r="C88" s="58">
        <v>6815.125</v>
      </c>
      <c r="D88" s="59">
        <v>57365.55078125</v>
      </c>
      <c r="E88" s="59">
        <v>0</v>
      </c>
      <c r="F88" s="59">
        <v>-69.016036987304688</v>
      </c>
      <c r="G88" s="42">
        <v>0</v>
      </c>
      <c r="H88" s="23"/>
      <c r="I88" s="23"/>
      <c r="J88" s="99"/>
      <c r="K88" s="99"/>
      <c r="L88" s="99"/>
      <c r="M88" s="99"/>
      <c r="N88" s="43">
        <f t="shared" si="1"/>
        <v>6815.125</v>
      </c>
      <c r="O88" s="43"/>
      <c r="P88" s="23"/>
      <c r="Q88" s="23"/>
    </row>
    <row r="89" spans="1:17">
      <c r="A89" s="23"/>
      <c r="B89" s="53">
        <v>79</v>
      </c>
      <c r="C89" s="58">
        <v>7285.39697265625</v>
      </c>
      <c r="D89" s="59">
        <v>54164.12890625</v>
      </c>
      <c r="E89" s="59">
        <v>0</v>
      </c>
      <c r="F89" s="59">
        <v>-67.751983642578125</v>
      </c>
      <c r="G89" s="42">
        <v>0</v>
      </c>
      <c r="H89" s="23"/>
      <c r="I89" s="23"/>
      <c r="J89" s="99"/>
      <c r="K89" s="99"/>
      <c r="L89" s="99"/>
      <c r="M89" s="99"/>
      <c r="N89" s="43">
        <f t="shared" si="1"/>
        <v>7285.39697265625</v>
      </c>
      <c r="O89" s="43"/>
      <c r="P89" s="23"/>
      <c r="Q89" s="23"/>
    </row>
    <row r="90" spans="1:17">
      <c r="A90" s="23"/>
      <c r="B90" s="53">
        <v>80</v>
      </c>
      <c r="C90" s="58">
        <v>7788.119140625</v>
      </c>
      <c r="D90" s="59">
        <v>51188.19140625</v>
      </c>
      <c r="E90" s="59">
        <v>0</v>
      </c>
      <c r="F90" s="59">
        <v>-66.426567077636719</v>
      </c>
      <c r="G90" s="42">
        <v>0</v>
      </c>
      <c r="H90" s="23"/>
      <c r="I90" s="23"/>
      <c r="J90" s="99"/>
      <c r="K90" s="99"/>
      <c r="L90" s="99"/>
      <c r="M90" s="99"/>
      <c r="N90" s="43">
        <f t="shared" si="1"/>
        <v>7788.119140625</v>
      </c>
      <c r="O90" s="43"/>
      <c r="P90" s="23"/>
      <c r="Q90" s="23"/>
    </row>
    <row r="91" spans="1:17">
      <c r="A91" s="23"/>
      <c r="B91" s="53">
        <v>81</v>
      </c>
      <c r="C91" s="58">
        <v>8325.5322265625</v>
      </c>
      <c r="D91" s="59">
        <v>48435.578125</v>
      </c>
      <c r="E91" s="59">
        <v>0</v>
      </c>
      <c r="F91" s="59">
        <v>-65.0438232421875</v>
      </c>
      <c r="G91" s="42">
        <v>0</v>
      </c>
      <c r="H91" s="23"/>
      <c r="I91" s="23"/>
      <c r="J91" s="99"/>
      <c r="K91" s="99"/>
      <c r="L91" s="99"/>
      <c r="M91" s="99"/>
      <c r="N91" s="43">
        <f t="shared" si="1"/>
        <v>8325.5322265625</v>
      </c>
      <c r="O91" s="43"/>
      <c r="P91" s="23"/>
      <c r="Q91" s="23"/>
    </row>
    <row r="92" spans="1:17">
      <c r="A92" s="23"/>
      <c r="B92" s="53">
        <v>82</v>
      </c>
      <c r="C92" s="58">
        <v>8900.029296875</v>
      </c>
      <c r="D92" s="59">
        <v>45893.83984375</v>
      </c>
      <c r="E92" s="59">
        <v>0</v>
      </c>
      <c r="F92" s="59">
        <v>-63.601669311523438</v>
      </c>
      <c r="G92" s="42">
        <v>0</v>
      </c>
      <c r="H92" s="23"/>
      <c r="I92" s="23"/>
      <c r="J92" s="99"/>
      <c r="K92" s="99"/>
      <c r="L92" s="99"/>
      <c r="M92" s="99"/>
      <c r="N92" s="43">
        <f t="shared" si="1"/>
        <v>8900.029296875</v>
      </c>
      <c r="O92" s="43"/>
      <c r="P92" s="23"/>
      <c r="Q92" s="23"/>
    </row>
    <row r="93" spans="1:17">
      <c r="A93" s="23"/>
      <c r="B93" s="53">
        <v>83</v>
      </c>
      <c r="C93" s="58">
        <v>9514.16796875</v>
      </c>
      <c r="D93" s="59">
        <v>43544.5390625</v>
      </c>
      <c r="E93" s="59">
        <v>0</v>
      </c>
      <c r="F93" s="59">
        <v>-62.1090087890625</v>
      </c>
      <c r="G93" s="42">
        <v>0</v>
      </c>
      <c r="H93" s="23"/>
      <c r="I93" s="23"/>
      <c r="J93" s="99"/>
      <c r="K93" s="99"/>
      <c r="L93" s="99"/>
      <c r="M93" s="99"/>
      <c r="N93" s="43">
        <f t="shared" si="1"/>
        <v>9514.16796875</v>
      </c>
      <c r="O93" s="43"/>
      <c r="P93" s="23"/>
      <c r="Q93" s="23"/>
    </row>
    <row r="94" spans="1:17">
      <c r="A94" s="23"/>
      <c r="B94" s="53">
        <v>84</v>
      </c>
      <c r="C94" s="58">
        <v>10170.6845703125</v>
      </c>
      <c r="D94" s="59">
        <v>41366.421875</v>
      </c>
      <c r="E94" s="59">
        <v>0</v>
      </c>
      <c r="F94" s="59">
        <v>-60.544570922851563</v>
      </c>
      <c r="G94" s="42">
        <v>0</v>
      </c>
      <c r="H94" s="23"/>
      <c r="I94" s="23"/>
      <c r="J94" s="99"/>
      <c r="K94" s="99"/>
      <c r="L94" s="99"/>
      <c r="M94" s="99"/>
      <c r="N94" s="43">
        <f t="shared" si="1"/>
        <v>10170.6845703125</v>
      </c>
      <c r="O94" s="43"/>
      <c r="P94" s="23"/>
      <c r="Q94" s="23"/>
    </row>
    <row r="95" spans="1:17">
      <c r="A95" s="23"/>
      <c r="B95" s="53">
        <v>85</v>
      </c>
      <c r="C95" s="58">
        <v>10872.5048828125</v>
      </c>
      <c r="D95" s="59">
        <v>39370.109375</v>
      </c>
      <c r="E95" s="59">
        <v>0</v>
      </c>
      <c r="F95" s="59">
        <v>-58.923240661621094</v>
      </c>
      <c r="G95" s="42">
        <v>0</v>
      </c>
      <c r="H95" s="23"/>
      <c r="I95" s="23"/>
      <c r="J95" s="99"/>
      <c r="K95" s="99"/>
      <c r="L95" s="99"/>
      <c r="M95" s="99"/>
      <c r="N95" s="43">
        <f t="shared" si="1"/>
        <v>10872.5048828125</v>
      </c>
      <c r="O95" s="43"/>
      <c r="P95" s="23"/>
      <c r="Q95" s="23"/>
    </row>
    <row r="96" spans="1:17">
      <c r="A96" s="23"/>
      <c r="B96" s="53">
        <v>86</v>
      </c>
      <c r="C96" s="58">
        <v>11622.7529296875</v>
      </c>
      <c r="D96" s="59">
        <v>37526.19921875</v>
      </c>
      <c r="E96" s="59">
        <v>0</v>
      </c>
      <c r="F96" s="59">
        <v>-57.255680084228516</v>
      </c>
      <c r="G96" s="42">
        <v>0</v>
      </c>
      <c r="H96" s="23"/>
      <c r="I96" s="23"/>
      <c r="J96" s="99"/>
      <c r="K96" s="99"/>
      <c r="L96" s="99"/>
      <c r="M96" s="99"/>
      <c r="N96" s="43">
        <f t="shared" si="1"/>
        <v>11622.7529296875</v>
      </c>
      <c r="O96" s="43"/>
      <c r="P96" s="23"/>
      <c r="Q96" s="23"/>
    </row>
    <row r="97" spans="1:17">
      <c r="A97" s="23"/>
      <c r="B97" s="53">
        <v>87</v>
      </c>
      <c r="C97" s="58">
        <v>12424.771484375</v>
      </c>
      <c r="D97" s="59">
        <v>35832.2109375</v>
      </c>
      <c r="E97" s="59">
        <v>0</v>
      </c>
      <c r="F97" s="59">
        <v>-55.530048370361328</v>
      </c>
      <c r="G97" s="42">
        <v>0</v>
      </c>
      <c r="H97" s="23"/>
      <c r="I97" s="23"/>
      <c r="J97" s="99"/>
      <c r="K97" s="99"/>
      <c r="L97" s="99"/>
      <c r="M97" s="99"/>
      <c r="N97" s="43">
        <f t="shared" si="1"/>
        <v>12424.771484375</v>
      </c>
      <c r="O97" s="43"/>
      <c r="P97" s="23"/>
      <c r="Q97" s="23"/>
    </row>
    <row r="98" spans="1:17">
      <c r="A98" s="23"/>
      <c r="B98" s="53">
        <v>88</v>
      </c>
      <c r="C98" s="58">
        <v>13282.1318359375</v>
      </c>
      <c r="D98" s="59">
        <v>34282.4609375</v>
      </c>
      <c r="E98" s="59">
        <v>0</v>
      </c>
      <c r="F98" s="59">
        <v>-53.781349182128906</v>
      </c>
      <c r="G98" s="42">
        <v>0</v>
      </c>
      <c r="H98" s="23"/>
      <c r="I98" s="23"/>
      <c r="J98" s="99"/>
      <c r="K98" s="99"/>
      <c r="L98" s="99"/>
      <c r="M98" s="99"/>
      <c r="N98" s="43">
        <f t="shared" si="1"/>
        <v>13282.1318359375</v>
      </c>
      <c r="O98" s="43"/>
      <c r="P98" s="23"/>
      <c r="Q98" s="23"/>
    </row>
    <row r="99" spans="1:17">
      <c r="A99" s="23"/>
      <c r="B99" s="53">
        <v>89</v>
      </c>
      <c r="C99" s="58">
        <v>14198.6552734375</v>
      </c>
      <c r="D99" s="59">
        <v>32863.26171875</v>
      </c>
      <c r="E99" s="59">
        <v>0</v>
      </c>
      <c r="F99" s="59">
        <v>-51.985439300537109</v>
      </c>
      <c r="G99" s="42">
        <v>0</v>
      </c>
      <c r="H99" s="23"/>
      <c r="I99" s="23"/>
      <c r="J99" s="99"/>
      <c r="K99" s="99"/>
      <c r="L99" s="99"/>
      <c r="M99" s="99"/>
      <c r="N99" s="43">
        <f t="shared" si="1"/>
        <v>14198.6552734375</v>
      </c>
      <c r="O99" s="43"/>
      <c r="P99" s="23"/>
      <c r="Q99" s="23"/>
    </row>
    <row r="100" spans="1:17">
      <c r="A100" s="23"/>
      <c r="B100" s="53">
        <v>90</v>
      </c>
      <c r="C100" s="58">
        <v>15178.4208984375</v>
      </c>
      <c r="D100" s="59">
        <v>31563.060546875</v>
      </c>
      <c r="E100" s="59">
        <v>0</v>
      </c>
      <c r="F100" s="59">
        <v>-50.156940460205078</v>
      </c>
      <c r="G100" s="42">
        <v>0</v>
      </c>
      <c r="H100" s="23"/>
      <c r="I100" s="23"/>
      <c r="J100" s="99"/>
      <c r="K100" s="99"/>
      <c r="L100" s="99"/>
      <c r="M100" s="99"/>
      <c r="N100" s="43">
        <f t="shared" si="1"/>
        <v>15178.4208984375</v>
      </c>
      <c r="O100" s="43"/>
      <c r="P100" s="23"/>
      <c r="Q100" s="23"/>
    </row>
    <row r="101" spans="1:17">
      <c r="A101" s="23"/>
      <c r="B101" s="53">
        <v>91</v>
      </c>
      <c r="C101" s="58">
        <v>16225.7958984375</v>
      </c>
      <c r="D101" s="59">
        <v>30375.69921875</v>
      </c>
      <c r="E101" s="59">
        <v>0</v>
      </c>
      <c r="F101" s="59">
        <v>-48.305179595947266</v>
      </c>
      <c r="G101" s="42">
        <v>0</v>
      </c>
      <c r="H101" s="23"/>
      <c r="I101" s="23"/>
      <c r="J101" s="99"/>
      <c r="K101" s="99"/>
      <c r="L101" s="99"/>
      <c r="M101" s="99"/>
      <c r="N101" s="43">
        <f t="shared" si="1"/>
        <v>16225.7958984375</v>
      </c>
      <c r="O101" s="43"/>
      <c r="P101" s="23"/>
      <c r="Q101" s="23"/>
    </row>
    <row r="102" spans="1:17">
      <c r="A102" s="23"/>
      <c r="B102" s="53">
        <v>92</v>
      </c>
      <c r="C102" s="58">
        <v>17345.443359375</v>
      </c>
      <c r="D102" s="59">
        <v>29305.939453125</v>
      </c>
      <c r="E102" s="59">
        <v>0</v>
      </c>
      <c r="F102" s="59">
        <v>-46.456100463867188</v>
      </c>
      <c r="G102" s="42">
        <v>0</v>
      </c>
      <c r="H102" s="23"/>
      <c r="I102" s="23"/>
      <c r="J102" s="99"/>
      <c r="K102" s="99"/>
      <c r="L102" s="99"/>
      <c r="M102" s="99"/>
      <c r="N102" s="43">
        <f t="shared" si="1"/>
        <v>17345.443359375</v>
      </c>
      <c r="O102" s="43"/>
      <c r="P102" s="23"/>
      <c r="Q102" s="23"/>
    </row>
    <row r="103" spans="1:17">
      <c r="A103" s="23"/>
      <c r="B103" s="53">
        <v>93</v>
      </c>
      <c r="C103" s="58">
        <v>18542.3515625</v>
      </c>
      <c r="D103" s="59">
        <v>28328.640625</v>
      </c>
      <c r="E103" s="59">
        <v>0</v>
      </c>
      <c r="F103" s="59">
        <v>-44.594001770019531</v>
      </c>
      <c r="G103" s="42">
        <v>0</v>
      </c>
      <c r="H103" s="23"/>
      <c r="I103" s="23"/>
      <c r="J103" s="99"/>
      <c r="K103" s="99"/>
      <c r="L103" s="99"/>
      <c r="M103" s="99"/>
      <c r="N103" s="43">
        <f t="shared" si="1"/>
        <v>18542.3515625</v>
      </c>
      <c r="O103" s="43"/>
      <c r="P103" s="23"/>
      <c r="Q103" s="23"/>
    </row>
    <row r="104" spans="1:17">
      <c r="A104" s="23"/>
      <c r="B104" s="53">
        <v>94</v>
      </c>
      <c r="C104" s="58">
        <v>19821.8515625</v>
      </c>
      <c r="D104" s="59">
        <v>27445.4609375</v>
      </c>
      <c r="E104" s="59">
        <v>0</v>
      </c>
      <c r="F104" s="59">
        <v>-42.740810394287109</v>
      </c>
      <c r="G104" s="42">
        <v>0</v>
      </c>
      <c r="H104" s="23"/>
      <c r="I104" s="23"/>
      <c r="J104" s="99"/>
      <c r="K104" s="99"/>
      <c r="L104" s="99"/>
      <c r="M104" s="99"/>
      <c r="N104" s="43">
        <f t="shared" si="1"/>
        <v>19821.8515625</v>
      </c>
      <c r="O104" s="43"/>
      <c r="P104" s="23"/>
      <c r="Q104" s="23"/>
    </row>
    <row r="105" spans="1:17">
      <c r="A105" s="23"/>
      <c r="B105" s="53">
        <v>95</v>
      </c>
      <c r="C105" s="58">
        <v>21189.640625</v>
      </c>
      <c r="D105" s="59">
        <v>26648.279296875</v>
      </c>
      <c r="E105" s="59">
        <v>0</v>
      </c>
      <c r="F105" s="59">
        <v>-40.895759582519531</v>
      </c>
      <c r="G105" s="42">
        <v>0</v>
      </c>
      <c r="H105" s="23"/>
      <c r="I105" s="23"/>
      <c r="J105" s="99"/>
      <c r="K105" s="99"/>
      <c r="L105" s="99"/>
      <c r="M105" s="99"/>
      <c r="N105" s="43">
        <f t="shared" si="1"/>
        <v>21189.640625</v>
      </c>
      <c r="O105" s="43"/>
      <c r="P105" s="23"/>
      <c r="Q105" s="23"/>
    </row>
    <row r="106" spans="1:17">
      <c r="A106" s="23"/>
      <c r="B106" s="53">
        <v>96</v>
      </c>
      <c r="C106" s="58">
        <v>22651.814453125</v>
      </c>
      <c r="D106" s="59">
        <v>25927.759765625</v>
      </c>
      <c r="E106" s="59">
        <v>0</v>
      </c>
      <c r="F106" s="59">
        <v>-39.063140869140625</v>
      </c>
      <c r="G106" s="42">
        <v>0</v>
      </c>
      <c r="H106" s="23"/>
      <c r="I106" s="23"/>
      <c r="J106" s="99"/>
      <c r="K106" s="99"/>
      <c r="L106" s="99"/>
      <c r="M106" s="99"/>
      <c r="N106" s="43">
        <f t="shared" si="1"/>
        <v>22651.814453125</v>
      </c>
      <c r="O106" s="43"/>
      <c r="P106" s="23"/>
      <c r="Q106" s="23"/>
    </row>
    <row r="107" spans="1:17">
      <c r="A107" s="23"/>
      <c r="B107" s="53">
        <v>97</v>
      </c>
      <c r="C107" s="58">
        <v>24214.884765625</v>
      </c>
      <c r="D107" s="59">
        <v>25280.859375</v>
      </c>
      <c r="E107" s="59">
        <v>0</v>
      </c>
      <c r="F107" s="59">
        <v>-37.259368896484375</v>
      </c>
      <c r="G107" s="42">
        <v>0</v>
      </c>
      <c r="H107" s="23"/>
      <c r="I107" s="23"/>
      <c r="J107" s="99"/>
      <c r="K107" s="99"/>
      <c r="L107" s="99"/>
      <c r="M107" s="99"/>
      <c r="N107" s="43">
        <f t="shared" si="1"/>
        <v>24214.884765625</v>
      </c>
      <c r="O107" s="43"/>
      <c r="P107" s="23"/>
      <c r="Q107" s="23"/>
    </row>
    <row r="108" spans="1:17">
      <c r="A108" s="23"/>
      <c r="B108" s="53">
        <v>98</v>
      </c>
      <c r="C108" s="58">
        <v>25885.8125</v>
      </c>
      <c r="D108" s="59">
        <v>24697.830078125</v>
      </c>
      <c r="E108" s="59">
        <v>0</v>
      </c>
      <c r="F108" s="59">
        <v>-35.492511749267578</v>
      </c>
      <c r="G108" s="42">
        <v>0</v>
      </c>
      <c r="H108" s="23"/>
      <c r="I108" s="23"/>
      <c r="J108" s="99"/>
      <c r="K108" s="99"/>
      <c r="L108" s="99"/>
      <c r="M108" s="99"/>
      <c r="N108" s="43">
        <f t="shared" si="1"/>
        <v>25885.8125</v>
      </c>
      <c r="O108" s="43"/>
      <c r="P108" s="23"/>
      <c r="Q108" s="23"/>
    </row>
    <row r="109" spans="1:17">
      <c r="A109" s="23"/>
      <c r="B109" s="53">
        <v>99</v>
      </c>
      <c r="C109" s="58">
        <v>27672.041015625</v>
      </c>
      <c r="D109" s="59">
        <v>24175.150390625</v>
      </c>
      <c r="E109" s="59">
        <v>0</v>
      </c>
      <c r="F109" s="59">
        <v>-33.763370513916016</v>
      </c>
      <c r="G109" s="42">
        <v>0</v>
      </c>
      <c r="H109" s="23"/>
      <c r="I109" s="23"/>
      <c r="J109" s="99"/>
      <c r="K109" s="99"/>
      <c r="L109" s="99"/>
      <c r="M109" s="99"/>
      <c r="N109" s="43">
        <f t="shared" si="1"/>
        <v>27672.041015625</v>
      </c>
      <c r="O109" s="43"/>
      <c r="P109" s="23"/>
      <c r="Q109" s="23"/>
    </row>
    <row r="110" spans="1:17">
      <c r="A110" s="23"/>
      <c r="B110" s="53">
        <v>100</v>
      </c>
      <c r="C110" s="58">
        <v>29581.52734375</v>
      </c>
      <c r="D110" s="59">
        <v>23708.98046875</v>
      </c>
      <c r="E110" s="59">
        <v>0</v>
      </c>
      <c r="F110" s="59">
        <v>-32.088970184326172</v>
      </c>
      <c r="G110" s="42">
        <v>0</v>
      </c>
      <c r="H110" s="23"/>
      <c r="I110" s="23"/>
      <c r="J110" s="99"/>
      <c r="K110" s="99"/>
      <c r="L110" s="99"/>
      <c r="M110" s="99"/>
      <c r="N110" s="43">
        <f t="shared" si="1"/>
        <v>29581.52734375</v>
      </c>
      <c r="O110" s="43"/>
      <c r="P110" s="23"/>
      <c r="Q110" s="23"/>
    </row>
    <row r="111" spans="1:17">
      <c r="A111" s="23"/>
      <c r="B111" s="53">
        <v>101</v>
      </c>
      <c r="C111" s="58">
        <v>31622.77734375</v>
      </c>
      <c r="D111" s="59">
        <v>23290.970703125</v>
      </c>
      <c r="E111" s="59">
        <v>0</v>
      </c>
      <c r="F111" s="59">
        <v>-30.445169448852539</v>
      </c>
      <c r="G111" s="42">
        <v>0</v>
      </c>
      <c r="H111" s="23"/>
      <c r="I111" s="23"/>
      <c r="J111" s="99"/>
      <c r="K111" s="99"/>
      <c r="L111" s="99"/>
      <c r="M111" s="99"/>
      <c r="N111" s="43">
        <f t="shared" si="1"/>
        <v>31622.77734375</v>
      </c>
      <c r="O111" s="43"/>
      <c r="P111" s="23"/>
      <c r="Q111" s="23"/>
    </row>
    <row r="112" spans="1:17">
      <c r="A112" s="23"/>
      <c r="B112" s="53">
        <v>102</v>
      </c>
      <c r="C112" s="58">
        <v>33804.87890625</v>
      </c>
      <c r="D112" s="59">
        <v>22919.720703125</v>
      </c>
      <c r="E112" s="59">
        <v>0</v>
      </c>
      <c r="F112" s="59">
        <v>-28.869010925292969</v>
      </c>
      <c r="G112" s="42">
        <v>0</v>
      </c>
      <c r="H112" s="23"/>
      <c r="I112" s="23"/>
      <c r="J112" s="99"/>
      <c r="K112" s="99"/>
      <c r="L112" s="99"/>
      <c r="M112" s="99"/>
      <c r="N112" s="43">
        <f t="shared" si="1"/>
        <v>33804.87890625</v>
      </c>
      <c r="O112" s="43"/>
      <c r="P112" s="23"/>
      <c r="Q112" s="23"/>
    </row>
    <row r="113" spans="1:17">
      <c r="A113" s="23"/>
      <c r="B113" s="53">
        <v>103</v>
      </c>
      <c r="C113" s="58">
        <v>36137.55859375</v>
      </c>
      <c r="D113" s="59">
        <v>22588.640625</v>
      </c>
      <c r="E113" s="59">
        <v>0</v>
      </c>
      <c r="F113" s="59">
        <v>-27.342739105224609</v>
      </c>
      <c r="G113" s="42">
        <v>0</v>
      </c>
      <c r="H113" s="23"/>
      <c r="I113" s="23"/>
      <c r="J113" s="99"/>
      <c r="K113" s="99"/>
      <c r="L113" s="99"/>
      <c r="M113" s="99"/>
      <c r="N113" s="43">
        <f t="shared" si="1"/>
        <v>36137.55859375</v>
      </c>
      <c r="O113" s="43"/>
      <c r="P113" s="23"/>
      <c r="Q113" s="23"/>
    </row>
    <row r="114" spans="1:17">
      <c r="A114" s="23"/>
      <c r="B114" s="53">
        <v>104</v>
      </c>
      <c r="C114" s="58">
        <v>38631.19921875</v>
      </c>
      <c r="D114" s="59">
        <v>22291.349609375</v>
      </c>
      <c r="E114" s="59">
        <v>0</v>
      </c>
      <c r="F114" s="59">
        <v>-25.884210586547852</v>
      </c>
      <c r="G114" s="42">
        <v>0</v>
      </c>
      <c r="H114" s="23"/>
      <c r="I114" s="23"/>
      <c r="J114" s="99"/>
      <c r="K114" s="99"/>
      <c r="L114" s="99"/>
      <c r="M114" s="99"/>
      <c r="N114" s="43">
        <f t="shared" si="1"/>
        <v>38631.19921875</v>
      </c>
      <c r="O114" s="43"/>
      <c r="P114" s="23"/>
      <c r="Q114" s="23"/>
    </row>
    <row r="115" spans="1:17">
      <c r="A115" s="23"/>
      <c r="B115" s="53">
        <v>105</v>
      </c>
      <c r="C115" s="58">
        <v>41296.9140625</v>
      </c>
      <c r="D115" s="59">
        <v>22029.4609375</v>
      </c>
      <c r="E115" s="59">
        <v>0</v>
      </c>
      <c r="F115" s="59">
        <v>-24.491020202636719</v>
      </c>
      <c r="G115" s="42">
        <v>0</v>
      </c>
      <c r="H115" s="23"/>
      <c r="I115" s="23"/>
      <c r="J115" s="99"/>
      <c r="K115" s="99"/>
      <c r="L115" s="99"/>
      <c r="M115" s="99"/>
      <c r="N115" s="43">
        <f t="shared" si="1"/>
        <v>41296.9140625</v>
      </c>
      <c r="O115" s="43"/>
      <c r="P115" s="23"/>
      <c r="Q115" s="23"/>
    </row>
    <row r="116" spans="1:17">
      <c r="A116" s="23"/>
      <c r="B116" s="53">
        <v>106</v>
      </c>
      <c r="C116" s="58">
        <v>44146.57421875</v>
      </c>
      <c r="D116" s="59">
        <v>21794.19921875</v>
      </c>
      <c r="E116" s="59">
        <v>0</v>
      </c>
      <c r="F116" s="59">
        <v>-23.154830932617188</v>
      </c>
      <c r="G116" s="42">
        <v>0</v>
      </c>
      <c r="H116" s="23"/>
      <c r="I116" s="23"/>
      <c r="J116" s="99"/>
      <c r="K116" s="99"/>
      <c r="L116" s="99"/>
      <c r="M116" s="99"/>
      <c r="N116" s="43">
        <f t="shared" si="1"/>
        <v>44146.57421875</v>
      </c>
      <c r="O116" s="43"/>
      <c r="P116" s="23"/>
      <c r="Q116" s="23"/>
    </row>
    <row r="117" spans="1:17">
      <c r="A117" s="23"/>
      <c r="B117" s="53">
        <v>107</v>
      </c>
      <c r="C117" s="58">
        <v>47192.87109375</v>
      </c>
      <c r="D117" s="59">
        <v>21587.689453125</v>
      </c>
      <c r="E117" s="59">
        <v>0</v>
      </c>
      <c r="F117" s="59">
        <v>-21.880010604858398</v>
      </c>
      <c r="G117" s="42">
        <v>0</v>
      </c>
      <c r="H117" s="23"/>
      <c r="I117" s="23"/>
      <c r="J117" s="99"/>
      <c r="K117" s="99"/>
      <c r="L117" s="99"/>
      <c r="M117" s="99"/>
      <c r="N117" s="43">
        <f t="shared" si="1"/>
        <v>47192.87109375</v>
      </c>
      <c r="O117" s="43"/>
      <c r="P117" s="23"/>
      <c r="Q117" s="23"/>
    </row>
    <row r="118" spans="1:17">
      <c r="A118" s="23"/>
      <c r="B118" s="53">
        <v>108</v>
      </c>
      <c r="C118" s="58">
        <v>50449.375</v>
      </c>
      <c r="D118" s="59">
        <v>21409.76953125</v>
      </c>
      <c r="E118" s="59">
        <v>0</v>
      </c>
      <c r="F118" s="59">
        <v>-20.675840377807617</v>
      </c>
      <c r="G118" s="42">
        <v>0</v>
      </c>
      <c r="H118" s="23"/>
      <c r="I118" s="23"/>
      <c r="J118" s="99"/>
      <c r="K118" s="99"/>
      <c r="L118" s="99"/>
      <c r="M118" s="99"/>
      <c r="N118" s="43">
        <f t="shared" si="1"/>
        <v>50449.375</v>
      </c>
      <c r="O118" s="43"/>
      <c r="P118" s="23"/>
      <c r="Q118" s="23"/>
    </row>
    <row r="119" spans="1:17">
      <c r="A119" s="23"/>
      <c r="B119" s="53">
        <v>109</v>
      </c>
      <c r="C119" s="58">
        <v>53930.59375</v>
      </c>
      <c r="D119" s="59">
        <v>21248.490234375</v>
      </c>
      <c r="E119" s="59">
        <v>0</v>
      </c>
      <c r="F119" s="59">
        <v>-19.528350830078125</v>
      </c>
      <c r="G119" s="42">
        <v>0</v>
      </c>
      <c r="H119" s="23"/>
      <c r="I119" s="23"/>
      <c r="J119" s="99"/>
      <c r="K119" s="99"/>
      <c r="L119" s="99"/>
      <c r="M119" s="99"/>
      <c r="N119" s="43">
        <f t="shared" si="1"/>
        <v>53930.59375</v>
      </c>
      <c r="O119" s="43"/>
      <c r="P119" s="23"/>
      <c r="Q119" s="23"/>
    </row>
    <row r="120" spans="1:17">
      <c r="A120" s="23"/>
      <c r="B120" s="53">
        <v>110</v>
      </c>
      <c r="C120" s="58">
        <v>57652.03125</v>
      </c>
      <c r="D120" s="59">
        <v>21105.880859375</v>
      </c>
      <c r="E120" s="59">
        <v>0</v>
      </c>
      <c r="F120" s="59">
        <v>-18.44944953918457</v>
      </c>
      <c r="G120" s="42">
        <v>0</v>
      </c>
      <c r="H120" s="23"/>
      <c r="I120" s="23"/>
      <c r="J120" s="99"/>
      <c r="K120" s="99"/>
      <c r="L120" s="99"/>
      <c r="M120" s="99"/>
      <c r="N120" s="43">
        <f t="shared" si="1"/>
        <v>57652.03125</v>
      </c>
      <c r="O120" s="43"/>
      <c r="P120" s="23"/>
      <c r="Q120" s="23"/>
    </row>
    <row r="121" spans="1:17">
      <c r="A121" s="23"/>
      <c r="B121" s="53">
        <v>111</v>
      </c>
      <c r="C121" s="58">
        <v>61630.26171875</v>
      </c>
      <c r="D121" s="59">
        <v>20980.6796875</v>
      </c>
      <c r="E121" s="59">
        <v>0</v>
      </c>
      <c r="F121" s="59">
        <v>-17.431909561157227</v>
      </c>
      <c r="G121" s="42">
        <v>0</v>
      </c>
      <c r="H121" s="23"/>
      <c r="I121" s="23"/>
      <c r="J121" s="99"/>
      <c r="K121" s="99"/>
      <c r="L121" s="99"/>
      <c r="M121" s="99"/>
      <c r="N121" s="43">
        <f t="shared" si="1"/>
        <v>61630.26171875</v>
      </c>
      <c r="O121" s="43"/>
      <c r="P121" s="23"/>
      <c r="Q121" s="23"/>
    </row>
    <row r="122" spans="1:17">
      <c r="A122" s="23"/>
      <c r="B122" s="53">
        <v>112</v>
      </c>
      <c r="C122" s="58">
        <v>65883.0078125</v>
      </c>
      <c r="D122" s="59">
        <v>20868.5703125</v>
      </c>
      <c r="E122" s="59">
        <v>0</v>
      </c>
      <c r="F122" s="59">
        <v>-16.475080490112305</v>
      </c>
      <c r="G122" s="42">
        <v>0</v>
      </c>
      <c r="H122" s="23"/>
      <c r="I122" s="23"/>
      <c r="J122" s="99"/>
      <c r="K122" s="99"/>
      <c r="L122" s="99"/>
      <c r="M122" s="99"/>
      <c r="N122" s="43">
        <f t="shared" si="1"/>
        <v>65883.0078125</v>
      </c>
      <c r="O122" s="43"/>
      <c r="P122" s="23"/>
      <c r="Q122" s="23"/>
    </row>
    <row r="123" spans="1:17">
      <c r="A123" s="23"/>
      <c r="B123" s="53">
        <v>113</v>
      </c>
      <c r="C123" s="58">
        <v>70429.203125</v>
      </c>
      <c r="D123" s="59">
        <v>20770.400390625</v>
      </c>
      <c r="E123" s="59">
        <v>0</v>
      </c>
      <c r="F123" s="59">
        <v>-15.570799827575684</v>
      </c>
      <c r="G123" s="42">
        <v>0</v>
      </c>
      <c r="H123" s="23"/>
      <c r="I123" s="23"/>
      <c r="J123" s="99"/>
      <c r="K123" s="99"/>
      <c r="L123" s="99"/>
      <c r="M123" s="99"/>
      <c r="N123" s="43">
        <f t="shared" si="1"/>
        <v>70429.203125</v>
      </c>
      <c r="O123" s="43"/>
      <c r="P123" s="23"/>
      <c r="Q123" s="23"/>
    </row>
    <row r="124" spans="1:17">
      <c r="A124" s="23"/>
      <c r="B124" s="53">
        <v>114</v>
      </c>
      <c r="C124" s="58">
        <v>75289.1171875</v>
      </c>
      <c r="D124" s="59">
        <v>20684</v>
      </c>
      <c r="E124" s="59">
        <v>0</v>
      </c>
      <c r="F124" s="59">
        <v>-14.732640266418457</v>
      </c>
      <c r="G124" s="42">
        <v>0</v>
      </c>
      <c r="H124" s="23"/>
      <c r="I124" s="23"/>
      <c r="J124" s="99"/>
      <c r="K124" s="99"/>
      <c r="L124" s="99"/>
      <c r="M124" s="99"/>
      <c r="N124" s="43">
        <f t="shared" si="1"/>
        <v>75289.1171875</v>
      </c>
      <c r="O124" s="43"/>
      <c r="P124" s="23"/>
      <c r="Q124" s="23"/>
    </row>
    <row r="125" spans="1:17">
      <c r="A125" s="23"/>
      <c r="B125" s="53">
        <v>115</v>
      </c>
      <c r="C125" s="58">
        <v>80484.3828125</v>
      </c>
      <c r="D125" s="59">
        <v>20609.890625</v>
      </c>
      <c r="E125" s="59">
        <v>0</v>
      </c>
      <c r="F125" s="59">
        <v>-13.944259643554688</v>
      </c>
      <c r="G125" s="42">
        <v>0</v>
      </c>
      <c r="H125" s="23"/>
      <c r="I125" s="23"/>
      <c r="J125" s="99"/>
      <c r="K125" s="99"/>
      <c r="L125" s="99"/>
      <c r="M125" s="99"/>
      <c r="N125" s="43">
        <f t="shared" si="1"/>
        <v>80484.3828125</v>
      </c>
      <c r="O125" s="43"/>
      <c r="P125" s="23"/>
      <c r="Q125" s="23"/>
    </row>
    <row r="126" spans="1:17">
      <c r="A126" s="23"/>
      <c r="B126" s="53">
        <v>116</v>
      </c>
      <c r="C126" s="58">
        <v>86038.140625</v>
      </c>
      <c r="D126" s="59">
        <v>20544.060546875</v>
      </c>
      <c r="E126" s="59">
        <v>0</v>
      </c>
      <c r="F126" s="59">
        <v>-13.212189674377441</v>
      </c>
      <c r="G126" s="42">
        <v>0</v>
      </c>
      <c r="H126" s="23"/>
      <c r="I126" s="23"/>
      <c r="J126" s="99"/>
      <c r="K126" s="99"/>
      <c r="L126" s="99"/>
      <c r="M126" s="99"/>
      <c r="N126" s="43">
        <f t="shared" si="1"/>
        <v>86038.140625</v>
      </c>
      <c r="O126" s="43"/>
      <c r="P126" s="23"/>
      <c r="Q126" s="23"/>
    </row>
    <row r="127" spans="1:17">
      <c r="A127" s="23"/>
      <c r="B127" s="53">
        <v>117</v>
      </c>
      <c r="C127" s="58">
        <v>91975.125</v>
      </c>
      <c r="D127" s="59">
        <v>20483.25</v>
      </c>
      <c r="E127" s="59">
        <v>0</v>
      </c>
      <c r="F127" s="59">
        <v>-12.532079696655273</v>
      </c>
      <c r="G127" s="42">
        <v>0</v>
      </c>
      <c r="H127" s="23"/>
      <c r="I127" s="23"/>
      <c r="J127" s="99"/>
      <c r="K127" s="99"/>
      <c r="L127" s="99"/>
      <c r="M127" s="99"/>
      <c r="N127" s="43">
        <f t="shared" si="1"/>
        <v>91975.125</v>
      </c>
      <c r="O127" s="43"/>
      <c r="P127" s="23"/>
      <c r="Q127" s="23"/>
    </row>
    <row r="128" spans="1:17">
      <c r="A128" s="23"/>
      <c r="B128" s="53">
        <v>118</v>
      </c>
      <c r="C128" s="58">
        <v>98321.796875</v>
      </c>
      <c r="D128" s="59">
        <v>20431.390625</v>
      </c>
      <c r="E128" s="59">
        <v>0</v>
      </c>
      <c r="F128" s="59">
        <v>-11.88716983795166</v>
      </c>
      <c r="G128" s="42">
        <v>0</v>
      </c>
      <c r="H128" s="23"/>
      <c r="I128" s="23"/>
      <c r="J128" s="99"/>
      <c r="K128" s="99"/>
      <c r="L128" s="99"/>
      <c r="M128" s="99"/>
      <c r="N128" s="43">
        <f t="shared" si="1"/>
        <v>98321.796875</v>
      </c>
      <c r="O128" s="43"/>
      <c r="P128" s="23"/>
      <c r="Q128" s="23"/>
    </row>
    <row r="129" spans="1:17">
      <c r="A129" s="23"/>
      <c r="B129" s="53">
        <v>119</v>
      </c>
      <c r="C129" s="58">
        <v>105106.40625</v>
      </c>
      <c r="D129" s="59">
        <v>20387.7890625</v>
      </c>
      <c r="E129" s="59">
        <v>0</v>
      </c>
      <c r="F129" s="59">
        <v>-11.297360420227051</v>
      </c>
      <c r="G129" s="42">
        <v>0</v>
      </c>
      <c r="H129" s="23"/>
      <c r="I129" s="23"/>
      <c r="J129" s="99"/>
      <c r="K129" s="99"/>
      <c r="L129" s="99"/>
      <c r="M129" s="99"/>
      <c r="N129" s="43">
        <f t="shared" si="1"/>
        <v>105106.40625</v>
      </c>
      <c r="O129" s="43"/>
      <c r="P129" s="23"/>
      <c r="Q129" s="23"/>
    </row>
    <row r="130" spans="1:17">
      <c r="A130" s="23"/>
      <c r="B130" s="53">
        <v>120</v>
      </c>
      <c r="C130" s="58">
        <v>112359.1875</v>
      </c>
      <c r="D130" s="59">
        <v>20347.439453125</v>
      </c>
      <c r="E130" s="59">
        <v>0</v>
      </c>
      <c r="F130" s="59">
        <v>-10.762370109558105</v>
      </c>
      <c r="G130" s="42">
        <v>0</v>
      </c>
      <c r="H130" s="23"/>
      <c r="I130" s="23"/>
      <c r="J130" s="99"/>
      <c r="K130" s="99"/>
      <c r="L130" s="99"/>
      <c r="M130" s="99"/>
      <c r="N130" s="43">
        <f t="shared" si="1"/>
        <v>112359.1875</v>
      </c>
      <c r="O130" s="43"/>
      <c r="P130" s="23"/>
      <c r="Q130" s="23"/>
    </row>
    <row r="131" spans="1:17">
      <c r="A131" s="23"/>
      <c r="B131" s="53">
        <v>121</v>
      </c>
      <c r="C131" s="58">
        <v>120112.4453125</v>
      </c>
      <c r="D131" s="59">
        <v>20313.9609375</v>
      </c>
      <c r="E131" s="59">
        <v>0</v>
      </c>
      <c r="F131" s="59">
        <v>-10.268030166625977</v>
      </c>
      <c r="G131" s="42">
        <v>0</v>
      </c>
      <c r="H131" s="23"/>
      <c r="I131" s="23"/>
      <c r="J131" s="99"/>
      <c r="K131" s="99"/>
      <c r="L131" s="99"/>
      <c r="M131" s="99"/>
      <c r="N131" s="43">
        <f t="shared" si="1"/>
        <v>120112.4453125</v>
      </c>
      <c r="O131" s="43"/>
      <c r="P131" s="23"/>
      <c r="Q131" s="23"/>
    </row>
    <row r="132" spans="1:17">
      <c r="A132" s="23"/>
      <c r="B132" s="53">
        <v>122</v>
      </c>
      <c r="C132" s="58">
        <v>128400.703125</v>
      </c>
      <c r="D132" s="59">
        <v>20285.23046875</v>
      </c>
      <c r="E132" s="59">
        <v>0</v>
      </c>
      <c r="F132" s="59">
        <v>-9.8161993026733398</v>
      </c>
      <c r="G132" s="42">
        <v>0</v>
      </c>
      <c r="H132" s="23"/>
      <c r="I132" s="23"/>
      <c r="J132" s="99"/>
      <c r="K132" s="99"/>
      <c r="L132" s="99"/>
      <c r="M132" s="99"/>
      <c r="N132" s="43">
        <f t="shared" si="1"/>
        <v>128400.703125</v>
      </c>
      <c r="O132" s="43"/>
      <c r="P132" s="23"/>
      <c r="Q132" s="23"/>
    </row>
    <row r="133" spans="1:17">
      <c r="A133" s="23"/>
      <c r="B133" s="53">
        <v>123</v>
      </c>
      <c r="C133" s="58">
        <v>137260.890625</v>
      </c>
      <c r="D133" s="59">
        <v>20260.869140625</v>
      </c>
      <c r="E133" s="59">
        <v>0</v>
      </c>
      <c r="F133" s="59">
        <v>-9.4022397994995117</v>
      </c>
      <c r="G133" s="42">
        <v>0</v>
      </c>
      <c r="H133" s="23"/>
      <c r="I133" s="23"/>
      <c r="J133" s="99"/>
      <c r="K133" s="99"/>
      <c r="L133" s="99"/>
      <c r="M133" s="99"/>
      <c r="N133" s="43">
        <f t="shared" si="1"/>
        <v>137260.890625</v>
      </c>
      <c r="O133" s="43"/>
      <c r="P133" s="23"/>
      <c r="Q133" s="23"/>
    </row>
    <row r="134" spans="1:17">
      <c r="A134" s="23"/>
      <c r="B134" s="53">
        <v>124</v>
      </c>
      <c r="C134" s="58">
        <v>146732.46875</v>
      </c>
      <c r="D134" s="59">
        <v>20238.580078125</v>
      </c>
      <c r="E134" s="59">
        <v>0</v>
      </c>
      <c r="F134" s="59">
        <v>-9.0263776779174805</v>
      </c>
      <c r="G134" s="42">
        <v>0</v>
      </c>
      <c r="H134" s="23"/>
      <c r="I134" s="23"/>
      <c r="J134" s="99"/>
      <c r="K134" s="99"/>
      <c r="L134" s="99"/>
      <c r="M134" s="99"/>
      <c r="N134" s="43">
        <f t="shared" si="1"/>
        <v>146732.46875</v>
      </c>
      <c r="O134" s="43"/>
      <c r="P134" s="23"/>
      <c r="Q134" s="23"/>
    </row>
    <row r="135" spans="1:17">
      <c r="A135" s="23"/>
      <c r="B135" s="53">
        <v>125</v>
      </c>
      <c r="C135" s="58">
        <v>156857.609375</v>
      </c>
      <c r="D135" s="59">
        <v>20222.51953125</v>
      </c>
      <c r="E135" s="59">
        <v>0</v>
      </c>
      <c r="F135" s="59">
        <v>-8.6952610015869141</v>
      </c>
      <c r="G135" s="42">
        <v>0</v>
      </c>
      <c r="H135" s="23"/>
      <c r="I135" s="23"/>
      <c r="J135" s="99"/>
      <c r="K135" s="99"/>
      <c r="L135" s="99"/>
      <c r="M135" s="99"/>
      <c r="N135" s="43">
        <f t="shared" si="1"/>
        <v>156857.609375</v>
      </c>
      <c r="O135" s="43"/>
      <c r="P135" s="23"/>
      <c r="Q135" s="23"/>
    </row>
    <row r="136" spans="1:17">
      <c r="A136" s="23"/>
      <c r="B136" s="53">
        <v>126</v>
      </c>
      <c r="C136" s="58">
        <v>167681.4375</v>
      </c>
      <c r="D136" s="59">
        <v>20209.6796875</v>
      </c>
      <c r="E136" s="59">
        <v>0</v>
      </c>
      <c r="F136" s="59">
        <v>-8.3986196517944336</v>
      </c>
      <c r="G136" s="42">
        <v>0</v>
      </c>
      <c r="H136" s="23"/>
      <c r="I136" s="23"/>
      <c r="J136" s="99"/>
      <c r="K136" s="99"/>
      <c r="L136" s="99"/>
      <c r="M136" s="99"/>
      <c r="N136" s="43">
        <f t="shared" si="1"/>
        <v>167681.4375</v>
      </c>
      <c r="O136" s="43"/>
      <c r="P136" s="23"/>
      <c r="Q136" s="23"/>
    </row>
    <row r="137" spans="1:17">
      <c r="A137" s="23"/>
      <c r="B137" s="53">
        <v>127</v>
      </c>
      <c r="C137" s="58">
        <v>179252.15625</v>
      </c>
      <c r="D137" s="59">
        <v>20199.619140625</v>
      </c>
      <c r="E137" s="59">
        <v>0</v>
      </c>
      <c r="F137" s="59">
        <v>-8.1384992599487305</v>
      </c>
      <c r="G137" s="42">
        <v>0</v>
      </c>
      <c r="H137" s="23"/>
      <c r="I137" s="23"/>
      <c r="J137" s="99"/>
      <c r="K137" s="99"/>
      <c r="L137" s="99"/>
      <c r="M137" s="99"/>
      <c r="N137" s="43">
        <f t="shared" si="1"/>
        <v>179252.15625</v>
      </c>
      <c r="O137" s="43"/>
      <c r="P137" s="23"/>
      <c r="Q137" s="23"/>
    </row>
    <row r="138" spans="1:17">
      <c r="A138" s="23"/>
      <c r="B138" s="53">
        <v>128</v>
      </c>
      <c r="C138" s="58">
        <v>191621.3125</v>
      </c>
      <c r="D138" s="59">
        <v>20192.720703125</v>
      </c>
      <c r="E138" s="59">
        <v>0</v>
      </c>
      <c r="F138" s="59">
        <v>-7.9139800071716309</v>
      </c>
      <c r="G138" s="42">
        <v>0</v>
      </c>
      <c r="H138" s="23"/>
      <c r="I138" s="23"/>
      <c r="J138" s="99"/>
      <c r="K138" s="99"/>
      <c r="L138" s="99"/>
      <c r="M138" s="99"/>
      <c r="N138" s="43">
        <f t="shared" si="1"/>
        <v>191621.3125</v>
      </c>
      <c r="O138" s="43"/>
      <c r="P138" s="23"/>
      <c r="Q138" s="23"/>
    </row>
    <row r="139" spans="1:17">
      <c r="A139" s="23"/>
      <c r="B139" s="53">
        <v>129</v>
      </c>
      <c r="C139" s="58">
        <v>204843.984375</v>
      </c>
      <c r="D139" s="59">
        <v>20187.5703125</v>
      </c>
      <c r="E139" s="59">
        <v>0</v>
      </c>
      <c r="F139" s="59">
        <v>-7.7277040481567383</v>
      </c>
      <c r="G139" s="42">
        <v>0</v>
      </c>
      <c r="H139" s="23"/>
      <c r="I139" s="23"/>
      <c r="J139" s="99"/>
      <c r="K139" s="99"/>
      <c r="L139" s="99"/>
      <c r="M139" s="99"/>
      <c r="N139" s="43">
        <f t="shared" ref="N139:N202" si="2">IF($L$4=$C$10,C139,IF(D139="","",B139))</f>
        <v>204843.984375</v>
      </c>
      <c r="O139" s="43"/>
      <c r="P139" s="23"/>
      <c r="Q139" s="23"/>
    </row>
    <row r="140" spans="1:17">
      <c r="A140" s="23"/>
      <c r="B140" s="53">
        <v>130</v>
      </c>
      <c r="C140" s="58">
        <v>218979.0625</v>
      </c>
      <c r="D140" s="59">
        <v>20184.94921875</v>
      </c>
      <c r="E140" s="59">
        <v>0</v>
      </c>
      <c r="F140" s="59">
        <v>-7.5734720230102539</v>
      </c>
      <c r="G140" s="42">
        <v>0</v>
      </c>
      <c r="H140" s="23"/>
      <c r="I140" s="23"/>
      <c r="J140" s="99"/>
      <c r="K140" s="99"/>
      <c r="L140" s="99"/>
      <c r="M140" s="99"/>
      <c r="N140" s="43">
        <f t="shared" si="2"/>
        <v>218979.0625</v>
      </c>
      <c r="O140" s="43"/>
      <c r="P140" s="23"/>
      <c r="Q140" s="23"/>
    </row>
    <row r="141" spans="1:17">
      <c r="A141" s="23"/>
      <c r="B141" s="53">
        <v>131</v>
      </c>
      <c r="C141" s="58">
        <v>234089.53125</v>
      </c>
      <c r="D141" s="59">
        <v>20185.970703125</v>
      </c>
      <c r="E141" s="59">
        <v>0</v>
      </c>
      <c r="F141" s="59">
        <v>-7.4556121826171875</v>
      </c>
      <c r="G141" s="42">
        <v>0</v>
      </c>
      <c r="H141" s="23"/>
      <c r="I141" s="23"/>
      <c r="J141" s="99"/>
      <c r="K141" s="99"/>
      <c r="L141" s="99"/>
      <c r="M141" s="99"/>
      <c r="N141" s="43">
        <f t="shared" si="2"/>
        <v>234089.53125</v>
      </c>
      <c r="O141" s="43"/>
      <c r="P141" s="23"/>
      <c r="Q141" s="23"/>
    </row>
    <row r="142" spans="1:17">
      <c r="A142" s="23"/>
      <c r="B142" s="53">
        <v>132</v>
      </c>
      <c r="C142" s="58">
        <v>250242.6875</v>
      </c>
      <c r="D142" s="59">
        <v>20190.259765625</v>
      </c>
      <c r="E142" s="59">
        <v>0</v>
      </c>
      <c r="F142" s="59">
        <v>-7.3615188598632813</v>
      </c>
      <c r="G142" s="42">
        <v>0</v>
      </c>
      <c r="H142" s="23"/>
      <c r="I142" s="23"/>
      <c r="J142" s="99"/>
      <c r="K142" s="99"/>
      <c r="L142" s="99"/>
      <c r="M142" s="99"/>
      <c r="N142" s="43">
        <f t="shared" si="2"/>
        <v>250242.6875</v>
      </c>
      <c r="O142" s="43"/>
      <c r="P142" s="23"/>
      <c r="Q142" s="23"/>
    </row>
    <row r="143" spans="1:17">
      <c r="A143" s="23"/>
      <c r="B143" s="53">
        <v>133</v>
      </c>
      <c r="C143" s="58">
        <v>267510.46875</v>
      </c>
      <c r="D143" s="59">
        <v>20197.16015625</v>
      </c>
      <c r="E143" s="59">
        <v>0</v>
      </c>
      <c r="F143" s="59">
        <v>-7.3131470680236816</v>
      </c>
      <c r="G143" s="42">
        <v>0</v>
      </c>
      <c r="H143" s="23"/>
      <c r="I143" s="23"/>
      <c r="J143" s="99"/>
      <c r="K143" s="99"/>
      <c r="L143" s="99"/>
      <c r="M143" s="99"/>
      <c r="N143" s="43">
        <f t="shared" si="2"/>
        <v>267510.46875</v>
      </c>
      <c r="O143" s="43"/>
      <c r="P143" s="23"/>
      <c r="Q143" s="23"/>
    </row>
    <row r="144" spans="1:17">
      <c r="A144" s="23"/>
      <c r="B144" s="53">
        <v>134</v>
      </c>
      <c r="C144" s="58">
        <v>285969.8125</v>
      </c>
      <c r="D144" s="59">
        <v>20201.6796875</v>
      </c>
      <c r="E144" s="59">
        <v>0</v>
      </c>
      <c r="F144" s="59">
        <v>-7.3003768920898438</v>
      </c>
      <c r="G144" s="42">
        <v>0</v>
      </c>
      <c r="H144" s="23"/>
      <c r="I144" s="23"/>
      <c r="J144" s="99"/>
      <c r="K144" s="99"/>
      <c r="L144" s="99"/>
      <c r="M144" s="99"/>
      <c r="N144" s="43">
        <f t="shared" si="2"/>
        <v>285969.8125</v>
      </c>
      <c r="O144" s="43"/>
      <c r="P144" s="23"/>
      <c r="Q144" s="23"/>
    </row>
    <row r="145" spans="1:17">
      <c r="A145" s="23"/>
      <c r="B145" s="53">
        <v>135</v>
      </c>
      <c r="C145" s="58">
        <v>305702.9375</v>
      </c>
      <c r="D145" s="59">
        <v>20214.51953125</v>
      </c>
      <c r="E145" s="59">
        <v>0</v>
      </c>
      <c r="F145" s="59">
        <v>-7.320134162902832</v>
      </c>
      <c r="G145" s="42">
        <v>0</v>
      </c>
      <c r="H145" s="23"/>
      <c r="I145" s="23"/>
      <c r="J145" s="99"/>
      <c r="K145" s="99"/>
      <c r="L145" s="99"/>
      <c r="M145" s="99"/>
      <c r="N145" s="43">
        <f t="shared" si="2"/>
        <v>305702.9375</v>
      </c>
      <c r="O145" s="43"/>
      <c r="P145" s="23"/>
      <c r="Q145" s="23"/>
    </row>
    <row r="146" spans="1:17">
      <c r="A146" s="23"/>
      <c r="B146" s="53">
        <v>136</v>
      </c>
      <c r="C146" s="58">
        <v>326797.71875</v>
      </c>
      <c r="D146" s="59">
        <v>20231.369140625</v>
      </c>
      <c r="E146" s="59">
        <v>0</v>
      </c>
      <c r="F146" s="59">
        <v>-7.376215934753418</v>
      </c>
      <c r="G146" s="42">
        <v>0</v>
      </c>
      <c r="H146" s="23"/>
      <c r="I146" s="23"/>
      <c r="J146" s="99"/>
      <c r="K146" s="99"/>
      <c r="L146" s="99"/>
      <c r="M146" s="99"/>
      <c r="N146" s="43">
        <f t="shared" si="2"/>
        <v>326797.71875</v>
      </c>
      <c r="O146" s="43"/>
      <c r="P146" s="23"/>
      <c r="Q146" s="23"/>
    </row>
    <row r="147" spans="1:17">
      <c r="A147" s="23"/>
      <c r="B147" s="53">
        <v>137</v>
      </c>
      <c r="C147" s="58">
        <v>349348.125</v>
      </c>
      <c r="D147" s="59">
        <v>20250.75</v>
      </c>
      <c r="E147" s="59">
        <v>0</v>
      </c>
      <c r="F147" s="59">
        <v>-7.4706020355224609</v>
      </c>
      <c r="G147" s="42">
        <v>0</v>
      </c>
      <c r="H147" s="23"/>
      <c r="I147" s="23"/>
      <c r="J147" s="99"/>
      <c r="K147" s="99"/>
      <c r="L147" s="99"/>
      <c r="M147" s="99"/>
      <c r="N147" s="43">
        <f t="shared" si="2"/>
        <v>349348.125</v>
      </c>
      <c r="O147" s="43"/>
      <c r="P147" s="23"/>
      <c r="Q147" s="23"/>
    </row>
    <row r="148" spans="1:17">
      <c r="A148" s="23"/>
      <c r="B148" s="53">
        <v>138</v>
      </c>
      <c r="C148" s="58">
        <v>373454.59375</v>
      </c>
      <c r="D148" s="59">
        <v>20273.279296875</v>
      </c>
      <c r="E148" s="59">
        <v>0</v>
      </c>
      <c r="F148" s="59">
        <v>-7.6104350090026855</v>
      </c>
      <c r="G148" s="42">
        <v>0</v>
      </c>
      <c r="H148" s="23"/>
      <c r="I148" s="23"/>
      <c r="J148" s="99"/>
      <c r="K148" s="99"/>
      <c r="L148" s="99"/>
      <c r="M148" s="99"/>
      <c r="N148" s="43">
        <f t="shared" si="2"/>
        <v>373454.59375</v>
      </c>
      <c r="O148" s="43"/>
      <c r="P148" s="23"/>
      <c r="Q148" s="23"/>
    </row>
    <row r="149" spans="1:17">
      <c r="A149" s="23"/>
      <c r="B149" s="53">
        <v>139</v>
      </c>
      <c r="C149" s="58">
        <v>399224.53125</v>
      </c>
      <c r="D149" s="59">
        <v>20298.91015625</v>
      </c>
      <c r="E149" s="59">
        <v>0</v>
      </c>
      <c r="F149" s="59">
        <v>-7.7870421409606934</v>
      </c>
      <c r="G149" s="42">
        <v>0</v>
      </c>
      <c r="H149" s="23"/>
      <c r="I149" s="23"/>
      <c r="J149" s="99"/>
      <c r="K149" s="99"/>
      <c r="L149" s="99"/>
      <c r="M149" s="99"/>
      <c r="N149" s="43">
        <f t="shared" si="2"/>
        <v>399224.53125</v>
      </c>
      <c r="O149" s="43"/>
      <c r="P149" s="23"/>
      <c r="Q149" s="23"/>
    </row>
    <row r="150" spans="1:17">
      <c r="A150" s="23"/>
      <c r="B150" s="53">
        <v>140</v>
      </c>
      <c r="C150" s="58">
        <v>426772.6875</v>
      </c>
      <c r="D150" s="59">
        <v>20327.869140625</v>
      </c>
      <c r="E150" s="59">
        <v>0</v>
      </c>
      <c r="F150" s="59">
        <v>-8.0101900100708008</v>
      </c>
      <c r="G150" s="42">
        <v>0</v>
      </c>
      <c r="H150" s="23"/>
      <c r="I150" s="23"/>
      <c r="J150" s="99"/>
      <c r="K150" s="99"/>
      <c r="L150" s="99"/>
      <c r="M150" s="99"/>
      <c r="N150" s="43">
        <f t="shared" si="2"/>
        <v>426772.6875</v>
      </c>
      <c r="O150" s="43"/>
      <c r="P150" s="23"/>
      <c r="Q150" s="23"/>
    </row>
    <row r="151" spans="1:17">
      <c r="A151" s="23"/>
      <c r="B151" s="53">
        <v>141</v>
      </c>
      <c r="C151" s="58">
        <v>456221.78125</v>
      </c>
      <c r="D151" s="59">
        <v>20358.94921875</v>
      </c>
      <c r="E151" s="59">
        <v>0</v>
      </c>
      <c r="F151" s="59">
        <v>-8.2827539443969727</v>
      </c>
      <c r="G151" s="42">
        <v>0</v>
      </c>
      <c r="H151" s="23"/>
      <c r="I151" s="23"/>
      <c r="J151" s="99"/>
      <c r="K151" s="99"/>
      <c r="L151" s="99"/>
      <c r="M151" s="99"/>
      <c r="N151" s="43">
        <f t="shared" si="2"/>
        <v>456221.78125</v>
      </c>
      <c r="O151" s="43"/>
      <c r="P151" s="23"/>
      <c r="Q151" s="23"/>
    </row>
    <row r="152" spans="1:17">
      <c r="A152" s="23"/>
      <c r="B152" s="53">
        <v>142</v>
      </c>
      <c r="C152" s="58">
        <v>487702.96875</v>
      </c>
      <c r="D152" s="59">
        <v>20398.759765625</v>
      </c>
      <c r="E152" s="59">
        <v>0</v>
      </c>
      <c r="F152" s="59">
        <v>-8.6023283004760742</v>
      </c>
      <c r="G152" s="42">
        <v>0</v>
      </c>
      <c r="H152" s="23"/>
      <c r="I152" s="23"/>
      <c r="J152" s="99"/>
      <c r="K152" s="99"/>
      <c r="L152" s="99"/>
      <c r="M152" s="99"/>
      <c r="N152" s="43">
        <f t="shared" si="2"/>
        <v>487702.96875</v>
      </c>
      <c r="O152" s="43"/>
      <c r="P152" s="23"/>
      <c r="Q152" s="23"/>
    </row>
    <row r="153" spans="1:17">
      <c r="A153" s="23"/>
      <c r="B153" s="53">
        <v>143</v>
      </c>
      <c r="C153" s="58">
        <v>521356.5</v>
      </c>
      <c r="D153" s="59">
        <v>20439.830078125</v>
      </c>
      <c r="E153" s="59">
        <v>0</v>
      </c>
      <c r="F153" s="59">
        <v>-8.9723997116088867</v>
      </c>
      <c r="G153" s="42">
        <v>0</v>
      </c>
      <c r="H153" s="23"/>
      <c r="I153" s="23"/>
      <c r="J153" s="99"/>
      <c r="K153" s="99"/>
      <c r="L153" s="99"/>
      <c r="M153" s="99"/>
      <c r="N153" s="43">
        <f t="shared" si="2"/>
        <v>521356.5</v>
      </c>
      <c r="O153" s="43"/>
      <c r="P153" s="23"/>
      <c r="Q153" s="23"/>
    </row>
    <row r="154" spans="1:17">
      <c r="A154" s="23"/>
      <c r="B154" s="53">
        <v>144</v>
      </c>
      <c r="C154" s="58">
        <v>557332.3125</v>
      </c>
      <c r="D154" s="59">
        <v>20484.5390625</v>
      </c>
      <c r="E154" s="59">
        <v>0</v>
      </c>
      <c r="F154" s="59">
        <v>-9.4106664657592773</v>
      </c>
      <c r="G154" s="42">
        <v>0</v>
      </c>
      <c r="H154" s="23"/>
      <c r="I154" s="23"/>
      <c r="J154" s="99"/>
      <c r="K154" s="99"/>
      <c r="L154" s="99"/>
      <c r="M154" s="99"/>
      <c r="N154" s="43">
        <f t="shared" si="2"/>
        <v>557332.3125</v>
      </c>
      <c r="O154" s="43"/>
      <c r="P154" s="23"/>
      <c r="Q154" s="23"/>
    </row>
    <row r="155" spans="1:17">
      <c r="A155" s="23"/>
      <c r="B155" s="53">
        <v>145</v>
      </c>
      <c r="C155" s="58">
        <v>595790.5625</v>
      </c>
      <c r="D155" s="59">
        <v>20533.130859375</v>
      </c>
      <c r="E155" s="59">
        <v>0</v>
      </c>
      <c r="F155" s="59">
        <v>-9.9097871780395508</v>
      </c>
      <c r="G155" s="42">
        <v>0</v>
      </c>
      <c r="H155" s="23"/>
      <c r="I155" s="23"/>
      <c r="J155" s="99"/>
      <c r="K155" s="99"/>
      <c r="L155" s="99"/>
      <c r="M155" s="99"/>
      <c r="N155" s="43">
        <f t="shared" si="2"/>
        <v>595790.5625</v>
      </c>
      <c r="O155" s="43"/>
      <c r="P155" s="23"/>
      <c r="Q155" s="23"/>
    </row>
    <row r="156" spans="1:17">
      <c r="A156" s="23"/>
      <c r="B156" s="53">
        <v>146</v>
      </c>
      <c r="C156" s="58">
        <v>636902.5625</v>
      </c>
      <c r="D156" s="59">
        <v>20585.5390625</v>
      </c>
      <c r="E156" s="59">
        <v>0</v>
      </c>
      <c r="F156" s="59">
        <v>-10.481929779052734</v>
      </c>
      <c r="G156" s="42">
        <v>0</v>
      </c>
      <c r="H156" s="23"/>
      <c r="I156" s="23"/>
      <c r="J156" s="99"/>
      <c r="K156" s="99"/>
      <c r="L156" s="99"/>
      <c r="M156" s="99"/>
      <c r="N156" s="43">
        <f t="shared" si="2"/>
        <v>636902.5625</v>
      </c>
      <c r="O156" s="43"/>
      <c r="P156" s="23"/>
      <c r="Q156" s="23"/>
    </row>
    <row r="157" spans="1:17">
      <c r="A157" s="23"/>
      <c r="B157" s="53">
        <v>147</v>
      </c>
      <c r="C157" s="58">
        <v>680851.5</v>
      </c>
      <c r="D157" s="59">
        <v>20638.080078125</v>
      </c>
      <c r="E157" s="59">
        <v>0</v>
      </c>
      <c r="F157" s="59">
        <v>-11.134140014648438</v>
      </c>
      <c r="G157" s="42">
        <v>0</v>
      </c>
      <c r="H157" s="23"/>
      <c r="I157" s="23"/>
      <c r="J157" s="99"/>
      <c r="K157" s="99"/>
      <c r="L157" s="99"/>
      <c r="M157" s="99"/>
      <c r="N157" s="43">
        <f t="shared" si="2"/>
        <v>680851.5</v>
      </c>
      <c r="O157" s="43"/>
      <c r="P157" s="23"/>
      <c r="Q157" s="23"/>
    </row>
    <row r="158" spans="1:17">
      <c r="A158" s="23"/>
      <c r="B158" s="53">
        <v>148</v>
      </c>
      <c r="C158" s="58">
        <v>727833.125</v>
      </c>
      <c r="D158" s="59">
        <v>20691.990234375</v>
      </c>
      <c r="E158" s="59">
        <v>0</v>
      </c>
      <c r="F158" s="59">
        <v>-11.864500045776367</v>
      </c>
      <c r="G158" s="42">
        <v>0</v>
      </c>
      <c r="H158" s="23"/>
      <c r="I158" s="23"/>
      <c r="J158" s="99"/>
      <c r="K158" s="99"/>
      <c r="L158" s="99"/>
      <c r="M158" s="99"/>
      <c r="N158" s="43">
        <f t="shared" si="2"/>
        <v>727833.125</v>
      </c>
      <c r="O158" s="43"/>
      <c r="P158" s="23"/>
      <c r="Q158" s="23"/>
    </row>
    <row r="159" spans="1:17">
      <c r="A159" s="23"/>
      <c r="B159" s="53">
        <v>149</v>
      </c>
      <c r="C159" s="58">
        <v>778056.625</v>
      </c>
      <c r="D159" s="59">
        <v>20745.849609375</v>
      </c>
      <c r="E159" s="59">
        <v>0</v>
      </c>
      <c r="F159" s="59">
        <v>-12.691869735717773</v>
      </c>
      <c r="G159" s="42">
        <v>0</v>
      </c>
      <c r="H159" s="23"/>
      <c r="I159" s="23"/>
      <c r="J159" s="99"/>
      <c r="K159" s="99"/>
      <c r="L159" s="99"/>
      <c r="M159" s="99"/>
      <c r="N159" s="43">
        <f t="shared" si="2"/>
        <v>778056.625</v>
      </c>
      <c r="O159" s="43"/>
      <c r="P159" s="23"/>
      <c r="Q159" s="23"/>
    </row>
    <row r="160" spans="1:17">
      <c r="A160" s="23"/>
      <c r="B160" s="53">
        <v>150</v>
      </c>
      <c r="C160" s="58">
        <v>831745.75</v>
      </c>
      <c r="D160" s="59">
        <v>20798.51953125</v>
      </c>
      <c r="E160" s="59">
        <v>0</v>
      </c>
      <c r="F160" s="59">
        <v>-13.606380462646484</v>
      </c>
      <c r="G160" s="42">
        <v>0</v>
      </c>
      <c r="H160" s="23"/>
      <c r="I160" s="23"/>
      <c r="J160" s="99"/>
      <c r="K160" s="99"/>
      <c r="L160" s="99"/>
      <c r="M160" s="99"/>
      <c r="N160" s="43">
        <f t="shared" si="2"/>
        <v>831745.75</v>
      </c>
      <c r="O160" s="43"/>
      <c r="P160" s="23"/>
      <c r="Q160" s="23"/>
    </row>
    <row r="161" spans="1:17">
      <c r="A161" s="23"/>
      <c r="B161" s="53">
        <v>151</v>
      </c>
      <c r="C161" s="58">
        <v>889139.6875</v>
      </c>
      <c r="D161" s="59">
        <v>20843.25</v>
      </c>
      <c r="E161" s="59">
        <v>0</v>
      </c>
      <c r="F161" s="59">
        <v>-14.647299766540527</v>
      </c>
      <c r="G161" s="42">
        <v>0</v>
      </c>
      <c r="H161" s="23"/>
      <c r="I161" s="23"/>
      <c r="J161" s="99"/>
      <c r="K161" s="99"/>
      <c r="L161" s="99"/>
      <c r="M161" s="99"/>
      <c r="N161" s="43">
        <f t="shared" si="2"/>
        <v>889139.6875</v>
      </c>
      <c r="O161" s="43"/>
      <c r="P161" s="23"/>
      <c r="Q161" s="23"/>
    </row>
    <row r="162" spans="1:17">
      <c r="A162" s="23"/>
      <c r="B162" s="53">
        <v>152</v>
      </c>
      <c r="C162" s="58">
        <v>950494.0625</v>
      </c>
      <c r="D162" s="59">
        <v>20880.900390625</v>
      </c>
      <c r="E162" s="59">
        <v>0</v>
      </c>
      <c r="F162" s="59">
        <v>-15.796360015869141</v>
      </c>
      <c r="G162" s="42">
        <v>0</v>
      </c>
      <c r="H162" s="23"/>
      <c r="I162" s="23"/>
      <c r="J162" s="99"/>
      <c r="K162" s="99"/>
      <c r="L162" s="99"/>
      <c r="M162" s="99"/>
      <c r="N162" s="43">
        <f t="shared" si="2"/>
        <v>950494.0625</v>
      </c>
      <c r="O162" s="43"/>
      <c r="P162" s="23"/>
      <c r="Q162" s="23"/>
    </row>
    <row r="163" spans="1:17">
      <c r="A163" s="23"/>
      <c r="B163" s="53">
        <v>153</v>
      </c>
      <c r="C163" s="58">
        <v>1016082.125</v>
      </c>
      <c r="D163" s="59">
        <v>20908.5703125</v>
      </c>
      <c r="E163" s="59">
        <v>0</v>
      </c>
      <c r="F163" s="59">
        <v>-17.064090728759766</v>
      </c>
      <c r="G163" s="42">
        <v>0</v>
      </c>
      <c r="H163" s="23"/>
      <c r="I163" s="23"/>
      <c r="J163" s="99"/>
      <c r="K163" s="99"/>
      <c r="L163" s="99"/>
      <c r="M163" s="99"/>
      <c r="N163" s="43">
        <f t="shared" si="2"/>
        <v>1016082.125</v>
      </c>
      <c r="O163" s="43"/>
      <c r="P163" s="23"/>
      <c r="Q163" s="23"/>
    </row>
    <row r="164" spans="1:17">
      <c r="A164" s="23"/>
      <c r="B164" s="53">
        <v>154</v>
      </c>
      <c r="C164" s="58">
        <v>1086196</v>
      </c>
      <c r="D164" s="59">
        <v>20916.23046875</v>
      </c>
      <c r="E164" s="59">
        <v>0</v>
      </c>
      <c r="F164" s="59">
        <v>-18.462709426879883</v>
      </c>
      <c r="G164" s="42">
        <v>0</v>
      </c>
      <c r="H164" s="23"/>
      <c r="I164" s="23"/>
      <c r="J164" s="99"/>
      <c r="K164" s="99"/>
      <c r="L164" s="99"/>
      <c r="M164" s="99"/>
      <c r="N164" s="43">
        <f t="shared" si="2"/>
        <v>1086196</v>
      </c>
      <c r="O164" s="43"/>
      <c r="P164" s="23"/>
      <c r="Q164" s="23"/>
    </row>
    <row r="165" spans="1:17">
      <c r="A165" s="23"/>
      <c r="B165" s="53">
        <v>155</v>
      </c>
      <c r="C165" s="58">
        <v>1161148.125</v>
      </c>
      <c r="D165" s="59">
        <v>20901.83984375</v>
      </c>
      <c r="E165" s="59">
        <v>0</v>
      </c>
      <c r="F165" s="59">
        <v>-19.973970413208008</v>
      </c>
      <c r="G165" s="42">
        <v>0</v>
      </c>
      <c r="H165" s="23"/>
      <c r="I165" s="23"/>
      <c r="J165" s="99"/>
      <c r="K165" s="99"/>
      <c r="L165" s="99"/>
      <c r="M165" s="99"/>
      <c r="N165" s="43">
        <f t="shared" si="2"/>
        <v>1161148.125</v>
      </c>
      <c r="O165" s="43"/>
      <c r="P165" s="23"/>
      <c r="Q165" s="23"/>
    </row>
    <row r="166" spans="1:17">
      <c r="A166" s="23"/>
      <c r="B166" s="53">
        <v>156</v>
      </c>
      <c r="C166" s="58">
        <v>1241272.125</v>
      </c>
      <c r="D166" s="59">
        <v>20861.759765625</v>
      </c>
      <c r="E166" s="59">
        <v>0</v>
      </c>
      <c r="F166" s="59">
        <v>-21.631509780883789</v>
      </c>
      <c r="G166" s="42">
        <v>0</v>
      </c>
      <c r="H166" s="23"/>
      <c r="I166" s="23"/>
      <c r="J166" s="99"/>
      <c r="K166" s="99"/>
      <c r="L166" s="99"/>
      <c r="M166" s="99"/>
      <c r="N166" s="43">
        <f t="shared" si="2"/>
        <v>1241272.125</v>
      </c>
      <c r="O166" s="43"/>
      <c r="P166" s="23"/>
      <c r="Q166" s="23"/>
    </row>
    <row r="167" spans="1:17">
      <c r="A167" s="23"/>
      <c r="B167" s="53">
        <v>157</v>
      </c>
      <c r="C167" s="58">
        <v>1326925.125</v>
      </c>
      <c r="D167" s="59">
        <v>20783.859375</v>
      </c>
      <c r="E167" s="59">
        <v>0</v>
      </c>
      <c r="F167" s="59">
        <v>-23.438510894775391</v>
      </c>
      <c r="G167" s="42">
        <v>0</v>
      </c>
      <c r="H167" s="23"/>
      <c r="I167" s="23"/>
      <c r="J167" s="99"/>
      <c r="K167" s="99"/>
      <c r="L167" s="99"/>
      <c r="M167" s="99"/>
      <c r="N167" s="43">
        <f t="shared" si="2"/>
        <v>1326925.125</v>
      </c>
      <c r="O167" s="43"/>
      <c r="P167" s="23"/>
      <c r="Q167" s="23"/>
    </row>
    <row r="168" spans="1:17">
      <c r="A168" s="23"/>
      <c r="B168" s="53">
        <v>158</v>
      </c>
      <c r="C168" s="58">
        <v>1418488.5</v>
      </c>
      <c r="D168" s="59">
        <v>20668.76953125</v>
      </c>
      <c r="E168" s="59">
        <v>0</v>
      </c>
      <c r="F168" s="59">
        <v>-25.359640121459961</v>
      </c>
      <c r="G168" s="42">
        <v>0</v>
      </c>
      <c r="H168" s="23"/>
      <c r="I168" s="23"/>
      <c r="J168" s="99"/>
      <c r="K168" s="99"/>
      <c r="L168" s="99"/>
      <c r="M168" s="99"/>
      <c r="N168" s="43">
        <f t="shared" si="2"/>
        <v>1418488.5</v>
      </c>
      <c r="O168" s="43"/>
      <c r="P168" s="23"/>
      <c r="Q168" s="23"/>
    </row>
    <row r="169" spans="1:17">
      <c r="A169" s="23"/>
      <c r="B169" s="53">
        <v>159</v>
      </c>
      <c r="C169" s="58">
        <v>1516370.125</v>
      </c>
      <c r="D169" s="59">
        <v>20510.0390625</v>
      </c>
      <c r="E169" s="59">
        <v>0</v>
      </c>
      <c r="F169" s="59">
        <v>-27.407119750976563</v>
      </c>
      <c r="G169" s="42">
        <v>0</v>
      </c>
      <c r="H169" s="23"/>
      <c r="I169" s="23"/>
      <c r="J169" s="99"/>
      <c r="K169" s="99"/>
      <c r="L169" s="99"/>
      <c r="M169" s="99"/>
      <c r="N169" s="43">
        <f t="shared" si="2"/>
        <v>1516370.125</v>
      </c>
      <c r="O169" s="43"/>
      <c r="P169" s="23"/>
      <c r="Q169" s="23"/>
    </row>
    <row r="170" spans="1:17">
      <c r="A170" s="23"/>
      <c r="B170" s="53">
        <v>160</v>
      </c>
      <c r="C170" s="58">
        <v>1621005.875</v>
      </c>
      <c r="D170" s="59">
        <v>20299.619140625</v>
      </c>
      <c r="E170" s="59">
        <v>0</v>
      </c>
      <c r="F170" s="59">
        <v>-29.572669982910156</v>
      </c>
      <c r="G170" s="42">
        <v>0</v>
      </c>
      <c r="H170" s="23"/>
      <c r="I170" s="23"/>
      <c r="J170" s="99"/>
      <c r="K170" s="99"/>
      <c r="L170" s="99"/>
      <c r="M170" s="99"/>
      <c r="N170" s="43">
        <f t="shared" si="2"/>
        <v>1621005.875</v>
      </c>
      <c r="O170" s="43"/>
      <c r="P170" s="23"/>
      <c r="Q170" s="23"/>
    </row>
    <row r="171" spans="1:17">
      <c r="A171" s="23"/>
      <c r="B171" s="53">
        <v>161</v>
      </c>
      <c r="C171" s="58">
        <v>1732862.125</v>
      </c>
      <c r="D171" s="59">
        <v>20031.80078125</v>
      </c>
      <c r="E171" s="59">
        <v>0</v>
      </c>
      <c r="F171" s="59">
        <v>-31.830379486083984</v>
      </c>
      <c r="G171" s="42">
        <v>0</v>
      </c>
      <c r="H171" s="23"/>
      <c r="I171" s="23"/>
      <c r="J171" s="99"/>
      <c r="K171" s="99"/>
      <c r="L171" s="99"/>
      <c r="M171" s="99"/>
      <c r="N171" s="43">
        <f t="shared" si="2"/>
        <v>1732862.125</v>
      </c>
      <c r="O171" s="43"/>
      <c r="P171" s="23"/>
      <c r="Q171" s="23"/>
    </row>
    <row r="172" spans="1:17">
      <c r="A172" s="23"/>
      <c r="B172" s="53">
        <v>162</v>
      </c>
      <c r="C172" s="58">
        <v>1852436.875</v>
      </c>
      <c r="D172" s="59">
        <v>19710.33984375</v>
      </c>
      <c r="E172" s="59">
        <v>0</v>
      </c>
      <c r="F172" s="59">
        <v>-34.17333984375</v>
      </c>
      <c r="G172" s="42">
        <v>0</v>
      </c>
      <c r="H172" s="23"/>
      <c r="I172" s="23"/>
      <c r="J172" s="99"/>
      <c r="K172" s="99"/>
      <c r="L172" s="99"/>
      <c r="M172" s="99"/>
      <c r="N172" s="43">
        <f t="shared" si="2"/>
        <v>1852436.875</v>
      </c>
      <c r="O172" s="43"/>
      <c r="P172" s="23"/>
      <c r="Q172" s="23"/>
    </row>
    <row r="173" spans="1:17">
      <c r="A173" s="23"/>
      <c r="B173" s="53">
        <v>163</v>
      </c>
      <c r="C173" s="58">
        <v>1980262.75</v>
      </c>
      <c r="D173" s="59">
        <v>19329.76953125</v>
      </c>
      <c r="E173" s="59">
        <v>0</v>
      </c>
      <c r="F173" s="59">
        <v>-36.578529357910156</v>
      </c>
      <c r="G173" s="42">
        <v>0</v>
      </c>
      <c r="H173" s="23"/>
      <c r="I173" s="23"/>
      <c r="J173" s="99"/>
      <c r="K173" s="99"/>
      <c r="L173" s="99"/>
      <c r="M173" s="99"/>
      <c r="N173" s="43">
        <f t="shared" si="2"/>
        <v>1980262.75</v>
      </c>
      <c r="O173" s="43"/>
      <c r="P173" s="23"/>
      <c r="Q173" s="23"/>
    </row>
    <row r="174" spans="1:17">
      <c r="A174" s="23"/>
      <c r="B174" s="53">
        <v>164</v>
      </c>
      <c r="C174" s="58">
        <v>2116909</v>
      </c>
      <c r="D174" s="59">
        <v>18895.0390625</v>
      </c>
      <c r="E174" s="59">
        <v>0</v>
      </c>
      <c r="F174" s="59">
        <v>-39.016689300537109</v>
      </c>
      <c r="G174" s="42">
        <v>0</v>
      </c>
      <c r="H174" s="23"/>
      <c r="I174" s="23"/>
      <c r="J174" s="99"/>
      <c r="K174" s="99"/>
      <c r="L174" s="99"/>
      <c r="M174" s="99"/>
      <c r="N174" s="43">
        <f t="shared" si="2"/>
        <v>2116909</v>
      </c>
      <c r="O174" s="43"/>
      <c r="P174" s="23"/>
      <c r="Q174" s="23"/>
    </row>
    <row r="175" spans="1:17">
      <c r="A175" s="23"/>
      <c r="B175" s="53">
        <v>165</v>
      </c>
      <c r="C175" s="58">
        <v>2262984.75</v>
      </c>
      <c r="D175" s="59">
        <v>18410.58984375</v>
      </c>
      <c r="E175" s="59">
        <v>0</v>
      </c>
      <c r="F175" s="59">
        <v>-41.470928192138672</v>
      </c>
      <c r="G175" s="42">
        <v>0</v>
      </c>
      <c r="H175" s="23"/>
      <c r="I175" s="23"/>
      <c r="J175" s="99"/>
      <c r="K175" s="99"/>
      <c r="L175" s="99"/>
      <c r="M175" s="99"/>
      <c r="N175" s="43">
        <f t="shared" si="2"/>
        <v>2262984.75</v>
      </c>
      <c r="O175" s="43"/>
      <c r="P175" s="23"/>
      <c r="Q175" s="23"/>
    </row>
    <row r="176" spans="1:17">
      <c r="A176" s="23"/>
      <c r="B176" s="53">
        <v>166</v>
      </c>
      <c r="C176" s="58">
        <v>2419140</v>
      </c>
      <c r="D176" s="59">
        <v>17881.630859375</v>
      </c>
      <c r="E176" s="59">
        <v>0</v>
      </c>
      <c r="F176" s="59">
        <v>-43.92034912109375</v>
      </c>
      <c r="G176" s="42">
        <v>0</v>
      </c>
      <c r="H176" s="23"/>
      <c r="I176" s="23"/>
      <c r="J176" s="99"/>
      <c r="K176" s="99"/>
      <c r="L176" s="99"/>
      <c r="M176" s="99"/>
      <c r="N176" s="43">
        <f t="shared" si="2"/>
        <v>2419140</v>
      </c>
      <c r="O176" s="43"/>
      <c r="P176" s="23"/>
      <c r="Q176" s="23"/>
    </row>
    <row r="177" spans="1:17">
      <c r="A177" s="23"/>
      <c r="B177" s="53">
        <v>167</v>
      </c>
      <c r="C177" s="58">
        <v>2586070.75</v>
      </c>
      <c r="D177" s="59">
        <v>17314</v>
      </c>
      <c r="E177" s="59">
        <v>0</v>
      </c>
      <c r="F177" s="59">
        <v>-46.346809387207031</v>
      </c>
      <c r="G177" s="42">
        <v>0</v>
      </c>
      <c r="H177" s="23"/>
      <c r="I177" s="23"/>
      <c r="J177" s="99"/>
      <c r="K177" s="99"/>
      <c r="L177" s="99"/>
      <c r="M177" s="99"/>
      <c r="N177" s="43">
        <f t="shared" si="2"/>
        <v>2586070.75</v>
      </c>
      <c r="O177" s="43"/>
      <c r="P177" s="23"/>
      <c r="Q177" s="23"/>
    </row>
    <row r="178" spans="1:17">
      <c r="A178" s="23"/>
      <c r="B178" s="53">
        <v>168</v>
      </c>
      <c r="C178" s="58">
        <v>2764520.5</v>
      </c>
      <c r="D178" s="59">
        <v>16721.060546875</v>
      </c>
      <c r="E178" s="59">
        <v>0</v>
      </c>
      <c r="F178" s="59">
        <v>-48.728721618652344</v>
      </c>
      <c r="G178" s="42">
        <v>0</v>
      </c>
      <c r="H178" s="23"/>
      <c r="I178" s="23"/>
      <c r="J178" s="99"/>
      <c r="K178" s="99"/>
      <c r="L178" s="99"/>
      <c r="M178" s="99"/>
      <c r="N178" s="43">
        <f t="shared" si="2"/>
        <v>2764520.5</v>
      </c>
      <c r="O178" s="43"/>
      <c r="P178" s="23"/>
      <c r="Q178" s="23"/>
    </row>
    <row r="179" spans="1:17">
      <c r="A179" s="23"/>
      <c r="B179" s="53">
        <v>169</v>
      </c>
      <c r="C179" s="58">
        <v>2955284</v>
      </c>
      <c r="D179" s="59">
        <v>16107.6904296875</v>
      </c>
      <c r="E179" s="59">
        <v>0</v>
      </c>
      <c r="F179" s="59">
        <v>-51.047740936279297</v>
      </c>
      <c r="G179" s="42">
        <v>0</v>
      </c>
      <c r="H179" s="23"/>
      <c r="I179" s="23"/>
      <c r="J179" s="99"/>
      <c r="K179" s="99"/>
      <c r="L179" s="99"/>
      <c r="M179" s="99"/>
      <c r="N179" s="43">
        <f t="shared" si="2"/>
        <v>2955284</v>
      </c>
      <c r="O179" s="43"/>
      <c r="P179" s="23"/>
      <c r="Q179" s="23"/>
    </row>
    <row r="180" spans="1:17">
      <c r="A180" s="23"/>
      <c r="B180" s="53">
        <v>170</v>
      </c>
      <c r="C180" s="58">
        <v>3159210.75</v>
      </c>
      <c r="D180" s="59">
        <v>15480.73046875</v>
      </c>
      <c r="E180" s="59">
        <v>0</v>
      </c>
      <c r="F180" s="59">
        <v>-53.310600280761719</v>
      </c>
      <c r="G180" s="42">
        <v>0</v>
      </c>
      <c r="H180" s="23"/>
      <c r="I180" s="23"/>
      <c r="J180" s="99"/>
      <c r="K180" s="99"/>
      <c r="L180" s="99"/>
      <c r="M180" s="99"/>
      <c r="N180" s="43">
        <f t="shared" si="2"/>
        <v>3159210.75</v>
      </c>
      <c r="O180" s="43"/>
      <c r="P180" s="23"/>
      <c r="Q180" s="23"/>
    </row>
    <row r="181" spans="1:17">
      <c r="A181" s="23"/>
      <c r="B181" s="53">
        <v>171</v>
      </c>
      <c r="C181" s="58">
        <v>3377209.5</v>
      </c>
      <c r="D181" s="59">
        <v>14854.7802734375</v>
      </c>
      <c r="E181" s="59">
        <v>0</v>
      </c>
      <c r="F181" s="59">
        <v>-55.486419677734375</v>
      </c>
      <c r="G181" s="42">
        <v>0</v>
      </c>
      <c r="H181" s="23"/>
      <c r="I181" s="23"/>
      <c r="J181" s="99"/>
      <c r="K181" s="99"/>
      <c r="L181" s="99"/>
      <c r="M181" s="99"/>
      <c r="N181" s="43">
        <f t="shared" si="2"/>
        <v>3377209.5</v>
      </c>
      <c r="O181" s="43"/>
      <c r="P181" s="23"/>
      <c r="Q181" s="23"/>
    </row>
    <row r="182" spans="1:17">
      <c r="A182" s="23"/>
      <c r="B182" s="53">
        <v>172</v>
      </c>
      <c r="C182" s="58">
        <v>3610251</v>
      </c>
      <c r="D182" s="59">
        <v>14232.26953125</v>
      </c>
      <c r="E182" s="59">
        <v>0</v>
      </c>
      <c r="F182" s="59">
        <v>-57.583660125732422</v>
      </c>
      <c r="G182" s="42">
        <v>0</v>
      </c>
      <c r="H182" s="23"/>
      <c r="I182" s="23"/>
      <c r="J182" s="99"/>
      <c r="K182" s="99"/>
      <c r="L182" s="99"/>
      <c r="M182" s="99"/>
      <c r="N182" s="43">
        <f t="shared" si="2"/>
        <v>3610251</v>
      </c>
      <c r="O182" s="43"/>
      <c r="P182" s="23"/>
      <c r="Q182" s="23"/>
    </row>
    <row r="183" spans="1:17">
      <c r="A183" s="23"/>
      <c r="B183" s="53">
        <v>173</v>
      </c>
      <c r="C183" s="58">
        <v>3859373.5</v>
      </c>
      <c r="D183" s="59">
        <v>13622.8701171875</v>
      </c>
      <c r="E183" s="59">
        <v>0</v>
      </c>
      <c r="F183" s="59">
        <v>-59.58892822265625</v>
      </c>
      <c r="G183" s="42">
        <v>0</v>
      </c>
      <c r="H183" s="23"/>
      <c r="I183" s="23"/>
      <c r="J183" s="99"/>
      <c r="K183" s="99"/>
      <c r="L183" s="99"/>
      <c r="M183" s="99"/>
      <c r="N183" s="43">
        <f t="shared" si="2"/>
        <v>3859373.5</v>
      </c>
      <c r="O183" s="43"/>
      <c r="P183" s="23"/>
      <c r="Q183" s="23"/>
    </row>
    <row r="184" spans="1:17">
      <c r="A184" s="23"/>
      <c r="B184" s="53">
        <v>174</v>
      </c>
      <c r="C184" s="58">
        <v>4125686.25</v>
      </c>
      <c r="D184" s="59">
        <v>13031.0595703125</v>
      </c>
      <c r="E184" s="59">
        <v>0</v>
      </c>
      <c r="F184" s="59">
        <v>-61.506759643554688</v>
      </c>
      <c r="G184" s="42">
        <v>0</v>
      </c>
      <c r="H184" s="23"/>
      <c r="I184" s="23"/>
      <c r="J184" s="99"/>
      <c r="K184" s="99"/>
      <c r="L184" s="99"/>
      <c r="M184" s="99"/>
      <c r="N184" s="43">
        <f t="shared" si="2"/>
        <v>4125686.25</v>
      </c>
      <c r="O184" s="43"/>
      <c r="P184" s="23"/>
      <c r="Q184" s="23"/>
    </row>
    <row r="185" spans="1:17">
      <c r="A185" s="23"/>
      <c r="B185" s="53">
        <v>175</v>
      </c>
      <c r="C185" s="58">
        <v>4410376</v>
      </c>
      <c r="D185" s="59">
        <v>12463.3798828125</v>
      </c>
      <c r="E185" s="59">
        <v>0</v>
      </c>
      <c r="F185" s="59">
        <v>-63.346771240234375</v>
      </c>
      <c r="G185" s="42">
        <v>0</v>
      </c>
      <c r="H185" s="23"/>
      <c r="I185" s="23"/>
      <c r="J185" s="99"/>
      <c r="K185" s="99"/>
      <c r="L185" s="99"/>
      <c r="M185" s="99"/>
      <c r="N185" s="43">
        <f t="shared" si="2"/>
        <v>4410376</v>
      </c>
      <c r="O185" s="43"/>
      <c r="P185" s="23"/>
      <c r="Q185" s="23"/>
    </row>
    <row r="186" spans="1:17">
      <c r="A186" s="23"/>
      <c r="B186" s="53">
        <v>176</v>
      </c>
      <c r="C186" s="58">
        <v>4714710</v>
      </c>
      <c r="D186" s="59">
        <v>11925.1904296875</v>
      </c>
      <c r="E186" s="59">
        <v>0</v>
      </c>
      <c r="F186" s="59">
        <v>-65.112846374511719</v>
      </c>
      <c r="G186" s="42">
        <v>0</v>
      </c>
      <c r="H186" s="23"/>
      <c r="I186" s="23"/>
      <c r="J186" s="99"/>
      <c r="K186" s="99"/>
      <c r="L186" s="99"/>
      <c r="M186" s="99"/>
      <c r="N186" s="43">
        <f t="shared" si="2"/>
        <v>4714710</v>
      </c>
      <c r="O186" s="43"/>
      <c r="P186" s="23"/>
      <c r="Q186" s="23"/>
    </row>
    <row r="187" spans="1:17">
      <c r="A187" s="23"/>
      <c r="B187" s="53">
        <v>177</v>
      </c>
      <c r="C187" s="58">
        <v>5040045</v>
      </c>
      <c r="D187" s="59">
        <v>11418.41015625</v>
      </c>
      <c r="E187" s="59">
        <v>0</v>
      </c>
      <c r="F187" s="59">
        <v>-66.813392639160156</v>
      </c>
      <c r="G187" s="42">
        <v>0</v>
      </c>
      <c r="H187" s="23"/>
      <c r="I187" s="23"/>
      <c r="J187" s="99"/>
      <c r="K187" s="99"/>
      <c r="L187" s="99"/>
      <c r="M187" s="99"/>
      <c r="N187" s="43">
        <f t="shared" si="2"/>
        <v>5040045</v>
      </c>
      <c r="O187" s="43"/>
      <c r="P187" s="23"/>
      <c r="Q187" s="23"/>
    </row>
    <row r="188" spans="1:17">
      <c r="A188" s="23"/>
      <c r="B188" s="53">
        <v>178</v>
      </c>
      <c r="C188" s="58">
        <v>5387829</v>
      </c>
      <c r="D188" s="59">
        <v>10947.8095703125</v>
      </c>
      <c r="E188" s="59">
        <v>0</v>
      </c>
      <c r="F188" s="59">
        <v>-68.463401794433594</v>
      </c>
      <c r="G188" s="42">
        <v>0</v>
      </c>
      <c r="H188" s="23"/>
      <c r="I188" s="23"/>
      <c r="J188" s="99"/>
      <c r="K188" s="99"/>
      <c r="L188" s="99"/>
      <c r="M188" s="99"/>
      <c r="N188" s="43">
        <f t="shared" si="2"/>
        <v>5387829</v>
      </c>
      <c r="O188" s="43"/>
      <c r="P188" s="23"/>
      <c r="Q188" s="23"/>
    </row>
    <row r="189" spans="1:17">
      <c r="A189" s="23"/>
      <c r="B189" s="53">
        <v>179</v>
      </c>
      <c r="C189" s="58">
        <v>5759611.5</v>
      </c>
      <c r="D189" s="59">
        <v>10517.8603515625</v>
      </c>
      <c r="E189" s="59">
        <v>0</v>
      </c>
      <c r="F189" s="59">
        <v>-70.074821472167969</v>
      </c>
      <c r="G189" s="42">
        <v>0</v>
      </c>
      <c r="H189" s="23"/>
      <c r="I189" s="23"/>
      <c r="J189" s="99"/>
      <c r="K189" s="99"/>
      <c r="L189" s="99"/>
      <c r="M189" s="99"/>
      <c r="N189" s="43">
        <f t="shared" si="2"/>
        <v>5759611.5</v>
      </c>
      <c r="O189" s="43"/>
      <c r="P189" s="23"/>
      <c r="Q189" s="23"/>
    </row>
    <row r="190" spans="1:17">
      <c r="A190" s="23"/>
      <c r="B190" s="53">
        <v>180</v>
      </c>
      <c r="C190" s="58">
        <v>6157049</v>
      </c>
      <c r="D190" s="59">
        <v>10129.919921875</v>
      </c>
      <c r="E190" s="59">
        <v>0</v>
      </c>
      <c r="F190" s="59">
        <v>-71.677963256835938</v>
      </c>
      <c r="G190" s="42">
        <v>0</v>
      </c>
      <c r="H190" s="23"/>
      <c r="I190" s="23"/>
      <c r="J190" s="99"/>
      <c r="K190" s="99"/>
      <c r="L190" s="99"/>
      <c r="M190" s="99"/>
      <c r="N190" s="43">
        <f t="shared" si="2"/>
        <v>6157049</v>
      </c>
      <c r="O190" s="43"/>
      <c r="P190" s="23"/>
      <c r="Q190" s="23"/>
    </row>
    <row r="191" spans="1:17">
      <c r="A191" s="23"/>
      <c r="B191" s="53">
        <v>181</v>
      </c>
      <c r="C191" s="58">
        <v>6581911</v>
      </c>
      <c r="D191" s="59">
        <v>9788.1640625</v>
      </c>
      <c r="E191" s="59">
        <v>0</v>
      </c>
      <c r="F191" s="59">
        <v>-73.308761596679688</v>
      </c>
      <c r="G191" s="42">
        <v>0</v>
      </c>
      <c r="H191" s="23"/>
      <c r="I191" s="23"/>
      <c r="J191" s="99"/>
      <c r="K191" s="99"/>
      <c r="L191" s="99"/>
      <c r="M191" s="99"/>
      <c r="N191" s="43">
        <f t="shared" si="2"/>
        <v>6581911</v>
      </c>
      <c r="O191" s="43"/>
      <c r="P191" s="23"/>
      <c r="Q191" s="23"/>
    </row>
    <row r="192" spans="1:17">
      <c r="A192" s="23"/>
      <c r="B192" s="53">
        <v>182</v>
      </c>
      <c r="C192" s="58">
        <v>7036090.5</v>
      </c>
      <c r="D192" s="59">
        <v>9492.5927734375</v>
      </c>
      <c r="E192" s="59">
        <v>0</v>
      </c>
      <c r="F192" s="59">
        <v>-75.002281188964844</v>
      </c>
      <c r="G192" s="42">
        <v>0</v>
      </c>
      <c r="H192" s="23"/>
      <c r="I192" s="23"/>
      <c r="J192" s="99"/>
      <c r="K192" s="99"/>
      <c r="L192" s="99"/>
      <c r="M192" s="99"/>
      <c r="N192" s="43">
        <f t="shared" si="2"/>
        <v>7036090.5</v>
      </c>
      <c r="O192" s="43"/>
      <c r="P192" s="23"/>
      <c r="Q192" s="23"/>
    </row>
    <row r="193" spans="1:17">
      <c r="A193" s="23"/>
      <c r="B193" s="53">
        <v>183</v>
      </c>
      <c r="C193" s="58">
        <v>7521610</v>
      </c>
      <c r="D193" s="59">
        <v>9245.3251953125</v>
      </c>
      <c r="E193" s="59">
        <v>0</v>
      </c>
      <c r="F193" s="59">
        <v>-76.814201354980469</v>
      </c>
      <c r="G193" s="42">
        <v>0</v>
      </c>
      <c r="H193" s="23"/>
      <c r="I193" s="23"/>
      <c r="J193" s="99"/>
      <c r="K193" s="99"/>
      <c r="L193" s="99"/>
      <c r="M193" s="99"/>
      <c r="N193" s="43">
        <f t="shared" si="2"/>
        <v>7521610</v>
      </c>
      <c r="O193" s="43"/>
      <c r="P193" s="23"/>
      <c r="Q193" s="23"/>
    </row>
    <row r="194" spans="1:17">
      <c r="A194" s="23"/>
      <c r="B194" s="53">
        <v>184</v>
      </c>
      <c r="C194" s="58">
        <v>8040632.5</v>
      </c>
      <c r="D194" s="59">
        <v>9047.80859375</v>
      </c>
      <c r="E194" s="59">
        <v>0</v>
      </c>
      <c r="F194" s="59">
        <v>-78.782493591308594</v>
      </c>
      <c r="G194" s="42">
        <v>0</v>
      </c>
      <c r="H194" s="23"/>
      <c r="I194" s="23"/>
      <c r="J194" s="99"/>
      <c r="K194" s="99"/>
      <c r="L194" s="99"/>
      <c r="M194" s="99"/>
      <c r="N194" s="43">
        <f t="shared" si="2"/>
        <v>8040632.5</v>
      </c>
      <c r="O194" s="43"/>
      <c r="P194" s="23"/>
      <c r="Q194" s="23"/>
    </row>
    <row r="195" spans="1:17">
      <c r="A195" s="23"/>
      <c r="B195" s="53">
        <v>185</v>
      </c>
      <c r="C195" s="58">
        <v>8595470</v>
      </c>
      <c r="D195" s="59">
        <v>8899.6650390625</v>
      </c>
      <c r="E195" s="59">
        <v>0</v>
      </c>
      <c r="F195" s="59">
        <v>-80.945426940917969</v>
      </c>
      <c r="G195" s="42">
        <v>0</v>
      </c>
      <c r="H195" s="23"/>
      <c r="I195" s="23"/>
      <c r="J195" s="99"/>
      <c r="K195" s="99"/>
      <c r="L195" s="99"/>
      <c r="M195" s="99"/>
      <c r="N195" s="43">
        <f t="shared" si="2"/>
        <v>8595470</v>
      </c>
      <c r="O195" s="43"/>
      <c r="P195" s="23"/>
      <c r="Q195" s="23"/>
    </row>
    <row r="196" spans="1:17">
      <c r="A196" s="23"/>
      <c r="B196" s="53">
        <v>186</v>
      </c>
      <c r="C196" s="58">
        <v>9188593</v>
      </c>
      <c r="D196" s="59">
        <v>8810.0888671875</v>
      </c>
      <c r="E196" s="59">
        <v>0</v>
      </c>
      <c r="F196" s="59">
        <v>-83.294776916503906</v>
      </c>
      <c r="G196" s="42">
        <v>0</v>
      </c>
      <c r="H196" s="23"/>
      <c r="I196" s="23"/>
      <c r="J196" s="99"/>
      <c r="K196" s="99"/>
      <c r="L196" s="99"/>
      <c r="M196" s="99"/>
      <c r="N196" s="43">
        <f t="shared" si="2"/>
        <v>9188593</v>
      </c>
      <c r="O196" s="43"/>
      <c r="P196" s="23"/>
      <c r="Q196" s="23"/>
    </row>
    <row r="197" spans="1:17">
      <c r="A197" s="23"/>
      <c r="B197" s="53">
        <v>187</v>
      </c>
      <c r="C197" s="58">
        <v>9822644</v>
      </c>
      <c r="D197" s="59">
        <v>8797.501953125</v>
      </c>
      <c r="E197" s="59">
        <v>0</v>
      </c>
      <c r="F197" s="59">
        <v>-85.835136413574219</v>
      </c>
      <c r="G197" s="42">
        <v>0</v>
      </c>
      <c r="H197" s="23"/>
      <c r="I197" s="23"/>
      <c r="J197" s="99"/>
      <c r="K197" s="99"/>
      <c r="L197" s="99"/>
      <c r="M197" s="99"/>
      <c r="N197" s="43">
        <f t="shared" si="2"/>
        <v>9822644</v>
      </c>
      <c r="O197" s="43"/>
      <c r="P197" s="23"/>
      <c r="Q197" s="23"/>
    </row>
    <row r="198" spans="1:17">
      <c r="A198" s="23"/>
      <c r="B198" s="53">
        <v>188</v>
      </c>
      <c r="C198" s="58">
        <v>10500447</v>
      </c>
      <c r="D198" s="59">
        <v>8909.0380859375</v>
      </c>
      <c r="E198" s="59">
        <v>0</v>
      </c>
      <c r="F198" s="59">
        <v>-88.570098876953125</v>
      </c>
      <c r="G198" s="42">
        <v>0</v>
      </c>
      <c r="H198" s="23"/>
      <c r="I198" s="23"/>
      <c r="J198" s="99"/>
      <c r="K198" s="99"/>
      <c r="L198" s="99"/>
      <c r="M198" s="99"/>
      <c r="N198" s="43">
        <f t="shared" si="2"/>
        <v>10500447</v>
      </c>
      <c r="O198" s="43"/>
      <c r="P198" s="23"/>
      <c r="Q198" s="23"/>
    </row>
    <row r="199" spans="1:17">
      <c r="A199" s="23"/>
      <c r="B199" s="53">
        <v>189</v>
      </c>
      <c r="C199" s="58">
        <v>11225022</v>
      </c>
      <c r="D199" s="59">
        <v>9237.75</v>
      </c>
      <c r="E199" s="59">
        <v>0</v>
      </c>
      <c r="F199" s="59">
        <v>-91.82684326171875</v>
      </c>
      <c r="G199" s="42">
        <v>0</v>
      </c>
      <c r="H199" s="23"/>
      <c r="I199" s="23"/>
      <c r="J199" s="99"/>
      <c r="K199" s="99"/>
      <c r="L199" s="99"/>
      <c r="M199" s="99"/>
      <c r="N199" s="43">
        <f t="shared" si="2"/>
        <v>11225022</v>
      </c>
      <c r="O199" s="43"/>
      <c r="P199" s="23"/>
      <c r="Q199" s="23"/>
    </row>
    <row r="200" spans="1:17">
      <c r="A200" s="23"/>
      <c r="B200" s="53">
        <v>190</v>
      </c>
      <c r="C200" s="58">
        <v>11999596</v>
      </c>
      <c r="D200" s="59">
        <v>9893.66015625</v>
      </c>
      <c r="E200" s="59">
        <v>0</v>
      </c>
      <c r="F200" s="59">
        <v>-96.202857971191406</v>
      </c>
      <c r="G200" s="42">
        <v>0</v>
      </c>
      <c r="H200" s="23"/>
      <c r="I200" s="23"/>
      <c r="J200" s="99"/>
      <c r="K200" s="99"/>
      <c r="L200" s="99"/>
      <c r="M200" s="99"/>
      <c r="N200" s="43">
        <f t="shared" si="2"/>
        <v>11999596</v>
      </c>
      <c r="O200" s="43"/>
      <c r="P200" s="23"/>
      <c r="Q200" s="23"/>
    </row>
    <row r="201" spans="1:17">
      <c r="A201" s="23"/>
      <c r="B201" s="53">
        <v>191</v>
      </c>
      <c r="C201" s="58">
        <v>12827618</v>
      </c>
      <c r="D201" s="59">
        <v>11104.740234375</v>
      </c>
      <c r="E201" s="59">
        <v>0</v>
      </c>
      <c r="F201" s="59">
        <v>-102.83650207519531</v>
      </c>
      <c r="G201" s="42">
        <v>0</v>
      </c>
      <c r="H201" s="23"/>
      <c r="I201" s="23"/>
      <c r="J201" s="99"/>
      <c r="K201" s="99"/>
      <c r="L201" s="99"/>
      <c r="M201" s="99"/>
      <c r="N201" s="43">
        <f t="shared" si="2"/>
        <v>12827618</v>
      </c>
      <c r="O201" s="43"/>
      <c r="P201" s="23"/>
      <c r="Q201" s="23"/>
    </row>
    <row r="202" spans="1:17">
      <c r="A202" s="23"/>
      <c r="B202" s="53">
        <v>192</v>
      </c>
      <c r="C202" s="58">
        <v>13712777</v>
      </c>
      <c r="D202" s="59">
        <v>13234.8203125</v>
      </c>
      <c r="E202" s="59">
        <v>0</v>
      </c>
      <c r="F202" s="59">
        <v>-114.67379760742188</v>
      </c>
      <c r="G202" s="42">
        <v>0</v>
      </c>
      <c r="H202" s="23"/>
      <c r="I202" s="23"/>
      <c r="J202" s="99"/>
      <c r="K202" s="99"/>
      <c r="L202" s="99"/>
      <c r="M202" s="99"/>
      <c r="N202" s="43">
        <f t="shared" si="2"/>
        <v>13712777</v>
      </c>
      <c r="O202" s="43"/>
      <c r="P202" s="23"/>
      <c r="Q202" s="23"/>
    </row>
    <row r="203" spans="1:17">
      <c r="A203" s="23"/>
      <c r="B203" s="53">
        <v>193</v>
      </c>
      <c r="C203" s="58">
        <v>14659016</v>
      </c>
      <c r="D203" s="59">
        <v>16313.08984375</v>
      </c>
      <c r="E203" s="59">
        <v>0</v>
      </c>
      <c r="F203" s="59">
        <v>-138.06129455566406</v>
      </c>
      <c r="G203" s="42">
        <v>0</v>
      </c>
      <c r="H203" s="23"/>
      <c r="I203" s="23"/>
      <c r="J203" s="99"/>
      <c r="K203" s="99"/>
      <c r="L203" s="99"/>
      <c r="M203" s="99"/>
      <c r="N203" s="43">
        <f t="shared" ref="N203:N266" si="3">IF($L$4=$C$10,C203,IF(D203="","",B203))</f>
        <v>14659016</v>
      </c>
      <c r="O203" s="43"/>
      <c r="P203" s="23"/>
      <c r="Q203" s="23"/>
    </row>
    <row r="204" spans="1:17">
      <c r="A204" s="23"/>
      <c r="B204" s="53">
        <v>194</v>
      </c>
      <c r="C204" s="58">
        <v>15670549</v>
      </c>
      <c r="D204" s="59">
        <v>2284.568115234375</v>
      </c>
      <c r="E204" s="59">
        <v>0</v>
      </c>
      <c r="F204" s="59">
        <v>-135.25680541992188</v>
      </c>
      <c r="G204" s="42">
        <v>0</v>
      </c>
      <c r="H204" s="23"/>
      <c r="I204" s="23"/>
      <c r="J204" s="99"/>
      <c r="K204" s="99"/>
      <c r="L204" s="99"/>
      <c r="M204" s="99"/>
      <c r="N204" s="43">
        <f t="shared" si="3"/>
        <v>15670549</v>
      </c>
      <c r="O204" s="43"/>
      <c r="P204" s="23"/>
      <c r="Q204" s="23"/>
    </row>
    <row r="205" spans="1:17">
      <c r="A205" s="23"/>
      <c r="B205" s="53">
        <v>195</v>
      </c>
      <c r="C205" s="58">
        <v>16751882</v>
      </c>
      <c r="D205" s="59">
        <v>2046.8480224609375</v>
      </c>
      <c r="E205" s="59">
        <v>0</v>
      </c>
      <c r="F205" s="59">
        <v>-139.03419494628906</v>
      </c>
      <c r="G205" s="42">
        <v>0</v>
      </c>
      <c r="H205" s="23"/>
      <c r="I205" s="23"/>
      <c r="J205" s="99"/>
      <c r="K205" s="99"/>
      <c r="L205" s="99"/>
      <c r="M205" s="99"/>
      <c r="N205" s="43">
        <f t="shared" si="3"/>
        <v>16751882</v>
      </c>
      <c r="O205" s="43"/>
      <c r="P205" s="23"/>
      <c r="Q205" s="23"/>
    </row>
    <row r="206" spans="1:17">
      <c r="A206" s="23"/>
      <c r="B206" s="53">
        <v>196</v>
      </c>
      <c r="C206" s="58">
        <v>17907832</v>
      </c>
      <c r="D206" s="59">
        <v>1820.7220458984375</v>
      </c>
      <c r="E206" s="59">
        <v>0</v>
      </c>
      <c r="F206" s="59">
        <v>-143.03289794921875</v>
      </c>
      <c r="G206" s="42">
        <v>0</v>
      </c>
      <c r="H206" s="23"/>
      <c r="I206" s="23"/>
      <c r="J206" s="99"/>
      <c r="K206" s="99"/>
      <c r="L206" s="99"/>
      <c r="M206" s="99"/>
      <c r="N206" s="43">
        <f t="shared" si="3"/>
        <v>17907832</v>
      </c>
      <c r="O206" s="43"/>
      <c r="P206" s="23"/>
      <c r="Q206" s="23"/>
    </row>
    <row r="207" spans="1:17">
      <c r="A207" s="23"/>
      <c r="B207" s="53">
        <v>197</v>
      </c>
      <c r="C207" s="58">
        <v>19143546</v>
      </c>
      <c r="D207" s="59">
        <v>1605.1309814453125</v>
      </c>
      <c r="E207" s="59">
        <v>0</v>
      </c>
      <c r="F207" s="59">
        <v>-147.20390319824219</v>
      </c>
      <c r="G207" s="42">
        <v>0</v>
      </c>
      <c r="H207" s="23"/>
      <c r="I207" s="23"/>
      <c r="J207" s="99"/>
      <c r="K207" s="99"/>
      <c r="L207" s="99"/>
      <c r="M207" s="99"/>
      <c r="N207" s="43">
        <f t="shared" si="3"/>
        <v>19143546</v>
      </c>
      <c r="O207" s="43"/>
      <c r="P207" s="23"/>
      <c r="Q207" s="23"/>
    </row>
    <row r="208" spans="1:17">
      <c r="A208" s="23"/>
      <c r="B208" s="53">
        <v>198</v>
      </c>
      <c r="C208" s="58">
        <v>20464532</v>
      </c>
      <c r="D208" s="59">
        <v>1400.2230224609375</v>
      </c>
      <c r="E208" s="59">
        <v>0</v>
      </c>
      <c r="F208" s="59">
        <v>-151.58180236816406</v>
      </c>
      <c r="G208" s="42">
        <v>0</v>
      </c>
      <c r="H208" s="23"/>
      <c r="I208" s="23"/>
      <c r="J208" s="99"/>
      <c r="K208" s="99"/>
      <c r="L208" s="99"/>
      <c r="M208" s="99"/>
      <c r="N208" s="43">
        <f t="shared" si="3"/>
        <v>20464532</v>
      </c>
      <c r="O208" s="43"/>
      <c r="P208" s="23"/>
      <c r="Q208" s="23"/>
    </row>
    <row r="209" spans="1:17">
      <c r="A209" s="23"/>
      <c r="B209" s="53">
        <v>199</v>
      </c>
      <c r="C209" s="58">
        <v>21876670</v>
      </c>
      <c r="D209" s="59">
        <v>1206.6710205078125</v>
      </c>
      <c r="E209" s="59">
        <v>0</v>
      </c>
      <c r="F209" s="59">
        <v>-156.08869934082031</v>
      </c>
      <c r="G209" s="42">
        <v>0</v>
      </c>
      <c r="H209" s="23"/>
      <c r="I209" s="23"/>
      <c r="J209" s="99"/>
      <c r="K209" s="99"/>
      <c r="L209" s="99"/>
      <c r="M209" s="99"/>
      <c r="N209" s="43">
        <f t="shared" si="3"/>
        <v>21876670</v>
      </c>
      <c r="O209" s="43"/>
      <c r="P209" s="23"/>
      <c r="Q209" s="23"/>
    </row>
    <row r="210" spans="1:17">
      <c r="A210" s="23"/>
      <c r="B210" s="54">
        <v>200</v>
      </c>
      <c r="C210" s="58">
        <v>23386252</v>
      </c>
      <c r="D210" s="60">
        <v>1026.637939453125</v>
      </c>
      <c r="E210" s="59">
        <v>0</v>
      </c>
      <c r="F210" s="59">
        <v>-160.68229675292969</v>
      </c>
      <c r="G210" s="42">
        <v>0</v>
      </c>
      <c r="H210" s="23"/>
      <c r="I210" s="23"/>
      <c r="J210" s="99"/>
      <c r="K210" s="99"/>
      <c r="L210" s="99"/>
      <c r="M210" s="99"/>
      <c r="N210" s="43">
        <f t="shared" si="3"/>
        <v>23386252</v>
      </c>
      <c r="O210" s="43"/>
      <c r="P210" s="23"/>
      <c r="Q210" s="23"/>
    </row>
    <row r="211" spans="1:17">
      <c r="A211" s="23"/>
      <c r="B211" s="55">
        <v>201</v>
      </c>
      <c r="C211" s="61">
        <v>25000000</v>
      </c>
      <c r="D211" s="61">
        <v>858.494384765625</v>
      </c>
      <c r="E211" s="61">
        <v>0</v>
      </c>
      <c r="F211" s="61">
        <v>-165.4674072265625</v>
      </c>
      <c r="G211" s="62">
        <v>0</v>
      </c>
      <c r="H211" s="23"/>
      <c r="I211" s="23"/>
      <c r="J211" s="99"/>
      <c r="K211" s="99"/>
      <c r="L211" s="99"/>
      <c r="M211" s="99"/>
      <c r="N211" s="43">
        <f t="shared" si="3"/>
        <v>25000000</v>
      </c>
      <c r="O211" s="43"/>
      <c r="P211" s="23"/>
      <c r="Q211" s="23"/>
    </row>
    <row r="212" spans="1:17">
      <c r="A212" s="23"/>
      <c r="B212" s="56"/>
      <c r="C212" s="63"/>
      <c r="D212" s="63"/>
      <c r="E212" s="63"/>
      <c r="F212" s="64"/>
      <c r="G212" s="64"/>
      <c r="H212" s="23"/>
      <c r="I212" s="23"/>
      <c r="J212" s="99"/>
      <c r="K212" s="99"/>
      <c r="L212" s="99"/>
      <c r="M212" s="99"/>
      <c r="N212" s="43">
        <f t="shared" si="3"/>
        <v>0</v>
      </c>
      <c r="O212" s="43"/>
      <c r="P212" s="23"/>
      <c r="Q212" s="23"/>
    </row>
    <row r="213" spans="1:17">
      <c r="A213" s="23"/>
      <c r="B213" s="56"/>
      <c r="C213" s="63"/>
      <c r="D213" s="63"/>
      <c r="E213" s="63"/>
      <c r="F213" s="63"/>
      <c r="G213" s="63"/>
      <c r="H213" s="23"/>
      <c r="I213" s="23"/>
      <c r="J213" s="99"/>
      <c r="K213" s="99"/>
      <c r="L213" s="99"/>
      <c r="M213" s="99"/>
      <c r="N213" s="43">
        <f t="shared" si="3"/>
        <v>0</v>
      </c>
      <c r="O213" s="48"/>
      <c r="P213" s="23"/>
      <c r="Q213" s="23"/>
    </row>
    <row r="214" spans="1:17">
      <c r="A214" s="23"/>
      <c r="B214" s="56"/>
      <c r="C214" s="63"/>
      <c r="D214" s="63"/>
      <c r="E214" s="63"/>
      <c r="F214" s="63"/>
      <c r="G214" s="63"/>
      <c r="H214" s="23"/>
      <c r="I214" s="23"/>
      <c r="J214" s="99"/>
      <c r="K214" s="99"/>
      <c r="L214" s="99"/>
      <c r="M214" s="99"/>
      <c r="N214" s="43">
        <f t="shared" si="3"/>
        <v>0</v>
      </c>
      <c r="O214" s="48"/>
      <c r="P214" s="23"/>
      <c r="Q214" s="23"/>
    </row>
    <row r="215" spans="1:17">
      <c r="A215" s="23"/>
      <c r="B215" s="56"/>
      <c r="C215" s="63"/>
      <c r="D215" s="63"/>
      <c r="E215" s="63"/>
      <c r="F215" s="63"/>
      <c r="G215" s="63"/>
      <c r="H215" s="23"/>
      <c r="I215" s="23"/>
      <c r="J215" s="99"/>
      <c r="K215" s="99"/>
      <c r="L215" s="99"/>
      <c r="M215" s="99"/>
      <c r="N215" s="43">
        <f t="shared" si="3"/>
        <v>0</v>
      </c>
      <c r="O215" s="48"/>
      <c r="P215" s="23"/>
      <c r="Q215" s="23"/>
    </row>
    <row r="216" spans="1:17">
      <c r="A216" s="23"/>
      <c r="B216" s="56"/>
      <c r="C216" s="63"/>
      <c r="D216" s="63"/>
      <c r="E216" s="63"/>
      <c r="F216" s="63"/>
      <c r="G216" s="63"/>
      <c r="H216" s="23"/>
      <c r="I216" s="23"/>
      <c r="J216" s="99"/>
      <c r="K216" s="99"/>
      <c r="L216" s="99"/>
      <c r="M216" s="99"/>
      <c r="N216" s="43">
        <f t="shared" si="3"/>
        <v>0</v>
      </c>
      <c r="O216" s="48"/>
      <c r="P216" s="23"/>
      <c r="Q216" s="23"/>
    </row>
    <row r="217" spans="1:17">
      <c r="A217" s="23"/>
      <c r="B217" s="56"/>
      <c r="C217" s="63"/>
      <c r="D217" s="63"/>
      <c r="E217" s="63"/>
      <c r="F217" s="63"/>
      <c r="G217" s="63"/>
      <c r="H217" s="23"/>
      <c r="I217" s="23"/>
      <c r="J217" s="99"/>
      <c r="K217" s="99"/>
      <c r="L217" s="99"/>
      <c r="M217" s="99"/>
      <c r="N217" s="43">
        <f t="shared" si="3"/>
        <v>0</v>
      </c>
      <c r="O217" s="48"/>
      <c r="P217" s="23"/>
      <c r="Q217" s="23"/>
    </row>
    <row r="218" spans="1:17">
      <c r="A218" s="23"/>
      <c r="B218" s="56"/>
      <c r="C218" s="63"/>
      <c r="D218" s="63"/>
      <c r="E218" s="63"/>
      <c r="F218" s="63"/>
      <c r="G218" s="63"/>
      <c r="H218" s="23"/>
      <c r="I218" s="23"/>
      <c r="J218" s="99"/>
      <c r="K218" s="99"/>
      <c r="L218" s="99"/>
      <c r="M218" s="99"/>
      <c r="N218" s="43">
        <f t="shared" si="3"/>
        <v>0</v>
      </c>
      <c r="O218" s="48"/>
      <c r="P218" s="23"/>
      <c r="Q218" s="23"/>
    </row>
    <row r="219" spans="1:17">
      <c r="A219" s="23"/>
      <c r="B219" s="56"/>
      <c r="C219" s="63"/>
      <c r="D219" s="63"/>
      <c r="E219" s="63"/>
      <c r="F219" s="63"/>
      <c r="G219" s="63"/>
      <c r="H219" s="23"/>
      <c r="I219" s="23"/>
      <c r="J219" s="99"/>
      <c r="K219" s="99"/>
      <c r="L219" s="99"/>
      <c r="M219" s="99"/>
      <c r="N219" s="43">
        <f t="shared" si="3"/>
        <v>0</v>
      </c>
      <c r="O219" s="48"/>
      <c r="P219" s="23"/>
      <c r="Q219" s="23"/>
    </row>
    <row r="220" spans="1:17">
      <c r="A220" s="23"/>
      <c r="B220" s="56"/>
      <c r="C220" s="63"/>
      <c r="D220" s="63"/>
      <c r="E220" s="63"/>
      <c r="F220" s="63"/>
      <c r="G220" s="63"/>
      <c r="H220" s="23"/>
      <c r="I220" s="23"/>
      <c r="J220" s="99"/>
      <c r="K220" s="99"/>
      <c r="L220" s="99"/>
      <c r="M220" s="99"/>
      <c r="N220" s="43">
        <f t="shared" si="3"/>
        <v>0</v>
      </c>
      <c r="O220" s="48"/>
      <c r="P220" s="23"/>
      <c r="Q220" s="23"/>
    </row>
    <row r="221" spans="1:17">
      <c r="A221" s="23"/>
      <c r="B221" s="56"/>
      <c r="C221" s="63"/>
      <c r="D221" s="63"/>
      <c r="E221" s="63"/>
      <c r="F221" s="63"/>
      <c r="G221" s="63"/>
      <c r="H221" s="23"/>
      <c r="I221" s="23"/>
      <c r="J221" s="99"/>
      <c r="K221" s="99"/>
      <c r="L221" s="99"/>
      <c r="M221" s="99"/>
      <c r="N221" s="43">
        <f t="shared" si="3"/>
        <v>0</v>
      </c>
      <c r="O221" s="48"/>
      <c r="P221" s="23"/>
      <c r="Q221" s="23"/>
    </row>
    <row r="222" spans="1:17">
      <c r="A222" s="23"/>
      <c r="B222" s="56"/>
      <c r="C222" s="63"/>
      <c r="D222" s="63"/>
      <c r="E222" s="63"/>
      <c r="F222" s="63"/>
      <c r="G222" s="63"/>
      <c r="H222" s="23"/>
      <c r="I222" s="23"/>
      <c r="J222" s="99"/>
      <c r="K222" s="99"/>
      <c r="L222" s="99"/>
      <c r="M222" s="99"/>
      <c r="N222" s="43">
        <f t="shared" si="3"/>
        <v>0</v>
      </c>
      <c r="O222" s="48"/>
      <c r="P222" s="23"/>
      <c r="Q222" s="23"/>
    </row>
    <row r="223" spans="1:17">
      <c r="A223" s="23"/>
      <c r="B223" s="56"/>
      <c r="C223" s="63"/>
      <c r="D223" s="63"/>
      <c r="E223" s="63"/>
      <c r="F223" s="63"/>
      <c r="G223" s="63"/>
      <c r="H223" s="23"/>
      <c r="I223" s="23"/>
      <c r="J223" s="99"/>
      <c r="K223" s="99"/>
      <c r="L223" s="99"/>
      <c r="M223" s="99"/>
      <c r="N223" s="43">
        <f t="shared" si="3"/>
        <v>0</v>
      </c>
      <c r="O223" s="48"/>
      <c r="P223" s="23"/>
      <c r="Q223" s="23"/>
    </row>
    <row r="224" spans="1:17">
      <c r="A224" s="23"/>
      <c r="B224" s="56"/>
      <c r="C224" s="63"/>
      <c r="D224" s="63"/>
      <c r="E224" s="63"/>
      <c r="F224" s="63"/>
      <c r="G224" s="63"/>
      <c r="H224" s="23"/>
      <c r="I224" s="23"/>
      <c r="J224" s="99"/>
      <c r="K224" s="99"/>
      <c r="L224" s="99"/>
      <c r="M224" s="99"/>
      <c r="N224" s="43">
        <f t="shared" si="3"/>
        <v>0</v>
      </c>
      <c r="O224" s="48"/>
      <c r="P224" s="23"/>
      <c r="Q224" s="23"/>
    </row>
    <row r="225" spans="1:17">
      <c r="A225" s="23"/>
      <c r="B225" s="56"/>
      <c r="C225" s="63"/>
      <c r="D225" s="63"/>
      <c r="E225" s="63"/>
      <c r="F225" s="63"/>
      <c r="G225" s="63"/>
      <c r="H225" s="23"/>
      <c r="I225" s="23"/>
      <c r="J225" s="99"/>
      <c r="K225" s="99"/>
      <c r="L225" s="99"/>
      <c r="M225" s="99"/>
      <c r="N225" s="43">
        <f t="shared" si="3"/>
        <v>0</v>
      </c>
      <c r="O225" s="48"/>
      <c r="P225" s="23"/>
      <c r="Q225" s="23"/>
    </row>
    <row r="226" spans="1:17">
      <c r="A226" s="23"/>
      <c r="B226" s="56"/>
      <c r="C226" s="63"/>
      <c r="D226" s="63"/>
      <c r="E226" s="63"/>
      <c r="F226" s="63"/>
      <c r="G226" s="63"/>
      <c r="H226" s="23"/>
      <c r="I226" s="23"/>
      <c r="J226" s="99"/>
      <c r="K226" s="99"/>
      <c r="L226" s="99"/>
      <c r="M226" s="99"/>
      <c r="N226" s="43">
        <f t="shared" si="3"/>
        <v>0</v>
      </c>
      <c r="O226" s="48"/>
      <c r="P226" s="23"/>
      <c r="Q226" s="23"/>
    </row>
    <row r="227" spans="1:17">
      <c r="B227" s="57"/>
      <c r="C227" s="60"/>
      <c r="D227" s="60"/>
      <c r="E227" s="60"/>
      <c r="F227" s="60"/>
      <c r="G227" s="60"/>
      <c r="J227" s="99"/>
      <c r="K227" s="99"/>
      <c r="L227" s="99"/>
      <c r="M227" s="99"/>
      <c r="N227" s="43">
        <f t="shared" si="3"/>
        <v>0</v>
      </c>
    </row>
    <row r="228" spans="1:17">
      <c r="B228" s="57"/>
      <c r="C228" s="60"/>
      <c r="D228" s="60"/>
      <c r="E228" s="60"/>
      <c r="F228" s="60"/>
      <c r="G228" s="60"/>
      <c r="J228" s="99"/>
      <c r="K228" s="99"/>
      <c r="L228" s="99"/>
      <c r="M228" s="99"/>
      <c r="N228" s="43">
        <f t="shared" si="3"/>
        <v>0</v>
      </c>
    </row>
    <row r="229" spans="1:17">
      <c r="B229" s="57"/>
      <c r="C229" s="60"/>
      <c r="D229" s="60"/>
      <c r="E229" s="60"/>
      <c r="F229" s="60"/>
      <c r="G229" s="60"/>
      <c r="J229" s="99"/>
      <c r="K229" s="99"/>
      <c r="L229" s="99"/>
      <c r="M229" s="99"/>
      <c r="N229" s="43">
        <f t="shared" si="3"/>
        <v>0</v>
      </c>
    </row>
    <row r="230" spans="1:17">
      <c r="B230" s="57"/>
      <c r="C230" s="60"/>
      <c r="D230" s="60"/>
      <c r="E230" s="60"/>
      <c r="F230" s="60"/>
      <c r="G230" s="60"/>
      <c r="J230" s="99"/>
      <c r="K230" s="99"/>
      <c r="L230" s="99"/>
      <c r="M230" s="99"/>
      <c r="N230" s="43">
        <f t="shared" si="3"/>
        <v>0</v>
      </c>
    </row>
    <row r="231" spans="1:17">
      <c r="B231" s="57"/>
      <c r="C231" s="60"/>
      <c r="D231" s="60"/>
      <c r="E231" s="60"/>
      <c r="F231" s="60"/>
      <c r="G231" s="60"/>
      <c r="J231" s="99"/>
      <c r="K231" s="99"/>
      <c r="L231" s="99"/>
      <c r="M231" s="99"/>
      <c r="N231" s="43">
        <f t="shared" si="3"/>
        <v>0</v>
      </c>
    </row>
    <row r="232" spans="1:17">
      <c r="B232" s="57"/>
      <c r="C232" s="60"/>
      <c r="D232" s="60"/>
      <c r="E232" s="60"/>
      <c r="F232" s="60"/>
      <c r="G232" s="60"/>
      <c r="J232" s="99"/>
      <c r="K232" s="99"/>
      <c r="L232" s="99"/>
      <c r="M232" s="99"/>
      <c r="N232" s="43">
        <f t="shared" si="3"/>
        <v>0</v>
      </c>
    </row>
    <row r="233" spans="1:17">
      <c r="B233" s="57"/>
      <c r="C233" s="60"/>
      <c r="D233" s="60"/>
      <c r="E233" s="60"/>
      <c r="F233" s="60"/>
      <c r="G233" s="60"/>
      <c r="J233" s="99"/>
      <c r="K233" s="99"/>
      <c r="L233" s="99"/>
      <c r="M233" s="99"/>
      <c r="N233" s="43">
        <f t="shared" si="3"/>
        <v>0</v>
      </c>
    </row>
    <row r="234" spans="1:17">
      <c r="B234" s="57"/>
      <c r="C234" s="60"/>
      <c r="D234" s="60"/>
      <c r="E234" s="60"/>
      <c r="F234" s="60"/>
      <c r="G234" s="60"/>
      <c r="J234" s="99"/>
      <c r="K234" s="99"/>
      <c r="L234" s="99"/>
      <c r="M234" s="99"/>
      <c r="N234" s="43">
        <f t="shared" si="3"/>
        <v>0</v>
      </c>
    </row>
    <row r="235" spans="1:17">
      <c r="B235" s="57"/>
      <c r="C235" s="60"/>
      <c r="D235" s="60"/>
      <c r="E235" s="60"/>
      <c r="F235" s="60"/>
      <c r="G235" s="60"/>
      <c r="J235" s="99"/>
      <c r="K235" s="99"/>
      <c r="L235" s="99"/>
      <c r="M235" s="99"/>
      <c r="N235" s="43">
        <f t="shared" si="3"/>
        <v>0</v>
      </c>
    </row>
    <row r="236" spans="1:17">
      <c r="B236" s="57"/>
      <c r="C236" s="60"/>
      <c r="D236" s="60"/>
      <c r="E236" s="60"/>
      <c r="F236" s="60"/>
      <c r="G236" s="60"/>
      <c r="J236" s="99"/>
      <c r="K236" s="99"/>
      <c r="L236" s="99"/>
      <c r="M236" s="99"/>
      <c r="N236" s="43">
        <f t="shared" si="3"/>
        <v>0</v>
      </c>
    </row>
    <row r="237" spans="1:17">
      <c r="B237" s="57"/>
      <c r="C237" s="60"/>
      <c r="D237" s="60"/>
      <c r="E237" s="60"/>
      <c r="F237" s="60"/>
      <c r="G237" s="60"/>
      <c r="J237" s="99"/>
      <c r="K237" s="99"/>
      <c r="L237" s="99"/>
      <c r="M237" s="99"/>
      <c r="N237" s="43">
        <f t="shared" si="3"/>
        <v>0</v>
      </c>
    </row>
    <row r="238" spans="1:17">
      <c r="B238" s="57"/>
      <c r="C238" s="60"/>
      <c r="D238" s="60"/>
      <c r="E238" s="60"/>
      <c r="F238" s="60"/>
      <c r="G238" s="60"/>
      <c r="J238" s="99"/>
      <c r="K238" s="99"/>
      <c r="L238" s="99"/>
      <c r="M238" s="99"/>
      <c r="N238" s="43">
        <f t="shared" si="3"/>
        <v>0</v>
      </c>
    </row>
    <row r="239" spans="1:17">
      <c r="B239" s="57"/>
      <c r="C239" s="60"/>
      <c r="D239" s="60"/>
      <c r="E239" s="60"/>
      <c r="F239" s="60"/>
      <c r="G239" s="60"/>
      <c r="J239" s="99"/>
      <c r="K239" s="99"/>
      <c r="L239" s="99"/>
      <c r="M239" s="99"/>
      <c r="N239" s="43">
        <f t="shared" si="3"/>
        <v>0</v>
      </c>
    </row>
    <row r="240" spans="1:17">
      <c r="B240" s="57"/>
      <c r="C240" s="60"/>
      <c r="D240" s="60"/>
      <c r="E240" s="60"/>
      <c r="F240" s="60"/>
      <c r="G240" s="60"/>
      <c r="J240" s="99"/>
      <c r="K240" s="99"/>
      <c r="L240" s="99"/>
      <c r="M240" s="99"/>
      <c r="N240" s="43">
        <f t="shared" si="3"/>
        <v>0</v>
      </c>
    </row>
    <row r="241" spans="2:14">
      <c r="B241" s="57"/>
      <c r="C241" s="60"/>
      <c r="D241" s="60"/>
      <c r="E241" s="60"/>
      <c r="F241" s="60"/>
      <c r="G241" s="60"/>
      <c r="J241" s="99"/>
      <c r="K241" s="99"/>
      <c r="L241" s="99"/>
      <c r="M241" s="99"/>
      <c r="N241" s="43">
        <f t="shared" si="3"/>
        <v>0</v>
      </c>
    </row>
    <row r="242" spans="2:14">
      <c r="B242" s="57"/>
      <c r="C242" s="60"/>
      <c r="D242" s="60"/>
      <c r="E242" s="60"/>
      <c r="F242" s="60"/>
      <c r="G242" s="60"/>
      <c r="J242" s="99"/>
      <c r="K242" s="99"/>
      <c r="L242" s="99"/>
      <c r="M242" s="99"/>
      <c r="N242" s="43">
        <f t="shared" si="3"/>
        <v>0</v>
      </c>
    </row>
    <row r="243" spans="2:14">
      <c r="B243" s="57"/>
      <c r="C243" s="60"/>
      <c r="D243" s="60"/>
      <c r="E243" s="60"/>
      <c r="F243" s="60"/>
      <c r="G243" s="60"/>
      <c r="J243" s="99"/>
      <c r="K243" s="99"/>
      <c r="L243" s="99"/>
      <c r="M243" s="99"/>
      <c r="N243" s="43">
        <f t="shared" si="3"/>
        <v>0</v>
      </c>
    </row>
    <row r="244" spans="2:14">
      <c r="B244" s="57"/>
      <c r="C244" s="60"/>
      <c r="D244" s="60"/>
      <c r="E244" s="60"/>
      <c r="F244" s="60"/>
      <c r="G244" s="60"/>
      <c r="J244" s="99"/>
      <c r="K244" s="99"/>
      <c r="L244" s="99"/>
      <c r="M244" s="99"/>
      <c r="N244" s="43">
        <f t="shared" si="3"/>
        <v>0</v>
      </c>
    </row>
    <row r="245" spans="2:14">
      <c r="B245" s="57"/>
      <c r="C245" s="60"/>
      <c r="D245" s="60"/>
      <c r="E245" s="60"/>
      <c r="F245" s="60"/>
      <c r="G245" s="60"/>
      <c r="J245" s="99"/>
      <c r="K245" s="99"/>
      <c r="L245" s="99"/>
      <c r="M245" s="99"/>
      <c r="N245" s="43">
        <f t="shared" si="3"/>
        <v>0</v>
      </c>
    </row>
    <row r="246" spans="2:14">
      <c r="B246" s="57"/>
      <c r="C246" s="60"/>
      <c r="D246" s="60"/>
      <c r="E246" s="60"/>
      <c r="F246" s="60"/>
      <c r="G246" s="60"/>
      <c r="J246" s="99"/>
      <c r="K246" s="99"/>
      <c r="L246" s="99"/>
      <c r="M246" s="99"/>
      <c r="N246" s="43">
        <f t="shared" si="3"/>
        <v>0</v>
      </c>
    </row>
    <row r="247" spans="2:14">
      <c r="B247" s="57"/>
      <c r="C247" s="60"/>
      <c r="D247" s="60"/>
      <c r="E247" s="60"/>
      <c r="F247" s="60"/>
      <c r="G247" s="60"/>
      <c r="J247" s="99"/>
      <c r="K247" s="99"/>
      <c r="L247" s="99"/>
      <c r="M247" s="99"/>
      <c r="N247" s="43">
        <f t="shared" si="3"/>
        <v>0</v>
      </c>
    </row>
    <row r="248" spans="2:14">
      <c r="B248" s="57"/>
      <c r="C248" s="60"/>
      <c r="D248" s="60"/>
      <c r="E248" s="60"/>
      <c r="F248" s="60"/>
      <c r="G248" s="60"/>
      <c r="J248" s="99"/>
      <c r="K248" s="99"/>
      <c r="L248" s="99"/>
      <c r="M248" s="99"/>
      <c r="N248" s="43">
        <f t="shared" si="3"/>
        <v>0</v>
      </c>
    </row>
    <row r="249" spans="2:14">
      <c r="B249" s="57"/>
      <c r="C249" s="60"/>
      <c r="D249" s="60"/>
      <c r="E249" s="60"/>
      <c r="F249" s="60"/>
      <c r="G249" s="60"/>
      <c r="J249" s="99"/>
      <c r="K249" s="99"/>
      <c r="L249" s="99"/>
      <c r="M249" s="99"/>
      <c r="N249" s="43">
        <f t="shared" si="3"/>
        <v>0</v>
      </c>
    </row>
    <row r="250" spans="2:14">
      <c r="B250" s="57"/>
      <c r="C250" s="60"/>
      <c r="D250" s="60"/>
      <c r="E250" s="60"/>
      <c r="F250" s="60"/>
      <c r="G250" s="60"/>
      <c r="J250" s="99"/>
      <c r="K250" s="99"/>
      <c r="L250" s="99"/>
      <c r="M250" s="99"/>
      <c r="N250" s="43">
        <f t="shared" si="3"/>
        <v>0</v>
      </c>
    </row>
    <row r="251" spans="2:14">
      <c r="B251" s="57"/>
      <c r="C251" s="60"/>
      <c r="D251" s="60"/>
      <c r="E251" s="60"/>
      <c r="F251" s="60"/>
      <c r="G251" s="60"/>
      <c r="J251" s="99"/>
      <c r="K251" s="99"/>
      <c r="L251" s="99"/>
      <c r="M251" s="99"/>
      <c r="N251" s="43">
        <f t="shared" si="3"/>
        <v>0</v>
      </c>
    </row>
    <row r="252" spans="2:14">
      <c r="B252" s="57"/>
      <c r="C252" s="60"/>
      <c r="D252" s="60"/>
      <c r="E252" s="60"/>
      <c r="F252" s="60"/>
      <c r="G252" s="60"/>
      <c r="J252" s="99"/>
      <c r="K252" s="99"/>
      <c r="L252" s="99"/>
      <c r="M252" s="99"/>
      <c r="N252" s="43">
        <f t="shared" si="3"/>
        <v>0</v>
      </c>
    </row>
    <row r="253" spans="2:14">
      <c r="B253" s="57"/>
      <c r="C253" s="60"/>
      <c r="D253" s="60"/>
      <c r="E253" s="60"/>
      <c r="F253" s="60"/>
      <c r="G253" s="60"/>
      <c r="J253" s="99"/>
      <c r="K253" s="99"/>
      <c r="L253" s="99"/>
      <c r="M253" s="99"/>
      <c r="N253" s="43">
        <f t="shared" si="3"/>
        <v>0</v>
      </c>
    </row>
    <row r="254" spans="2:14">
      <c r="B254" s="57"/>
      <c r="C254" s="60"/>
      <c r="D254" s="60"/>
      <c r="E254" s="60"/>
      <c r="F254" s="60"/>
      <c r="G254" s="60"/>
      <c r="J254" s="99"/>
      <c r="K254" s="99"/>
      <c r="L254" s="99"/>
      <c r="M254" s="99"/>
      <c r="N254" s="43">
        <f t="shared" si="3"/>
        <v>0</v>
      </c>
    </row>
    <row r="255" spans="2:14">
      <c r="B255" s="57"/>
      <c r="C255" s="60"/>
      <c r="D255" s="60"/>
      <c r="E255" s="60"/>
      <c r="F255" s="60"/>
      <c r="G255" s="60"/>
      <c r="J255" s="99"/>
      <c r="K255" s="99"/>
      <c r="L255" s="99"/>
      <c r="M255" s="99"/>
      <c r="N255" s="43">
        <f t="shared" si="3"/>
        <v>0</v>
      </c>
    </row>
    <row r="256" spans="2:14">
      <c r="B256" s="57"/>
      <c r="C256" s="60"/>
      <c r="D256" s="60"/>
      <c r="E256" s="60"/>
      <c r="F256" s="60"/>
      <c r="G256" s="60"/>
      <c r="J256" s="99"/>
      <c r="K256" s="99"/>
      <c r="L256" s="99"/>
      <c r="M256" s="99"/>
      <c r="N256" s="43">
        <f t="shared" si="3"/>
        <v>0</v>
      </c>
    </row>
    <row r="257" spans="2:14">
      <c r="B257" s="57"/>
      <c r="C257" s="60"/>
      <c r="D257" s="60"/>
      <c r="E257" s="60"/>
      <c r="F257" s="60"/>
      <c r="G257" s="60"/>
      <c r="J257" s="99"/>
      <c r="K257" s="99"/>
      <c r="L257" s="99"/>
      <c r="M257" s="99"/>
      <c r="N257" s="43">
        <f t="shared" si="3"/>
        <v>0</v>
      </c>
    </row>
    <row r="258" spans="2:14">
      <c r="B258" s="57"/>
      <c r="C258" s="60"/>
      <c r="D258" s="60"/>
      <c r="E258" s="60"/>
      <c r="F258" s="60"/>
      <c r="G258" s="60"/>
      <c r="J258" s="99"/>
      <c r="K258" s="99"/>
      <c r="L258" s="99"/>
      <c r="M258" s="99"/>
      <c r="N258" s="43">
        <f t="shared" si="3"/>
        <v>0</v>
      </c>
    </row>
    <row r="259" spans="2:14">
      <c r="B259" s="57"/>
      <c r="C259" s="60"/>
      <c r="D259" s="60"/>
      <c r="E259" s="60"/>
      <c r="F259" s="60"/>
      <c r="G259" s="60"/>
      <c r="J259" s="99"/>
      <c r="K259" s="99"/>
      <c r="L259" s="99"/>
      <c r="M259" s="99"/>
      <c r="N259" s="43">
        <f t="shared" si="3"/>
        <v>0</v>
      </c>
    </row>
    <row r="260" spans="2:14">
      <c r="B260" s="57"/>
      <c r="C260" s="60"/>
      <c r="D260" s="60"/>
      <c r="E260" s="60"/>
      <c r="F260" s="60"/>
      <c r="G260" s="60"/>
      <c r="J260" s="99"/>
      <c r="K260" s="99"/>
      <c r="L260" s="99"/>
      <c r="M260" s="99"/>
      <c r="N260" s="43">
        <f t="shared" si="3"/>
        <v>0</v>
      </c>
    </row>
    <row r="261" spans="2:14">
      <c r="B261" s="57"/>
      <c r="C261" s="60"/>
      <c r="D261" s="60"/>
      <c r="E261" s="60"/>
      <c r="F261" s="60"/>
      <c r="G261" s="60"/>
      <c r="J261" s="99"/>
      <c r="K261" s="99"/>
      <c r="L261" s="99"/>
      <c r="M261" s="99"/>
      <c r="N261" s="43">
        <f t="shared" si="3"/>
        <v>0</v>
      </c>
    </row>
    <row r="262" spans="2:14">
      <c r="B262" s="57"/>
      <c r="C262" s="60"/>
      <c r="D262" s="60"/>
      <c r="E262" s="60"/>
      <c r="F262" s="60"/>
      <c r="G262" s="60"/>
      <c r="J262" s="99"/>
      <c r="K262" s="99"/>
      <c r="L262" s="99"/>
      <c r="M262" s="99"/>
      <c r="N262" s="43">
        <f t="shared" si="3"/>
        <v>0</v>
      </c>
    </row>
    <row r="263" spans="2:14">
      <c r="B263" s="57"/>
      <c r="C263" s="60"/>
      <c r="D263" s="60"/>
      <c r="E263" s="60"/>
      <c r="F263" s="60"/>
      <c r="G263" s="60"/>
      <c r="J263" s="99"/>
      <c r="K263" s="99"/>
      <c r="L263" s="99"/>
      <c r="M263" s="99"/>
      <c r="N263" s="43">
        <f t="shared" si="3"/>
        <v>0</v>
      </c>
    </row>
    <row r="264" spans="2:14">
      <c r="B264" s="57"/>
      <c r="C264" s="60"/>
      <c r="D264" s="60"/>
      <c r="E264" s="60"/>
      <c r="F264" s="60"/>
      <c r="G264" s="60"/>
      <c r="J264" s="99"/>
      <c r="K264" s="99"/>
      <c r="L264" s="99"/>
      <c r="M264" s="99"/>
      <c r="N264" s="43">
        <f t="shared" si="3"/>
        <v>0</v>
      </c>
    </row>
    <row r="265" spans="2:14">
      <c r="B265" s="57"/>
      <c r="C265" s="60"/>
      <c r="D265" s="60"/>
      <c r="E265" s="60"/>
      <c r="F265" s="60"/>
      <c r="G265" s="60"/>
      <c r="J265" s="99"/>
      <c r="K265" s="99"/>
      <c r="L265" s="99"/>
      <c r="M265" s="99"/>
      <c r="N265" s="43">
        <f t="shared" si="3"/>
        <v>0</v>
      </c>
    </row>
    <row r="266" spans="2:14">
      <c r="B266" s="57"/>
      <c r="C266" s="60"/>
      <c r="D266" s="60"/>
      <c r="E266" s="60"/>
      <c r="F266" s="60"/>
      <c r="G266" s="60"/>
      <c r="J266" s="99"/>
      <c r="K266" s="99"/>
      <c r="L266" s="99"/>
      <c r="M266" s="99"/>
      <c r="N266" s="43">
        <f t="shared" si="3"/>
        <v>0</v>
      </c>
    </row>
    <row r="267" spans="2:14">
      <c r="B267" s="57"/>
      <c r="C267" s="60"/>
      <c r="D267" s="60"/>
      <c r="E267" s="60"/>
      <c r="F267" s="60"/>
      <c r="G267" s="60"/>
      <c r="J267" s="99"/>
      <c r="K267" s="99"/>
      <c r="L267" s="99"/>
      <c r="M267" s="99"/>
      <c r="N267" s="43">
        <f t="shared" ref="N267:N330" si="4">IF($L$4=$C$10,C267,IF(D267="","",B267))</f>
        <v>0</v>
      </c>
    </row>
    <row r="268" spans="2:14">
      <c r="B268" s="57"/>
      <c r="C268" s="60"/>
      <c r="D268" s="60"/>
      <c r="E268" s="60"/>
      <c r="F268" s="60"/>
      <c r="G268" s="60"/>
      <c r="J268" s="99"/>
      <c r="K268" s="99"/>
      <c r="L268" s="99"/>
      <c r="M268" s="99"/>
      <c r="N268" s="43">
        <f t="shared" si="4"/>
        <v>0</v>
      </c>
    </row>
    <row r="269" spans="2:14">
      <c r="B269" s="57"/>
      <c r="C269" s="60"/>
      <c r="D269" s="60"/>
      <c r="E269" s="60"/>
      <c r="F269" s="60"/>
      <c r="G269" s="60"/>
      <c r="J269" s="99"/>
      <c r="K269" s="99"/>
      <c r="L269" s="99"/>
      <c r="M269" s="99"/>
      <c r="N269" s="43">
        <f t="shared" si="4"/>
        <v>0</v>
      </c>
    </row>
    <row r="270" spans="2:14">
      <c r="B270" s="57"/>
      <c r="C270" s="60"/>
      <c r="D270" s="60"/>
      <c r="E270" s="60"/>
      <c r="F270" s="60"/>
      <c r="G270" s="60"/>
      <c r="J270" s="99"/>
      <c r="K270" s="99"/>
      <c r="L270" s="99"/>
      <c r="M270" s="99"/>
      <c r="N270" s="43">
        <f t="shared" si="4"/>
        <v>0</v>
      </c>
    </row>
    <row r="271" spans="2:14">
      <c r="B271" s="57"/>
      <c r="C271" s="60"/>
      <c r="D271" s="60"/>
      <c r="E271" s="60"/>
      <c r="F271" s="60"/>
      <c r="G271" s="60"/>
      <c r="J271" s="99"/>
      <c r="K271" s="99"/>
      <c r="L271" s="99"/>
      <c r="M271" s="99"/>
      <c r="N271" s="43">
        <f t="shared" si="4"/>
        <v>0</v>
      </c>
    </row>
    <row r="272" spans="2:14">
      <c r="B272" s="57"/>
      <c r="C272" s="60"/>
      <c r="D272" s="60"/>
      <c r="E272" s="60"/>
      <c r="F272" s="60"/>
      <c r="G272" s="60"/>
      <c r="J272" s="99"/>
      <c r="K272" s="99"/>
      <c r="L272" s="99"/>
      <c r="M272" s="99"/>
      <c r="N272" s="43">
        <f t="shared" si="4"/>
        <v>0</v>
      </c>
    </row>
    <row r="273" spans="2:14">
      <c r="B273" s="57"/>
      <c r="C273" s="60"/>
      <c r="D273" s="60"/>
      <c r="E273" s="60"/>
      <c r="F273" s="60"/>
      <c r="G273" s="60"/>
      <c r="J273" s="99"/>
      <c r="K273" s="99"/>
      <c r="L273" s="99"/>
      <c r="M273" s="99"/>
      <c r="N273" s="43">
        <f t="shared" si="4"/>
        <v>0</v>
      </c>
    </row>
    <row r="274" spans="2:14">
      <c r="B274" s="57"/>
      <c r="C274" s="60"/>
      <c r="D274" s="60"/>
      <c r="E274" s="60"/>
      <c r="F274" s="60"/>
      <c r="G274" s="60"/>
      <c r="J274" s="99"/>
      <c r="K274" s="99"/>
      <c r="L274" s="99"/>
      <c r="M274" s="99"/>
      <c r="N274" s="43">
        <f t="shared" si="4"/>
        <v>0</v>
      </c>
    </row>
    <row r="275" spans="2:14">
      <c r="B275" s="57"/>
      <c r="C275" s="60"/>
      <c r="D275" s="60"/>
      <c r="E275" s="60"/>
      <c r="F275" s="60"/>
      <c r="G275" s="60"/>
      <c r="J275" s="99"/>
      <c r="K275" s="99"/>
      <c r="L275" s="99"/>
      <c r="M275" s="99"/>
      <c r="N275" s="43">
        <f t="shared" si="4"/>
        <v>0</v>
      </c>
    </row>
    <row r="276" spans="2:14">
      <c r="B276" s="57"/>
      <c r="C276" s="60"/>
      <c r="D276" s="60"/>
      <c r="E276" s="60"/>
      <c r="F276" s="60"/>
      <c r="G276" s="60"/>
      <c r="J276" s="99"/>
      <c r="K276" s="99"/>
      <c r="L276" s="99"/>
      <c r="M276" s="99"/>
      <c r="N276" s="43">
        <f t="shared" si="4"/>
        <v>0</v>
      </c>
    </row>
    <row r="277" spans="2:14">
      <c r="B277" s="57"/>
      <c r="C277" s="60"/>
      <c r="D277" s="60"/>
      <c r="E277" s="60"/>
      <c r="F277" s="60"/>
      <c r="G277" s="60"/>
      <c r="J277" s="99"/>
      <c r="K277" s="99"/>
      <c r="L277" s="99"/>
      <c r="M277" s="99"/>
      <c r="N277" s="43">
        <f t="shared" si="4"/>
        <v>0</v>
      </c>
    </row>
    <row r="278" spans="2:14">
      <c r="B278" s="57"/>
      <c r="C278" s="60"/>
      <c r="D278" s="60"/>
      <c r="E278" s="60"/>
      <c r="F278" s="60"/>
      <c r="G278" s="60"/>
      <c r="J278" s="99"/>
      <c r="K278" s="99"/>
      <c r="L278" s="99"/>
      <c r="M278" s="99"/>
      <c r="N278" s="43">
        <f t="shared" si="4"/>
        <v>0</v>
      </c>
    </row>
    <row r="279" spans="2:14">
      <c r="B279" s="57"/>
      <c r="C279" s="60"/>
      <c r="D279" s="60"/>
      <c r="E279" s="60"/>
      <c r="F279" s="60"/>
      <c r="G279" s="60"/>
      <c r="J279" s="99"/>
      <c r="K279" s="99"/>
      <c r="L279" s="99"/>
      <c r="M279" s="99"/>
      <c r="N279" s="43">
        <f t="shared" si="4"/>
        <v>0</v>
      </c>
    </row>
    <row r="280" spans="2:14">
      <c r="B280" s="57"/>
      <c r="C280" s="60"/>
      <c r="D280" s="60"/>
      <c r="E280" s="60"/>
      <c r="F280" s="60"/>
      <c r="G280" s="60"/>
      <c r="J280" s="99"/>
      <c r="K280" s="99"/>
      <c r="L280" s="99"/>
      <c r="M280" s="99"/>
      <c r="N280" s="43">
        <f t="shared" si="4"/>
        <v>0</v>
      </c>
    </row>
    <row r="281" spans="2:14">
      <c r="B281" s="57"/>
      <c r="C281" s="60"/>
      <c r="D281" s="60"/>
      <c r="E281" s="60"/>
      <c r="F281" s="60"/>
      <c r="G281" s="60"/>
      <c r="J281" s="99"/>
      <c r="K281" s="99"/>
      <c r="L281" s="99"/>
      <c r="M281" s="99"/>
      <c r="N281" s="43">
        <f t="shared" si="4"/>
        <v>0</v>
      </c>
    </row>
    <row r="282" spans="2:14">
      <c r="B282" s="57"/>
      <c r="C282" s="60"/>
      <c r="D282" s="60"/>
      <c r="E282" s="60"/>
      <c r="F282" s="60"/>
      <c r="G282" s="60"/>
      <c r="J282" s="99"/>
      <c r="K282" s="99"/>
      <c r="L282" s="99"/>
      <c r="M282" s="99"/>
      <c r="N282" s="43">
        <f t="shared" si="4"/>
        <v>0</v>
      </c>
    </row>
    <row r="283" spans="2:14">
      <c r="B283" s="57"/>
      <c r="C283" s="60"/>
      <c r="D283" s="60"/>
      <c r="E283" s="60"/>
      <c r="F283" s="60"/>
      <c r="G283" s="60"/>
      <c r="J283" s="99"/>
      <c r="K283" s="99"/>
      <c r="L283" s="99"/>
      <c r="M283" s="99"/>
      <c r="N283" s="43">
        <f t="shared" si="4"/>
        <v>0</v>
      </c>
    </row>
    <row r="284" spans="2:14">
      <c r="B284" s="57"/>
      <c r="C284" s="60"/>
      <c r="D284" s="60"/>
      <c r="E284" s="60"/>
      <c r="F284" s="60"/>
      <c r="G284" s="60"/>
      <c r="J284" s="99"/>
      <c r="K284" s="99"/>
      <c r="L284" s="99"/>
      <c r="M284" s="99"/>
      <c r="N284" s="43">
        <f t="shared" si="4"/>
        <v>0</v>
      </c>
    </row>
    <row r="285" spans="2:14">
      <c r="B285" s="57"/>
      <c r="C285" s="60"/>
      <c r="D285" s="60"/>
      <c r="E285" s="60"/>
      <c r="F285" s="60"/>
      <c r="G285" s="60"/>
      <c r="J285" s="99"/>
      <c r="K285" s="99"/>
      <c r="L285" s="99"/>
      <c r="M285" s="99"/>
      <c r="N285" s="43">
        <f t="shared" si="4"/>
        <v>0</v>
      </c>
    </row>
    <row r="286" spans="2:14">
      <c r="B286" s="57"/>
      <c r="C286" s="60"/>
      <c r="D286" s="60"/>
      <c r="E286" s="60"/>
      <c r="F286" s="60"/>
      <c r="G286" s="60"/>
      <c r="J286" s="99"/>
      <c r="K286" s="99"/>
      <c r="L286" s="99"/>
      <c r="M286" s="99"/>
      <c r="N286" s="43">
        <f t="shared" si="4"/>
        <v>0</v>
      </c>
    </row>
    <row r="287" spans="2:14">
      <c r="B287" s="57"/>
      <c r="C287" s="60"/>
      <c r="D287" s="60"/>
      <c r="E287" s="60"/>
      <c r="F287" s="60"/>
      <c r="G287" s="60"/>
      <c r="J287" s="99"/>
      <c r="K287" s="99"/>
      <c r="L287" s="99"/>
      <c r="M287" s="99"/>
      <c r="N287" s="43">
        <f t="shared" si="4"/>
        <v>0</v>
      </c>
    </row>
    <row r="288" spans="2:14">
      <c r="B288" s="57"/>
      <c r="C288" s="60"/>
      <c r="D288" s="60"/>
      <c r="E288" s="60"/>
      <c r="F288" s="60"/>
      <c r="G288" s="60"/>
      <c r="J288" s="99"/>
      <c r="K288" s="99"/>
      <c r="L288" s="99"/>
      <c r="M288" s="99"/>
      <c r="N288" s="43">
        <f t="shared" si="4"/>
        <v>0</v>
      </c>
    </row>
    <row r="289" spans="2:14">
      <c r="B289" s="57"/>
      <c r="C289" s="60"/>
      <c r="D289" s="60"/>
      <c r="E289" s="60"/>
      <c r="F289" s="60"/>
      <c r="G289" s="60"/>
      <c r="J289" s="99"/>
      <c r="K289" s="99"/>
      <c r="L289" s="99"/>
      <c r="M289" s="99"/>
      <c r="N289" s="43">
        <f t="shared" si="4"/>
        <v>0</v>
      </c>
    </row>
    <row r="290" spans="2:14">
      <c r="B290" s="57"/>
      <c r="C290" s="60"/>
      <c r="D290" s="60"/>
      <c r="E290" s="60"/>
      <c r="F290" s="60"/>
      <c r="G290" s="60"/>
      <c r="J290" s="99"/>
      <c r="K290" s="99"/>
      <c r="L290" s="99"/>
      <c r="M290" s="99"/>
      <c r="N290" s="43">
        <f t="shared" si="4"/>
        <v>0</v>
      </c>
    </row>
    <row r="291" spans="2:14">
      <c r="B291" s="57"/>
      <c r="C291" s="60"/>
      <c r="D291" s="60"/>
      <c r="E291" s="60"/>
      <c r="F291" s="60"/>
      <c r="G291" s="60"/>
      <c r="J291" s="99"/>
      <c r="K291" s="99"/>
      <c r="L291" s="99"/>
      <c r="M291" s="99"/>
      <c r="N291" s="43">
        <f t="shared" si="4"/>
        <v>0</v>
      </c>
    </row>
    <row r="292" spans="2:14">
      <c r="B292" s="57"/>
      <c r="C292" s="60"/>
      <c r="D292" s="60"/>
      <c r="E292" s="60"/>
      <c r="F292" s="60"/>
      <c r="G292" s="60"/>
      <c r="J292" s="99"/>
      <c r="K292" s="99"/>
      <c r="L292" s="99"/>
      <c r="M292" s="99"/>
      <c r="N292" s="43">
        <f t="shared" si="4"/>
        <v>0</v>
      </c>
    </row>
    <row r="293" spans="2:14">
      <c r="B293" s="57"/>
      <c r="C293" s="60"/>
      <c r="D293" s="60"/>
      <c r="E293" s="60"/>
      <c r="F293" s="60"/>
      <c r="G293" s="60"/>
      <c r="J293" s="99"/>
      <c r="K293" s="99"/>
      <c r="L293" s="99"/>
      <c r="M293" s="99"/>
      <c r="N293" s="43">
        <f t="shared" si="4"/>
        <v>0</v>
      </c>
    </row>
    <row r="294" spans="2:14">
      <c r="B294" s="57"/>
      <c r="C294" s="60"/>
      <c r="D294" s="60"/>
      <c r="E294" s="60"/>
      <c r="F294" s="60"/>
      <c r="G294" s="60"/>
      <c r="J294" s="99"/>
      <c r="K294" s="99"/>
      <c r="L294" s="99"/>
      <c r="M294" s="99"/>
      <c r="N294" s="43">
        <f t="shared" si="4"/>
        <v>0</v>
      </c>
    </row>
    <row r="295" spans="2:14">
      <c r="B295" s="57"/>
      <c r="C295" s="60"/>
      <c r="D295" s="60"/>
      <c r="E295" s="60"/>
      <c r="F295" s="60"/>
      <c r="G295" s="60"/>
      <c r="J295" s="99"/>
      <c r="K295" s="99"/>
      <c r="L295" s="99"/>
      <c r="M295" s="99"/>
      <c r="N295" s="43">
        <f t="shared" si="4"/>
        <v>0</v>
      </c>
    </row>
    <row r="296" spans="2:14">
      <c r="B296" s="57"/>
      <c r="C296" s="60"/>
      <c r="D296" s="60"/>
      <c r="E296" s="60"/>
      <c r="F296" s="60"/>
      <c r="G296" s="60"/>
      <c r="J296" s="99"/>
      <c r="K296" s="99"/>
      <c r="L296" s="99"/>
      <c r="M296" s="99"/>
      <c r="N296" s="43">
        <f t="shared" si="4"/>
        <v>0</v>
      </c>
    </row>
    <row r="297" spans="2:14">
      <c r="B297" s="57"/>
      <c r="C297" s="60"/>
      <c r="D297" s="60"/>
      <c r="E297" s="60"/>
      <c r="F297" s="60"/>
      <c r="G297" s="60"/>
      <c r="J297" s="99"/>
      <c r="K297" s="99"/>
      <c r="L297" s="99"/>
      <c r="M297" s="99"/>
      <c r="N297" s="43">
        <f t="shared" si="4"/>
        <v>0</v>
      </c>
    </row>
    <row r="298" spans="2:14">
      <c r="B298" s="57"/>
      <c r="C298" s="60"/>
      <c r="D298" s="60"/>
      <c r="E298" s="60"/>
      <c r="F298" s="60"/>
      <c r="G298" s="60"/>
      <c r="J298" s="99"/>
      <c r="K298" s="99"/>
      <c r="L298" s="99"/>
      <c r="M298" s="99"/>
      <c r="N298" s="43">
        <f t="shared" si="4"/>
        <v>0</v>
      </c>
    </row>
    <row r="299" spans="2:14">
      <c r="B299" s="57"/>
      <c r="C299" s="60"/>
      <c r="D299" s="60"/>
      <c r="E299" s="60"/>
      <c r="F299" s="60"/>
      <c r="G299" s="60"/>
      <c r="J299" s="99"/>
      <c r="K299" s="99"/>
      <c r="L299" s="99"/>
      <c r="M299" s="99"/>
      <c r="N299" s="43">
        <f t="shared" si="4"/>
        <v>0</v>
      </c>
    </row>
    <row r="300" spans="2:14">
      <c r="B300" s="57"/>
      <c r="C300" s="60"/>
      <c r="D300" s="60"/>
      <c r="E300" s="60"/>
      <c r="F300" s="60"/>
      <c r="G300" s="60"/>
      <c r="J300" s="99"/>
      <c r="K300" s="99"/>
      <c r="L300" s="99"/>
      <c r="M300" s="99"/>
      <c r="N300" s="43">
        <f t="shared" si="4"/>
        <v>0</v>
      </c>
    </row>
    <row r="301" spans="2:14">
      <c r="B301" s="57"/>
      <c r="C301" s="60"/>
      <c r="D301" s="60"/>
      <c r="E301" s="60"/>
      <c r="F301" s="60"/>
      <c r="G301" s="60"/>
      <c r="J301" s="99"/>
      <c r="K301" s="99"/>
      <c r="L301" s="99"/>
      <c r="M301" s="99"/>
      <c r="N301" s="43">
        <f t="shared" si="4"/>
        <v>0</v>
      </c>
    </row>
    <row r="302" spans="2:14">
      <c r="B302" s="57"/>
      <c r="C302" s="60"/>
      <c r="D302" s="60"/>
      <c r="E302" s="60"/>
      <c r="F302" s="60"/>
      <c r="G302" s="60"/>
      <c r="J302" s="99"/>
      <c r="K302" s="99"/>
      <c r="L302" s="99"/>
      <c r="M302" s="99"/>
      <c r="N302" s="43">
        <f t="shared" si="4"/>
        <v>0</v>
      </c>
    </row>
    <row r="303" spans="2:14">
      <c r="B303" s="57"/>
      <c r="C303" s="60"/>
      <c r="D303" s="60"/>
      <c r="E303" s="60"/>
      <c r="F303" s="60"/>
      <c r="G303" s="60"/>
      <c r="J303" s="99"/>
      <c r="K303" s="99"/>
      <c r="L303" s="99"/>
      <c r="M303" s="99"/>
      <c r="N303" s="43">
        <f t="shared" si="4"/>
        <v>0</v>
      </c>
    </row>
    <row r="304" spans="2:14">
      <c r="B304" s="57"/>
      <c r="C304" s="60"/>
      <c r="D304" s="60"/>
      <c r="E304" s="60"/>
      <c r="F304" s="60"/>
      <c r="G304" s="60"/>
      <c r="J304" s="99"/>
      <c r="K304" s="99"/>
      <c r="L304" s="99"/>
      <c r="M304" s="99"/>
      <c r="N304" s="43">
        <f t="shared" si="4"/>
        <v>0</v>
      </c>
    </row>
    <row r="305" spans="2:14">
      <c r="B305" s="57"/>
      <c r="C305" s="60"/>
      <c r="D305" s="60"/>
      <c r="E305" s="60"/>
      <c r="F305" s="60"/>
      <c r="G305" s="60"/>
      <c r="J305" s="99"/>
      <c r="K305" s="99"/>
      <c r="L305" s="99"/>
      <c r="M305" s="99"/>
      <c r="N305" s="43">
        <f t="shared" si="4"/>
        <v>0</v>
      </c>
    </row>
    <row r="306" spans="2:14">
      <c r="B306" s="57"/>
      <c r="C306" s="60"/>
      <c r="D306" s="60"/>
      <c r="E306" s="60"/>
      <c r="F306" s="60"/>
      <c r="G306" s="60"/>
      <c r="J306" s="99"/>
      <c r="K306" s="99"/>
      <c r="L306" s="99"/>
      <c r="M306" s="99"/>
      <c r="N306" s="43">
        <f t="shared" si="4"/>
        <v>0</v>
      </c>
    </row>
    <row r="307" spans="2:14">
      <c r="B307" s="57"/>
      <c r="C307" s="60"/>
      <c r="D307" s="60"/>
      <c r="E307" s="60"/>
      <c r="F307" s="60"/>
      <c r="G307" s="60"/>
      <c r="J307" s="99"/>
      <c r="K307" s="99"/>
      <c r="L307" s="99"/>
      <c r="M307" s="99"/>
      <c r="N307" s="43">
        <f t="shared" si="4"/>
        <v>0</v>
      </c>
    </row>
    <row r="308" spans="2:14">
      <c r="B308" s="57"/>
      <c r="C308" s="60"/>
      <c r="D308" s="60"/>
      <c r="E308" s="60"/>
      <c r="F308" s="60"/>
      <c r="G308" s="60"/>
      <c r="J308" s="99"/>
      <c r="K308" s="99"/>
      <c r="L308" s="99"/>
      <c r="M308" s="99"/>
      <c r="N308" s="43">
        <f t="shared" si="4"/>
        <v>0</v>
      </c>
    </row>
    <row r="309" spans="2:14">
      <c r="B309" s="57"/>
      <c r="C309" s="60"/>
      <c r="D309" s="60"/>
      <c r="E309" s="60"/>
      <c r="F309" s="60"/>
      <c r="G309" s="60"/>
      <c r="J309" s="99"/>
      <c r="K309" s="99"/>
      <c r="L309" s="99"/>
      <c r="M309" s="99"/>
      <c r="N309" s="43">
        <f t="shared" si="4"/>
        <v>0</v>
      </c>
    </row>
    <row r="310" spans="2:14">
      <c r="B310" s="57"/>
      <c r="C310" s="60"/>
      <c r="D310" s="60"/>
      <c r="E310" s="60"/>
      <c r="F310" s="60"/>
      <c r="G310" s="60"/>
      <c r="J310" s="99"/>
      <c r="K310" s="99"/>
      <c r="L310" s="99"/>
      <c r="M310" s="99"/>
      <c r="N310" s="43">
        <f t="shared" si="4"/>
        <v>0</v>
      </c>
    </row>
    <row r="311" spans="2:14">
      <c r="B311" s="57"/>
      <c r="C311" s="60"/>
      <c r="D311" s="60"/>
      <c r="E311" s="60"/>
      <c r="F311" s="60"/>
      <c r="G311" s="60"/>
      <c r="J311" s="99"/>
      <c r="K311" s="99"/>
      <c r="L311" s="99"/>
      <c r="M311" s="99"/>
      <c r="N311" s="43">
        <f t="shared" si="4"/>
        <v>0</v>
      </c>
    </row>
    <row r="312" spans="2:14">
      <c r="B312" s="57"/>
      <c r="C312" s="60"/>
      <c r="D312" s="60"/>
      <c r="E312" s="60"/>
      <c r="F312" s="60"/>
      <c r="G312" s="60"/>
      <c r="J312" s="99"/>
      <c r="K312" s="99"/>
      <c r="L312" s="99"/>
      <c r="M312" s="99"/>
      <c r="N312" s="43">
        <f t="shared" si="4"/>
        <v>0</v>
      </c>
    </row>
    <row r="313" spans="2:14">
      <c r="B313" s="57"/>
      <c r="C313" s="60"/>
      <c r="D313" s="60"/>
      <c r="E313" s="60"/>
      <c r="F313" s="60"/>
      <c r="G313" s="60"/>
      <c r="J313" s="99"/>
      <c r="K313" s="99"/>
      <c r="L313" s="99"/>
      <c r="M313" s="99"/>
      <c r="N313" s="43">
        <f t="shared" si="4"/>
        <v>0</v>
      </c>
    </row>
    <row r="314" spans="2:14">
      <c r="B314" s="57"/>
      <c r="C314" s="60"/>
      <c r="D314" s="60"/>
      <c r="E314" s="60"/>
      <c r="F314" s="60"/>
      <c r="G314" s="60"/>
      <c r="J314" s="99"/>
      <c r="K314" s="99"/>
      <c r="L314" s="99"/>
      <c r="M314" s="99"/>
      <c r="N314" s="43">
        <f t="shared" si="4"/>
        <v>0</v>
      </c>
    </row>
    <row r="315" spans="2:14">
      <c r="B315" s="57"/>
      <c r="C315" s="60"/>
      <c r="D315" s="60"/>
      <c r="E315" s="60"/>
      <c r="F315" s="60"/>
      <c r="G315" s="60"/>
      <c r="J315" s="99"/>
      <c r="K315" s="99"/>
      <c r="L315" s="99"/>
      <c r="M315" s="99"/>
      <c r="N315" s="43">
        <f t="shared" si="4"/>
        <v>0</v>
      </c>
    </row>
    <row r="316" spans="2:14">
      <c r="B316" s="57"/>
      <c r="C316" s="60"/>
      <c r="D316" s="60"/>
      <c r="E316" s="60"/>
      <c r="F316" s="60"/>
      <c r="G316" s="60"/>
      <c r="J316" s="99"/>
      <c r="K316" s="99"/>
      <c r="L316" s="99"/>
      <c r="M316" s="99"/>
      <c r="N316" s="43">
        <f t="shared" si="4"/>
        <v>0</v>
      </c>
    </row>
    <row r="317" spans="2:14">
      <c r="B317" s="57"/>
      <c r="C317" s="60"/>
      <c r="D317" s="60"/>
      <c r="E317" s="60"/>
      <c r="F317" s="60"/>
      <c r="G317" s="60"/>
      <c r="J317" s="99"/>
      <c r="K317" s="99"/>
      <c r="L317" s="99"/>
      <c r="M317" s="99"/>
      <c r="N317" s="43">
        <f t="shared" si="4"/>
        <v>0</v>
      </c>
    </row>
    <row r="318" spans="2:14">
      <c r="B318" s="57"/>
      <c r="C318" s="60"/>
      <c r="D318" s="60"/>
      <c r="E318" s="60"/>
      <c r="F318" s="60"/>
      <c r="G318" s="60"/>
      <c r="J318" s="99"/>
      <c r="K318" s="99"/>
      <c r="L318" s="99"/>
      <c r="M318" s="99"/>
      <c r="N318" s="43">
        <f t="shared" si="4"/>
        <v>0</v>
      </c>
    </row>
    <row r="319" spans="2:14">
      <c r="B319" s="57"/>
      <c r="C319" s="60"/>
      <c r="D319" s="60"/>
      <c r="E319" s="60"/>
      <c r="F319" s="60"/>
      <c r="G319" s="60"/>
      <c r="J319" s="99"/>
      <c r="K319" s="99"/>
      <c r="L319" s="99"/>
      <c r="M319" s="99"/>
      <c r="N319" s="43">
        <f t="shared" si="4"/>
        <v>0</v>
      </c>
    </row>
    <row r="320" spans="2:14">
      <c r="B320" s="57"/>
      <c r="C320" s="60"/>
      <c r="D320" s="60"/>
      <c r="E320" s="60"/>
      <c r="F320" s="60"/>
      <c r="G320" s="60"/>
      <c r="J320" s="99"/>
      <c r="K320" s="99"/>
      <c r="L320" s="99"/>
      <c r="M320" s="99"/>
      <c r="N320" s="43">
        <f t="shared" si="4"/>
        <v>0</v>
      </c>
    </row>
    <row r="321" spans="2:14">
      <c r="B321" s="57"/>
      <c r="C321" s="60"/>
      <c r="D321" s="60"/>
      <c r="E321" s="60"/>
      <c r="F321" s="60"/>
      <c r="G321" s="60"/>
      <c r="J321" s="99"/>
      <c r="K321" s="99"/>
      <c r="L321" s="99"/>
      <c r="M321" s="99"/>
      <c r="N321" s="43">
        <f t="shared" si="4"/>
        <v>0</v>
      </c>
    </row>
    <row r="322" spans="2:14">
      <c r="B322" s="57"/>
      <c r="C322" s="60"/>
      <c r="D322" s="60"/>
      <c r="E322" s="60"/>
      <c r="F322" s="60"/>
      <c r="G322" s="60"/>
      <c r="J322" s="99"/>
      <c r="K322" s="99"/>
      <c r="L322" s="99"/>
      <c r="M322" s="99"/>
      <c r="N322" s="43">
        <f t="shared" si="4"/>
        <v>0</v>
      </c>
    </row>
    <row r="323" spans="2:14">
      <c r="B323" s="57"/>
      <c r="C323" s="60"/>
      <c r="D323" s="60"/>
      <c r="E323" s="60"/>
      <c r="F323" s="60"/>
      <c r="G323" s="60"/>
      <c r="J323" s="99"/>
      <c r="K323" s="99"/>
      <c r="L323" s="99"/>
      <c r="M323" s="99"/>
      <c r="N323" s="43">
        <f t="shared" si="4"/>
        <v>0</v>
      </c>
    </row>
    <row r="324" spans="2:14">
      <c r="B324" s="57"/>
      <c r="C324" s="60"/>
      <c r="D324" s="60"/>
      <c r="E324" s="60"/>
      <c r="F324" s="60"/>
      <c r="G324" s="60"/>
      <c r="J324" s="99"/>
      <c r="K324" s="99"/>
      <c r="L324" s="99"/>
      <c r="M324" s="99"/>
      <c r="N324" s="43">
        <f t="shared" si="4"/>
        <v>0</v>
      </c>
    </row>
    <row r="325" spans="2:14">
      <c r="B325" s="57"/>
      <c r="C325" s="60"/>
      <c r="D325" s="60"/>
      <c r="E325" s="60"/>
      <c r="F325" s="60"/>
      <c r="G325" s="60"/>
      <c r="J325" s="99"/>
      <c r="K325" s="99"/>
      <c r="L325" s="99"/>
      <c r="M325" s="99"/>
      <c r="N325" s="43">
        <f t="shared" si="4"/>
        <v>0</v>
      </c>
    </row>
    <row r="326" spans="2:14">
      <c r="B326" s="57"/>
      <c r="C326" s="60"/>
      <c r="D326" s="60"/>
      <c r="E326" s="60"/>
      <c r="F326" s="60"/>
      <c r="G326" s="60"/>
      <c r="J326" s="99"/>
      <c r="K326" s="99"/>
      <c r="L326" s="99"/>
      <c r="M326" s="99"/>
      <c r="N326" s="43">
        <f t="shared" si="4"/>
        <v>0</v>
      </c>
    </row>
    <row r="327" spans="2:14">
      <c r="B327" s="57"/>
      <c r="C327" s="60"/>
      <c r="D327" s="60"/>
      <c r="E327" s="60"/>
      <c r="F327" s="60"/>
      <c r="G327" s="60"/>
      <c r="J327" s="99"/>
      <c r="K327" s="99"/>
      <c r="L327" s="99"/>
      <c r="M327" s="99"/>
      <c r="N327" s="43">
        <f t="shared" si="4"/>
        <v>0</v>
      </c>
    </row>
    <row r="328" spans="2:14">
      <c r="B328" s="57"/>
      <c r="C328" s="60"/>
      <c r="D328" s="60"/>
      <c r="E328" s="60"/>
      <c r="F328" s="60"/>
      <c r="G328" s="60"/>
      <c r="J328" s="99"/>
      <c r="K328" s="99"/>
      <c r="L328" s="99"/>
      <c r="M328" s="99"/>
      <c r="N328" s="43">
        <f t="shared" si="4"/>
        <v>0</v>
      </c>
    </row>
    <row r="329" spans="2:14">
      <c r="B329" s="57"/>
      <c r="C329" s="60"/>
      <c r="D329" s="60"/>
      <c r="E329" s="60"/>
      <c r="F329" s="60"/>
      <c r="G329" s="60"/>
      <c r="J329" s="99"/>
      <c r="K329" s="99"/>
      <c r="L329" s="99"/>
      <c r="M329" s="99"/>
      <c r="N329" s="43">
        <f t="shared" si="4"/>
        <v>0</v>
      </c>
    </row>
    <row r="330" spans="2:14">
      <c r="B330" s="57"/>
      <c r="C330" s="60"/>
      <c r="D330" s="60"/>
      <c r="E330" s="60"/>
      <c r="F330" s="60"/>
      <c r="G330" s="60"/>
      <c r="J330" s="99"/>
      <c r="K330" s="99"/>
      <c r="L330" s="99"/>
      <c r="M330" s="99"/>
      <c r="N330" s="43">
        <f t="shared" si="4"/>
        <v>0</v>
      </c>
    </row>
    <row r="331" spans="2:14">
      <c r="B331" s="57"/>
      <c r="C331" s="60"/>
      <c r="D331" s="60"/>
      <c r="E331" s="60"/>
      <c r="F331" s="60"/>
      <c r="G331" s="60"/>
      <c r="J331" s="99"/>
      <c r="K331" s="99"/>
      <c r="L331" s="99"/>
      <c r="M331" s="99"/>
      <c r="N331" s="43">
        <f t="shared" ref="N331:N394" si="5">IF($L$4=$C$10,C331,IF(D331="","",B331))</f>
        <v>0</v>
      </c>
    </row>
    <row r="332" spans="2:14">
      <c r="B332" s="57"/>
      <c r="C332" s="60"/>
      <c r="D332" s="60"/>
      <c r="E332" s="60"/>
      <c r="F332" s="60"/>
      <c r="G332" s="60"/>
      <c r="J332" s="99"/>
      <c r="K332" s="99"/>
      <c r="L332" s="99"/>
      <c r="M332" s="99"/>
      <c r="N332" s="43">
        <f t="shared" si="5"/>
        <v>0</v>
      </c>
    </row>
    <row r="333" spans="2:14">
      <c r="B333" s="57"/>
      <c r="C333" s="60"/>
      <c r="D333" s="60"/>
      <c r="E333" s="60"/>
      <c r="F333" s="60"/>
      <c r="G333" s="60"/>
      <c r="J333" s="99"/>
      <c r="K333" s="99"/>
      <c r="L333" s="99"/>
      <c r="M333" s="99"/>
      <c r="N333" s="43">
        <f t="shared" si="5"/>
        <v>0</v>
      </c>
    </row>
    <row r="334" spans="2:14">
      <c r="B334" s="57"/>
      <c r="C334" s="60"/>
      <c r="D334" s="60"/>
      <c r="E334" s="60"/>
      <c r="F334" s="60"/>
      <c r="G334" s="60"/>
      <c r="J334" s="99"/>
      <c r="K334" s="99"/>
      <c r="L334" s="99"/>
      <c r="M334" s="99"/>
      <c r="N334" s="43">
        <f t="shared" si="5"/>
        <v>0</v>
      </c>
    </row>
    <row r="335" spans="2:14">
      <c r="B335" s="57"/>
      <c r="C335" s="60"/>
      <c r="D335" s="60"/>
      <c r="E335" s="60"/>
      <c r="F335" s="60"/>
      <c r="G335" s="60"/>
      <c r="J335" s="99"/>
      <c r="K335" s="99"/>
      <c r="L335" s="99"/>
      <c r="M335" s="99"/>
      <c r="N335" s="43">
        <f t="shared" si="5"/>
        <v>0</v>
      </c>
    </row>
    <row r="336" spans="2:14">
      <c r="B336" s="57"/>
      <c r="C336" s="60"/>
      <c r="D336" s="60"/>
      <c r="E336" s="60"/>
      <c r="F336" s="60"/>
      <c r="G336" s="60"/>
      <c r="J336" s="99"/>
      <c r="K336" s="99"/>
      <c r="L336" s="99"/>
      <c r="M336" s="99"/>
      <c r="N336" s="43">
        <f t="shared" si="5"/>
        <v>0</v>
      </c>
    </row>
    <row r="337" spans="2:14">
      <c r="B337" s="57"/>
      <c r="C337" s="60"/>
      <c r="D337" s="60"/>
      <c r="E337" s="60"/>
      <c r="F337" s="60"/>
      <c r="G337" s="60"/>
      <c r="J337" s="99"/>
      <c r="K337" s="99"/>
      <c r="L337" s="99"/>
      <c r="M337" s="99"/>
      <c r="N337" s="43">
        <f t="shared" si="5"/>
        <v>0</v>
      </c>
    </row>
    <row r="338" spans="2:14">
      <c r="B338" s="57"/>
      <c r="C338" s="60"/>
      <c r="D338" s="60"/>
      <c r="E338" s="60"/>
      <c r="F338" s="60"/>
      <c r="G338" s="60"/>
      <c r="J338" s="99"/>
      <c r="K338" s="99"/>
      <c r="L338" s="99"/>
      <c r="M338" s="99"/>
      <c r="N338" s="43">
        <f t="shared" si="5"/>
        <v>0</v>
      </c>
    </row>
    <row r="339" spans="2:14">
      <c r="B339" s="57"/>
      <c r="C339" s="60"/>
      <c r="D339" s="60"/>
      <c r="E339" s="60"/>
      <c r="F339" s="60"/>
      <c r="G339" s="60"/>
      <c r="J339" s="99"/>
      <c r="K339" s="99"/>
      <c r="L339" s="99"/>
      <c r="M339" s="99"/>
      <c r="N339" s="43">
        <f t="shared" si="5"/>
        <v>0</v>
      </c>
    </row>
    <row r="340" spans="2:14">
      <c r="B340" s="57"/>
      <c r="C340" s="60"/>
      <c r="D340" s="60"/>
      <c r="E340" s="60"/>
      <c r="F340" s="60"/>
      <c r="G340" s="60"/>
      <c r="J340" s="99"/>
      <c r="K340" s="99"/>
      <c r="L340" s="99"/>
      <c r="M340" s="99"/>
      <c r="N340" s="43">
        <f t="shared" si="5"/>
        <v>0</v>
      </c>
    </row>
    <row r="341" spans="2:14">
      <c r="B341" s="57"/>
      <c r="C341" s="60"/>
      <c r="D341" s="60"/>
      <c r="E341" s="60"/>
      <c r="F341" s="60"/>
      <c r="G341" s="60"/>
      <c r="J341" s="99"/>
      <c r="K341" s="99"/>
      <c r="L341" s="99"/>
      <c r="M341" s="99"/>
      <c r="N341" s="43">
        <f t="shared" si="5"/>
        <v>0</v>
      </c>
    </row>
    <row r="342" spans="2:14">
      <c r="B342" s="57"/>
      <c r="C342" s="60"/>
      <c r="D342" s="60"/>
      <c r="E342" s="60"/>
      <c r="F342" s="60"/>
      <c r="G342" s="60"/>
      <c r="J342" s="99"/>
      <c r="K342" s="99"/>
      <c r="L342" s="99"/>
      <c r="M342" s="99"/>
      <c r="N342" s="43">
        <f t="shared" si="5"/>
        <v>0</v>
      </c>
    </row>
    <row r="343" spans="2:14">
      <c r="B343" s="57"/>
      <c r="C343" s="60"/>
      <c r="D343" s="60"/>
      <c r="E343" s="60"/>
      <c r="F343" s="60"/>
      <c r="G343" s="60"/>
      <c r="J343" s="99"/>
      <c r="K343" s="99"/>
      <c r="L343" s="99"/>
      <c r="M343" s="99"/>
      <c r="N343" s="43">
        <f t="shared" si="5"/>
        <v>0</v>
      </c>
    </row>
    <row r="344" spans="2:14">
      <c r="B344" s="57"/>
      <c r="C344" s="60"/>
      <c r="D344" s="60"/>
      <c r="E344" s="60"/>
      <c r="F344" s="60"/>
      <c r="G344" s="60"/>
      <c r="J344" s="99"/>
      <c r="K344" s="99"/>
      <c r="L344" s="99"/>
      <c r="M344" s="99"/>
      <c r="N344" s="43">
        <f t="shared" si="5"/>
        <v>0</v>
      </c>
    </row>
    <row r="345" spans="2:14">
      <c r="B345" s="57"/>
      <c r="C345" s="60"/>
      <c r="D345" s="60"/>
      <c r="E345" s="60"/>
      <c r="F345" s="60"/>
      <c r="G345" s="60"/>
      <c r="J345" s="99"/>
      <c r="K345" s="99"/>
      <c r="L345" s="99"/>
      <c r="M345" s="99"/>
      <c r="N345" s="43">
        <f t="shared" si="5"/>
        <v>0</v>
      </c>
    </row>
    <row r="346" spans="2:14">
      <c r="B346" s="57"/>
      <c r="C346" s="60"/>
      <c r="D346" s="60"/>
      <c r="E346" s="60"/>
      <c r="F346" s="60"/>
      <c r="G346" s="60"/>
      <c r="J346" s="99"/>
      <c r="K346" s="99"/>
      <c r="L346" s="99"/>
      <c r="M346" s="99"/>
      <c r="N346" s="43">
        <f t="shared" si="5"/>
        <v>0</v>
      </c>
    </row>
    <row r="347" spans="2:14">
      <c r="B347" s="57"/>
      <c r="C347" s="60"/>
      <c r="D347" s="60"/>
      <c r="E347" s="60"/>
      <c r="F347" s="60"/>
      <c r="G347" s="60"/>
      <c r="J347" s="99"/>
      <c r="K347" s="99"/>
      <c r="L347" s="99"/>
      <c r="M347" s="99"/>
      <c r="N347" s="43">
        <f t="shared" si="5"/>
        <v>0</v>
      </c>
    </row>
    <row r="348" spans="2:14">
      <c r="B348" s="57"/>
      <c r="C348" s="60"/>
      <c r="D348" s="60"/>
      <c r="E348" s="60"/>
      <c r="F348" s="60"/>
      <c r="G348" s="60"/>
      <c r="J348" s="99"/>
      <c r="K348" s="99"/>
      <c r="L348" s="99"/>
      <c r="M348" s="99"/>
      <c r="N348" s="43">
        <f t="shared" si="5"/>
        <v>0</v>
      </c>
    </row>
    <row r="349" spans="2:14">
      <c r="B349" s="57"/>
      <c r="C349" s="60"/>
      <c r="D349" s="60"/>
      <c r="E349" s="60"/>
      <c r="F349" s="60"/>
      <c r="G349" s="60"/>
      <c r="J349" s="99"/>
      <c r="K349" s="99"/>
      <c r="L349" s="99"/>
      <c r="M349" s="99"/>
      <c r="N349" s="43">
        <f t="shared" si="5"/>
        <v>0</v>
      </c>
    </row>
    <row r="350" spans="2:14">
      <c r="B350" s="57"/>
      <c r="C350" s="60"/>
      <c r="D350" s="60"/>
      <c r="E350" s="60"/>
      <c r="F350" s="60"/>
      <c r="G350" s="60"/>
      <c r="J350" s="99"/>
      <c r="K350" s="99"/>
      <c r="L350" s="99"/>
      <c r="M350" s="99"/>
      <c r="N350" s="43">
        <f t="shared" si="5"/>
        <v>0</v>
      </c>
    </row>
    <row r="351" spans="2:14">
      <c r="B351" s="57"/>
      <c r="C351" s="60"/>
      <c r="D351" s="60"/>
      <c r="E351" s="60"/>
      <c r="F351" s="60"/>
      <c r="G351" s="60"/>
      <c r="J351" s="99"/>
      <c r="K351" s="99"/>
      <c r="L351" s="99"/>
      <c r="M351" s="99"/>
      <c r="N351" s="43">
        <f t="shared" si="5"/>
        <v>0</v>
      </c>
    </row>
    <row r="352" spans="2:14">
      <c r="B352" s="57"/>
      <c r="C352" s="60"/>
      <c r="D352" s="60"/>
      <c r="E352" s="60"/>
      <c r="F352" s="60"/>
      <c r="G352" s="60"/>
      <c r="J352" s="99"/>
      <c r="K352" s="99"/>
      <c r="L352" s="99"/>
      <c r="M352" s="99"/>
      <c r="N352" s="43">
        <f t="shared" si="5"/>
        <v>0</v>
      </c>
    </row>
    <row r="353" spans="2:14">
      <c r="B353" s="57"/>
      <c r="C353" s="60"/>
      <c r="D353" s="60"/>
      <c r="E353" s="60"/>
      <c r="F353" s="60"/>
      <c r="G353" s="60"/>
      <c r="J353" s="99"/>
      <c r="K353" s="99"/>
      <c r="L353" s="99"/>
      <c r="M353" s="99"/>
      <c r="N353" s="43">
        <f t="shared" si="5"/>
        <v>0</v>
      </c>
    </row>
    <row r="354" spans="2:14">
      <c r="B354" s="57"/>
      <c r="C354" s="60"/>
      <c r="D354" s="60"/>
      <c r="E354" s="60"/>
      <c r="F354" s="60"/>
      <c r="G354" s="60"/>
      <c r="J354" s="99"/>
      <c r="K354" s="99"/>
      <c r="L354" s="99"/>
      <c r="M354" s="99"/>
      <c r="N354" s="43">
        <f t="shared" si="5"/>
        <v>0</v>
      </c>
    </row>
    <row r="355" spans="2:14">
      <c r="B355" s="57"/>
      <c r="C355" s="60"/>
      <c r="D355" s="60"/>
      <c r="E355" s="60"/>
      <c r="F355" s="60"/>
      <c r="G355" s="60"/>
      <c r="J355" s="99"/>
      <c r="K355" s="99"/>
      <c r="L355" s="99"/>
      <c r="M355" s="99"/>
      <c r="N355" s="43">
        <f t="shared" si="5"/>
        <v>0</v>
      </c>
    </row>
    <row r="356" spans="2:14">
      <c r="B356" s="57"/>
      <c r="C356" s="60"/>
      <c r="D356" s="60"/>
      <c r="E356" s="60"/>
      <c r="F356" s="60"/>
      <c r="G356" s="60"/>
      <c r="J356" s="99"/>
      <c r="K356" s="99"/>
      <c r="L356" s="99"/>
      <c r="M356" s="99"/>
      <c r="N356" s="43">
        <f t="shared" si="5"/>
        <v>0</v>
      </c>
    </row>
    <row r="357" spans="2:14">
      <c r="B357" s="57"/>
      <c r="C357" s="60"/>
      <c r="D357" s="60"/>
      <c r="E357" s="60"/>
      <c r="F357" s="60"/>
      <c r="G357" s="60"/>
      <c r="J357" s="99"/>
      <c r="K357" s="99"/>
      <c r="L357" s="99"/>
      <c r="M357" s="99"/>
      <c r="N357" s="43">
        <f t="shared" si="5"/>
        <v>0</v>
      </c>
    </row>
    <row r="358" spans="2:14">
      <c r="B358" s="57"/>
      <c r="C358" s="60"/>
      <c r="D358" s="60"/>
      <c r="E358" s="60"/>
      <c r="F358" s="60"/>
      <c r="G358" s="60"/>
      <c r="J358" s="99"/>
      <c r="K358" s="99"/>
      <c r="L358" s="99"/>
      <c r="M358" s="99"/>
      <c r="N358" s="43">
        <f t="shared" si="5"/>
        <v>0</v>
      </c>
    </row>
    <row r="359" spans="2:14">
      <c r="B359" s="57"/>
      <c r="C359" s="60"/>
      <c r="D359" s="60"/>
      <c r="E359" s="60"/>
      <c r="F359" s="60"/>
      <c r="G359" s="60"/>
      <c r="J359" s="99"/>
      <c r="K359" s="99"/>
      <c r="L359" s="99"/>
      <c r="M359" s="99"/>
      <c r="N359" s="43">
        <f t="shared" si="5"/>
        <v>0</v>
      </c>
    </row>
    <row r="360" spans="2:14">
      <c r="B360" s="57"/>
      <c r="C360" s="60"/>
      <c r="D360" s="60"/>
      <c r="E360" s="60"/>
      <c r="F360" s="60"/>
      <c r="G360" s="60"/>
      <c r="J360" s="99"/>
      <c r="K360" s="99"/>
      <c r="L360" s="99"/>
      <c r="M360" s="99"/>
      <c r="N360" s="43">
        <f t="shared" si="5"/>
        <v>0</v>
      </c>
    </row>
    <row r="361" spans="2:14">
      <c r="B361" s="57"/>
      <c r="C361" s="60"/>
      <c r="D361" s="60"/>
      <c r="E361" s="60"/>
      <c r="F361" s="60"/>
      <c r="G361" s="60"/>
      <c r="J361" s="99"/>
      <c r="K361" s="99"/>
      <c r="L361" s="99"/>
      <c r="M361" s="99"/>
      <c r="N361" s="43">
        <f t="shared" si="5"/>
        <v>0</v>
      </c>
    </row>
    <row r="362" spans="2:14">
      <c r="B362" s="57"/>
      <c r="C362" s="60"/>
      <c r="D362" s="60"/>
      <c r="E362" s="60"/>
      <c r="F362" s="60"/>
      <c r="G362" s="60"/>
      <c r="J362" s="99"/>
      <c r="K362" s="99"/>
      <c r="L362" s="99"/>
      <c r="M362" s="99"/>
      <c r="N362" s="43">
        <f t="shared" si="5"/>
        <v>0</v>
      </c>
    </row>
    <row r="363" spans="2:14">
      <c r="B363" s="57"/>
      <c r="C363" s="60"/>
      <c r="D363" s="60"/>
      <c r="E363" s="60"/>
      <c r="F363" s="60"/>
      <c r="G363" s="60"/>
      <c r="J363" s="99"/>
      <c r="K363" s="99"/>
      <c r="L363" s="99"/>
      <c r="M363" s="99"/>
      <c r="N363" s="43">
        <f t="shared" si="5"/>
        <v>0</v>
      </c>
    </row>
    <row r="364" spans="2:14">
      <c r="B364" s="57"/>
      <c r="C364" s="60"/>
      <c r="D364" s="60"/>
      <c r="E364" s="60"/>
      <c r="F364" s="60"/>
      <c r="G364" s="60"/>
      <c r="J364" s="99"/>
      <c r="K364" s="99"/>
      <c r="L364" s="99"/>
      <c r="M364" s="99"/>
      <c r="N364" s="43">
        <f t="shared" si="5"/>
        <v>0</v>
      </c>
    </row>
    <row r="365" spans="2:14">
      <c r="B365" s="57"/>
      <c r="C365" s="60"/>
      <c r="D365" s="60"/>
      <c r="E365" s="60"/>
      <c r="F365" s="60"/>
      <c r="G365" s="60"/>
      <c r="J365" s="99"/>
      <c r="K365" s="99"/>
      <c r="L365" s="99"/>
      <c r="M365" s="99"/>
      <c r="N365" s="43">
        <f t="shared" si="5"/>
        <v>0</v>
      </c>
    </row>
    <row r="366" spans="2:14">
      <c r="B366" s="57"/>
      <c r="C366" s="60"/>
      <c r="D366" s="60"/>
      <c r="E366" s="60"/>
      <c r="F366" s="60"/>
      <c r="G366" s="60"/>
      <c r="J366" s="99"/>
      <c r="K366" s="99"/>
      <c r="L366" s="99"/>
      <c r="M366" s="99"/>
      <c r="N366" s="43">
        <f t="shared" si="5"/>
        <v>0</v>
      </c>
    </row>
    <row r="367" spans="2:14">
      <c r="B367" s="57"/>
      <c r="C367" s="60"/>
      <c r="D367" s="60"/>
      <c r="E367" s="60"/>
      <c r="F367" s="60"/>
      <c r="G367" s="60"/>
      <c r="J367" s="99"/>
      <c r="K367" s="99"/>
      <c r="L367" s="99"/>
      <c r="M367" s="99"/>
      <c r="N367" s="43">
        <f t="shared" si="5"/>
        <v>0</v>
      </c>
    </row>
    <row r="368" spans="2:14">
      <c r="B368" s="57"/>
      <c r="C368" s="60"/>
      <c r="D368" s="60"/>
      <c r="E368" s="60"/>
      <c r="F368" s="60"/>
      <c r="G368" s="60"/>
      <c r="J368" s="99"/>
      <c r="K368" s="99"/>
      <c r="L368" s="99"/>
      <c r="M368" s="99"/>
      <c r="N368" s="43">
        <f t="shared" si="5"/>
        <v>0</v>
      </c>
    </row>
    <row r="369" spans="2:14">
      <c r="B369" s="57"/>
      <c r="C369" s="60"/>
      <c r="D369" s="60"/>
      <c r="E369" s="60"/>
      <c r="F369" s="60"/>
      <c r="G369" s="60"/>
      <c r="J369" s="99"/>
      <c r="K369" s="99"/>
      <c r="L369" s="99"/>
      <c r="M369" s="99"/>
      <c r="N369" s="43">
        <f t="shared" si="5"/>
        <v>0</v>
      </c>
    </row>
    <row r="370" spans="2:14">
      <c r="B370" s="57"/>
      <c r="C370" s="60"/>
      <c r="D370" s="60"/>
      <c r="E370" s="60"/>
      <c r="F370" s="60"/>
      <c r="G370" s="60"/>
      <c r="J370" s="99"/>
      <c r="K370" s="99"/>
      <c r="L370" s="99"/>
      <c r="M370" s="99"/>
      <c r="N370" s="43">
        <f t="shared" si="5"/>
        <v>0</v>
      </c>
    </row>
    <row r="371" spans="2:14">
      <c r="B371" s="57"/>
      <c r="C371" s="60"/>
      <c r="D371" s="60"/>
      <c r="E371" s="60"/>
      <c r="F371" s="60"/>
      <c r="G371" s="60"/>
      <c r="J371" s="99"/>
      <c r="K371" s="99"/>
      <c r="L371" s="99"/>
      <c r="M371" s="99"/>
      <c r="N371" s="43">
        <f t="shared" si="5"/>
        <v>0</v>
      </c>
    </row>
    <row r="372" spans="2:14">
      <c r="B372" s="57"/>
      <c r="C372" s="60"/>
      <c r="D372" s="60"/>
      <c r="E372" s="60"/>
      <c r="F372" s="60"/>
      <c r="G372" s="60"/>
      <c r="J372" s="99"/>
      <c r="K372" s="99"/>
      <c r="L372" s="99"/>
      <c r="M372" s="99"/>
      <c r="N372" s="43">
        <f t="shared" si="5"/>
        <v>0</v>
      </c>
    </row>
    <row r="373" spans="2:14">
      <c r="B373" s="57"/>
      <c r="C373" s="60"/>
      <c r="D373" s="60"/>
      <c r="E373" s="60"/>
      <c r="F373" s="60"/>
      <c r="G373" s="60"/>
      <c r="J373" s="99"/>
      <c r="K373" s="99"/>
      <c r="L373" s="99"/>
      <c r="M373" s="99"/>
      <c r="N373" s="43">
        <f t="shared" si="5"/>
        <v>0</v>
      </c>
    </row>
    <row r="374" spans="2:14">
      <c r="B374" s="57"/>
      <c r="C374" s="60"/>
      <c r="D374" s="60"/>
      <c r="E374" s="60"/>
      <c r="F374" s="60"/>
      <c r="G374" s="60"/>
      <c r="J374" s="99"/>
      <c r="K374" s="99"/>
      <c r="L374" s="99"/>
      <c r="M374" s="99"/>
      <c r="N374" s="43">
        <f t="shared" si="5"/>
        <v>0</v>
      </c>
    </row>
    <row r="375" spans="2:14">
      <c r="B375" s="57"/>
      <c r="C375" s="60"/>
      <c r="D375" s="60"/>
      <c r="E375" s="60"/>
      <c r="F375" s="60"/>
      <c r="G375" s="60"/>
      <c r="J375" s="99"/>
      <c r="K375" s="99"/>
      <c r="L375" s="99"/>
      <c r="M375" s="99"/>
      <c r="N375" s="43">
        <f t="shared" si="5"/>
        <v>0</v>
      </c>
    </row>
    <row r="376" spans="2:14">
      <c r="B376" s="57"/>
      <c r="C376" s="60"/>
      <c r="D376" s="60"/>
      <c r="E376" s="60"/>
      <c r="F376" s="60"/>
      <c r="G376" s="60"/>
      <c r="J376" s="99"/>
      <c r="K376" s="99"/>
      <c r="L376" s="99"/>
      <c r="M376" s="99"/>
      <c r="N376" s="43">
        <f t="shared" si="5"/>
        <v>0</v>
      </c>
    </row>
    <row r="377" spans="2:14">
      <c r="B377" s="57"/>
      <c r="C377" s="60"/>
      <c r="D377" s="60"/>
      <c r="E377" s="60"/>
      <c r="F377" s="60"/>
      <c r="G377" s="60"/>
      <c r="J377" s="99"/>
      <c r="K377" s="99"/>
      <c r="L377" s="99"/>
      <c r="M377" s="99"/>
      <c r="N377" s="43">
        <f t="shared" si="5"/>
        <v>0</v>
      </c>
    </row>
    <row r="378" spans="2:14">
      <c r="B378" s="57"/>
      <c r="C378" s="60"/>
      <c r="D378" s="60"/>
      <c r="E378" s="60"/>
      <c r="F378" s="60"/>
      <c r="G378" s="60"/>
      <c r="J378" s="99"/>
      <c r="K378" s="99"/>
      <c r="L378" s="99"/>
      <c r="M378" s="99"/>
      <c r="N378" s="43">
        <f t="shared" si="5"/>
        <v>0</v>
      </c>
    </row>
    <row r="379" spans="2:14">
      <c r="B379" s="57"/>
      <c r="C379" s="60"/>
      <c r="D379" s="60"/>
      <c r="E379" s="60"/>
      <c r="F379" s="60"/>
      <c r="G379" s="60"/>
      <c r="J379" s="99"/>
      <c r="K379" s="99"/>
      <c r="L379" s="99"/>
      <c r="M379" s="99"/>
      <c r="N379" s="43">
        <f t="shared" si="5"/>
        <v>0</v>
      </c>
    </row>
    <row r="380" spans="2:14">
      <c r="B380" s="57"/>
      <c r="C380" s="60"/>
      <c r="D380" s="60"/>
      <c r="E380" s="60"/>
      <c r="F380" s="60"/>
      <c r="G380" s="60"/>
      <c r="J380" s="99"/>
      <c r="K380" s="99"/>
      <c r="L380" s="99"/>
      <c r="M380" s="99"/>
      <c r="N380" s="43">
        <f t="shared" si="5"/>
        <v>0</v>
      </c>
    </row>
    <row r="381" spans="2:14">
      <c r="B381" s="57"/>
      <c r="C381" s="60"/>
      <c r="D381" s="60"/>
      <c r="E381" s="60"/>
      <c r="F381" s="60"/>
      <c r="G381" s="60"/>
      <c r="J381" s="99"/>
      <c r="K381" s="99"/>
      <c r="L381" s="99"/>
      <c r="M381" s="99"/>
      <c r="N381" s="43">
        <f t="shared" si="5"/>
        <v>0</v>
      </c>
    </row>
    <row r="382" spans="2:14">
      <c r="B382" s="57"/>
      <c r="C382" s="60"/>
      <c r="D382" s="60"/>
      <c r="E382" s="60"/>
      <c r="F382" s="60"/>
      <c r="G382" s="60"/>
      <c r="J382" s="99"/>
      <c r="K382" s="99"/>
      <c r="L382" s="99"/>
      <c r="M382" s="99"/>
      <c r="N382" s="43">
        <f t="shared" si="5"/>
        <v>0</v>
      </c>
    </row>
    <row r="383" spans="2:14">
      <c r="B383" s="57"/>
      <c r="C383" s="60"/>
      <c r="D383" s="60"/>
      <c r="E383" s="60"/>
      <c r="F383" s="60"/>
      <c r="G383" s="60"/>
      <c r="J383" s="99"/>
      <c r="K383" s="99"/>
      <c r="L383" s="99"/>
      <c r="M383" s="99"/>
      <c r="N383" s="43">
        <f t="shared" si="5"/>
        <v>0</v>
      </c>
    </row>
    <row r="384" spans="2:14">
      <c r="B384" s="57"/>
      <c r="C384" s="60"/>
      <c r="D384" s="60"/>
      <c r="E384" s="60"/>
      <c r="F384" s="60"/>
      <c r="G384" s="60"/>
      <c r="J384" s="99"/>
      <c r="K384" s="99"/>
      <c r="L384" s="99"/>
      <c r="M384" s="99"/>
      <c r="N384" s="43">
        <f t="shared" si="5"/>
        <v>0</v>
      </c>
    </row>
    <row r="385" spans="2:14">
      <c r="B385" s="57"/>
      <c r="C385" s="60"/>
      <c r="D385" s="60"/>
      <c r="E385" s="60"/>
      <c r="F385" s="60"/>
      <c r="G385" s="60"/>
      <c r="J385" s="99"/>
      <c r="K385" s="99"/>
      <c r="L385" s="99"/>
      <c r="M385" s="99"/>
      <c r="N385" s="43">
        <f t="shared" si="5"/>
        <v>0</v>
      </c>
    </row>
    <row r="386" spans="2:14">
      <c r="B386" s="57"/>
      <c r="C386" s="60"/>
      <c r="D386" s="60"/>
      <c r="E386" s="60"/>
      <c r="F386" s="60"/>
      <c r="G386" s="60"/>
      <c r="J386" s="99"/>
      <c r="K386" s="99"/>
      <c r="L386" s="99"/>
      <c r="M386" s="99"/>
      <c r="N386" s="43">
        <f t="shared" si="5"/>
        <v>0</v>
      </c>
    </row>
    <row r="387" spans="2:14">
      <c r="B387" s="57"/>
      <c r="C387" s="60"/>
      <c r="D387" s="60"/>
      <c r="E387" s="60"/>
      <c r="F387" s="60"/>
      <c r="G387" s="60"/>
      <c r="J387" s="99"/>
      <c r="K387" s="99"/>
      <c r="L387" s="99"/>
      <c r="M387" s="99"/>
      <c r="N387" s="43">
        <f t="shared" si="5"/>
        <v>0</v>
      </c>
    </row>
    <row r="388" spans="2:14">
      <c r="B388" s="57"/>
      <c r="C388" s="60"/>
      <c r="D388" s="60"/>
      <c r="E388" s="60"/>
      <c r="F388" s="60"/>
      <c r="G388" s="60"/>
      <c r="J388" s="99"/>
      <c r="K388" s="99"/>
      <c r="L388" s="99"/>
      <c r="M388" s="99"/>
      <c r="N388" s="43">
        <f t="shared" si="5"/>
        <v>0</v>
      </c>
    </row>
    <row r="389" spans="2:14">
      <c r="B389" s="57"/>
      <c r="C389" s="60"/>
      <c r="D389" s="60"/>
      <c r="E389" s="60"/>
      <c r="F389" s="60"/>
      <c r="G389" s="60"/>
      <c r="J389" s="99"/>
      <c r="K389" s="99"/>
      <c r="L389" s="99"/>
      <c r="M389" s="99"/>
      <c r="N389" s="43">
        <f t="shared" si="5"/>
        <v>0</v>
      </c>
    </row>
    <row r="390" spans="2:14">
      <c r="B390" s="57"/>
      <c r="C390" s="60"/>
      <c r="D390" s="60"/>
      <c r="E390" s="60"/>
      <c r="F390" s="60"/>
      <c r="G390" s="60"/>
      <c r="J390" s="99"/>
      <c r="K390" s="99"/>
      <c r="L390" s="99"/>
      <c r="M390" s="99"/>
      <c r="N390" s="43">
        <f t="shared" si="5"/>
        <v>0</v>
      </c>
    </row>
    <row r="391" spans="2:14">
      <c r="B391" s="57"/>
      <c r="C391" s="60"/>
      <c r="D391" s="60"/>
      <c r="E391" s="60"/>
      <c r="F391" s="60"/>
      <c r="G391" s="60"/>
      <c r="J391" s="99"/>
      <c r="K391" s="99"/>
      <c r="L391" s="99"/>
      <c r="M391" s="99"/>
      <c r="N391" s="43">
        <f t="shared" si="5"/>
        <v>0</v>
      </c>
    </row>
    <row r="392" spans="2:14">
      <c r="B392" s="57"/>
      <c r="C392" s="60"/>
      <c r="D392" s="60"/>
      <c r="E392" s="60"/>
      <c r="F392" s="60"/>
      <c r="G392" s="60"/>
      <c r="J392" s="99"/>
      <c r="K392" s="99"/>
      <c r="L392" s="99"/>
      <c r="M392" s="99"/>
      <c r="N392" s="43">
        <f t="shared" si="5"/>
        <v>0</v>
      </c>
    </row>
    <row r="393" spans="2:14">
      <c r="B393" s="57"/>
      <c r="C393" s="60"/>
      <c r="D393" s="60"/>
      <c r="E393" s="60"/>
      <c r="F393" s="60"/>
      <c r="G393" s="60"/>
      <c r="J393" s="99"/>
      <c r="K393" s="99"/>
      <c r="L393" s="99"/>
      <c r="M393" s="99"/>
      <c r="N393" s="43">
        <f t="shared" si="5"/>
        <v>0</v>
      </c>
    </row>
    <row r="394" spans="2:14">
      <c r="B394" s="57"/>
      <c r="C394" s="60"/>
      <c r="D394" s="60"/>
      <c r="E394" s="60"/>
      <c r="F394" s="60"/>
      <c r="G394" s="60"/>
      <c r="J394" s="99"/>
      <c r="K394" s="99"/>
      <c r="L394" s="99"/>
      <c r="M394" s="99"/>
      <c r="N394" s="43">
        <f t="shared" si="5"/>
        <v>0</v>
      </c>
    </row>
    <row r="395" spans="2:14">
      <c r="B395" s="57"/>
      <c r="C395" s="60"/>
      <c r="D395" s="60"/>
      <c r="E395" s="60"/>
      <c r="F395" s="60"/>
      <c r="G395" s="60"/>
      <c r="J395" s="99"/>
      <c r="K395" s="99"/>
      <c r="L395" s="99"/>
      <c r="M395" s="99"/>
      <c r="N395" s="43">
        <f t="shared" ref="N395:N458" si="6">IF($L$4=$C$10,C395,IF(D395="","",B395))</f>
        <v>0</v>
      </c>
    </row>
    <row r="396" spans="2:14">
      <c r="B396" s="57"/>
      <c r="C396" s="60"/>
      <c r="D396" s="60"/>
      <c r="E396" s="60"/>
      <c r="F396" s="60"/>
      <c r="G396" s="60"/>
      <c r="J396" s="99"/>
      <c r="K396" s="99"/>
      <c r="L396" s="99"/>
      <c r="M396" s="99"/>
      <c r="N396" s="43">
        <f t="shared" si="6"/>
        <v>0</v>
      </c>
    </row>
    <row r="397" spans="2:14">
      <c r="B397" s="57"/>
      <c r="C397" s="60"/>
      <c r="D397" s="60"/>
      <c r="E397" s="60"/>
      <c r="F397" s="60"/>
      <c r="G397" s="60"/>
      <c r="J397" s="99"/>
      <c r="K397" s="99"/>
      <c r="L397" s="99"/>
      <c r="M397" s="99"/>
      <c r="N397" s="43">
        <f t="shared" si="6"/>
        <v>0</v>
      </c>
    </row>
    <row r="398" spans="2:14">
      <c r="B398" s="57"/>
      <c r="C398" s="60"/>
      <c r="D398" s="60"/>
      <c r="E398" s="60"/>
      <c r="F398" s="60"/>
      <c r="G398" s="60"/>
      <c r="J398" s="99"/>
      <c r="K398" s="99"/>
      <c r="L398" s="99"/>
      <c r="M398" s="99"/>
      <c r="N398" s="43">
        <f t="shared" si="6"/>
        <v>0</v>
      </c>
    </row>
    <row r="399" spans="2:14">
      <c r="B399" s="57"/>
      <c r="C399" s="60"/>
      <c r="D399" s="60"/>
      <c r="E399" s="60"/>
      <c r="F399" s="60"/>
      <c r="G399" s="60"/>
      <c r="J399" s="99"/>
      <c r="K399" s="99"/>
      <c r="L399" s="99"/>
      <c r="M399" s="99"/>
      <c r="N399" s="43">
        <f t="shared" si="6"/>
        <v>0</v>
      </c>
    </row>
    <row r="400" spans="2:14">
      <c r="B400" s="57"/>
      <c r="C400" s="60"/>
      <c r="D400" s="60"/>
      <c r="E400" s="60"/>
      <c r="F400" s="60"/>
      <c r="G400" s="60"/>
      <c r="J400" s="99"/>
      <c r="K400" s="99"/>
      <c r="L400" s="99"/>
      <c r="M400" s="99"/>
      <c r="N400" s="43">
        <f t="shared" si="6"/>
        <v>0</v>
      </c>
    </row>
    <row r="401" spans="2:14">
      <c r="B401" s="57"/>
      <c r="C401" s="60"/>
      <c r="D401" s="60"/>
      <c r="E401" s="60"/>
      <c r="F401" s="60"/>
      <c r="G401" s="60"/>
      <c r="J401" s="99"/>
      <c r="K401" s="99"/>
      <c r="L401" s="99"/>
      <c r="M401" s="99"/>
      <c r="N401" s="43">
        <f t="shared" si="6"/>
        <v>0</v>
      </c>
    </row>
    <row r="402" spans="2:14">
      <c r="B402" s="57"/>
      <c r="C402" s="60"/>
      <c r="D402" s="60"/>
      <c r="E402" s="60"/>
      <c r="F402" s="60"/>
      <c r="G402" s="60"/>
      <c r="J402" s="99"/>
      <c r="K402" s="99"/>
      <c r="L402" s="99"/>
      <c r="M402" s="99"/>
      <c r="N402" s="43">
        <f t="shared" si="6"/>
        <v>0</v>
      </c>
    </row>
    <row r="403" spans="2:14">
      <c r="B403" s="57"/>
      <c r="C403" s="60"/>
      <c r="D403" s="60"/>
      <c r="E403" s="60"/>
      <c r="F403" s="60"/>
      <c r="G403" s="60"/>
      <c r="J403" s="99"/>
      <c r="K403" s="99"/>
      <c r="L403" s="99"/>
      <c r="M403" s="99"/>
      <c r="N403" s="43">
        <f t="shared" si="6"/>
        <v>0</v>
      </c>
    </row>
    <row r="404" spans="2:14">
      <c r="B404" s="57"/>
      <c r="C404" s="60"/>
      <c r="D404" s="60"/>
      <c r="E404" s="60"/>
      <c r="F404" s="60"/>
      <c r="G404" s="60"/>
      <c r="J404" s="99"/>
      <c r="K404" s="99"/>
      <c r="L404" s="99"/>
      <c r="M404" s="99"/>
      <c r="N404" s="43">
        <f t="shared" si="6"/>
        <v>0</v>
      </c>
    </row>
    <row r="405" spans="2:14">
      <c r="B405" s="57"/>
      <c r="C405" s="60"/>
      <c r="D405" s="60"/>
      <c r="E405" s="60"/>
      <c r="F405" s="60"/>
      <c r="G405" s="60"/>
      <c r="J405" s="99"/>
      <c r="K405" s="99"/>
      <c r="L405" s="99"/>
      <c r="M405" s="99"/>
      <c r="N405" s="43">
        <f t="shared" si="6"/>
        <v>0</v>
      </c>
    </row>
    <row r="406" spans="2:14">
      <c r="B406" s="57"/>
      <c r="C406" s="60"/>
      <c r="D406" s="60"/>
      <c r="E406" s="60"/>
      <c r="F406" s="60"/>
      <c r="G406" s="60"/>
      <c r="J406" s="99"/>
      <c r="K406" s="99"/>
      <c r="L406" s="99"/>
      <c r="M406" s="99"/>
      <c r="N406" s="43">
        <f t="shared" si="6"/>
        <v>0</v>
      </c>
    </row>
    <row r="407" spans="2:14">
      <c r="B407" s="57"/>
      <c r="C407" s="60"/>
      <c r="D407" s="60"/>
      <c r="E407" s="60"/>
      <c r="F407" s="60"/>
      <c r="G407" s="60"/>
      <c r="J407" s="99"/>
      <c r="K407" s="99"/>
      <c r="L407" s="99"/>
      <c r="M407" s="99"/>
      <c r="N407" s="43">
        <f t="shared" si="6"/>
        <v>0</v>
      </c>
    </row>
    <row r="408" spans="2:14">
      <c r="B408" s="57"/>
      <c r="C408" s="60"/>
      <c r="D408" s="60"/>
      <c r="E408" s="60"/>
      <c r="F408" s="60"/>
      <c r="G408" s="60"/>
      <c r="J408" s="99"/>
      <c r="K408" s="99"/>
      <c r="L408" s="99"/>
      <c r="M408" s="99"/>
      <c r="N408" s="43">
        <f t="shared" si="6"/>
        <v>0</v>
      </c>
    </row>
    <row r="409" spans="2:14">
      <c r="B409" s="57"/>
      <c r="C409" s="60"/>
      <c r="D409" s="60"/>
      <c r="E409" s="60"/>
      <c r="F409" s="60"/>
      <c r="G409" s="60"/>
      <c r="J409" s="99"/>
      <c r="K409" s="99"/>
      <c r="L409" s="99"/>
      <c r="M409" s="99"/>
      <c r="N409" s="43">
        <f t="shared" si="6"/>
        <v>0</v>
      </c>
    </row>
    <row r="410" spans="2:14">
      <c r="B410" s="57"/>
      <c r="C410" s="60"/>
      <c r="D410" s="60"/>
      <c r="E410" s="60"/>
      <c r="F410" s="60"/>
      <c r="G410" s="60"/>
      <c r="J410" s="99"/>
      <c r="K410" s="99"/>
      <c r="L410" s="99"/>
      <c r="M410" s="99"/>
      <c r="N410" s="43">
        <f t="shared" si="6"/>
        <v>0</v>
      </c>
    </row>
    <row r="411" spans="2:14">
      <c r="B411" s="57"/>
      <c r="C411" s="60"/>
      <c r="D411" s="60"/>
      <c r="E411" s="60"/>
      <c r="F411" s="60"/>
      <c r="G411" s="60"/>
      <c r="J411" s="99"/>
      <c r="K411" s="99"/>
      <c r="L411" s="99"/>
      <c r="M411" s="99"/>
      <c r="N411" s="43">
        <f t="shared" si="6"/>
        <v>0</v>
      </c>
    </row>
    <row r="412" spans="2:14">
      <c r="B412" s="57"/>
      <c r="C412" s="60"/>
      <c r="D412" s="60"/>
      <c r="E412" s="60"/>
      <c r="F412" s="60"/>
      <c r="G412" s="60"/>
      <c r="J412" s="99"/>
      <c r="K412" s="99"/>
      <c r="L412" s="99"/>
      <c r="M412" s="99"/>
      <c r="N412" s="43">
        <f t="shared" si="6"/>
        <v>0</v>
      </c>
    </row>
    <row r="413" spans="2:14">
      <c r="B413" s="57"/>
      <c r="C413" s="60"/>
      <c r="D413" s="60"/>
      <c r="E413" s="60"/>
      <c r="F413" s="60"/>
      <c r="G413" s="60"/>
      <c r="J413" s="99"/>
      <c r="K413" s="99"/>
      <c r="L413" s="99"/>
      <c r="M413" s="99"/>
      <c r="N413" s="43">
        <f t="shared" si="6"/>
        <v>0</v>
      </c>
    </row>
    <row r="414" spans="2:14">
      <c r="B414" s="57"/>
      <c r="C414" s="60"/>
      <c r="D414" s="60"/>
      <c r="E414" s="60"/>
      <c r="F414" s="60"/>
      <c r="G414" s="60"/>
      <c r="J414" s="99"/>
      <c r="K414" s="99"/>
      <c r="L414" s="99"/>
      <c r="M414" s="99"/>
      <c r="N414" s="43">
        <f t="shared" si="6"/>
        <v>0</v>
      </c>
    </row>
    <row r="415" spans="2:14">
      <c r="B415" s="57"/>
      <c r="C415" s="60"/>
      <c r="D415" s="60"/>
      <c r="E415" s="60"/>
      <c r="F415" s="60"/>
      <c r="G415" s="60"/>
      <c r="J415" s="99"/>
      <c r="K415" s="99"/>
      <c r="L415" s="99"/>
      <c r="M415" s="99"/>
      <c r="N415" s="43">
        <f t="shared" si="6"/>
        <v>0</v>
      </c>
    </row>
    <row r="416" spans="2:14">
      <c r="B416" s="57"/>
      <c r="C416" s="60"/>
      <c r="D416" s="60"/>
      <c r="E416" s="60"/>
      <c r="F416" s="60"/>
      <c r="G416" s="60"/>
      <c r="J416" s="99"/>
      <c r="K416" s="99"/>
      <c r="L416" s="99"/>
      <c r="M416" s="99"/>
      <c r="N416" s="43">
        <f t="shared" si="6"/>
        <v>0</v>
      </c>
    </row>
    <row r="417" spans="2:14">
      <c r="B417" s="57"/>
      <c r="C417" s="60"/>
      <c r="D417" s="60"/>
      <c r="E417" s="60"/>
      <c r="F417" s="60"/>
      <c r="G417" s="60"/>
      <c r="J417" s="99"/>
      <c r="K417" s="99"/>
      <c r="L417" s="99"/>
      <c r="M417" s="99"/>
      <c r="N417" s="43">
        <f t="shared" si="6"/>
        <v>0</v>
      </c>
    </row>
    <row r="418" spans="2:14">
      <c r="B418" s="57"/>
      <c r="C418" s="60"/>
      <c r="D418" s="60"/>
      <c r="E418" s="60"/>
      <c r="F418" s="60"/>
      <c r="G418" s="60"/>
      <c r="J418" s="99"/>
      <c r="K418" s="99"/>
      <c r="L418" s="99"/>
      <c r="M418" s="99"/>
      <c r="N418" s="43">
        <f t="shared" si="6"/>
        <v>0</v>
      </c>
    </row>
    <row r="419" spans="2:14">
      <c r="B419" s="57"/>
      <c r="C419" s="60"/>
      <c r="D419" s="60"/>
      <c r="E419" s="60"/>
      <c r="F419" s="60"/>
      <c r="G419" s="60"/>
      <c r="J419" s="99"/>
      <c r="K419" s="99"/>
      <c r="L419" s="99"/>
      <c r="M419" s="99"/>
      <c r="N419" s="43">
        <f t="shared" si="6"/>
        <v>0</v>
      </c>
    </row>
    <row r="420" spans="2:14">
      <c r="B420" s="57"/>
      <c r="C420" s="60"/>
      <c r="D420" s="60"/>
      <c r="E420" s="60"/>
      <c r="F420" s="60"/>
      <c r="G420" s="60"/>
      <c r="J420" s="99"/>
      <c r="K420" s="99"/>
      <c r="L420" s="99"/>
      <c r="M420" s="99"/>
      <c r="N420" s="43">
        <f t="shared" si="6"/>
        <v>0</v>
      </c>
    </row>
    <row r="421" spans="2:14">
      <c r="B421" s="57"/>
      <c r="C421" s="60"/>
      <c r="D421" s="60"/>
      <c r="E421" s="60"/>
      <c r="F421" s="60"/>
      <c r="G421" s="60"/>
      <c r="J421" s="99"/>
      <c r="K421" s="99"/>
      <c r="L421" s="99"/>
      <c r="M421" s="99"/>
      <c r="N421" s="43">
        <f t="shared" si="6"/>
        <v>0</v>
      </c>
    </row>
    <row r="422" spans="2:14">
      <c r="B422" s="57"/>
      <c r="C422" s="60"/>
      <c r="D422" s="60"/>
      <c r="E422" s="60"/>
      <c r="F422" s="60"/>
      <c r="G422" s="60"/>
      <c r="J422" s="99"/>
      <c r="K422" s="99"/>
      <c r="L422" s="99"/>
      <c r="M422" s="99"/>
      <c r="N422" s="43">
        <f t="shared" si="6"/>
        <v>0</v>
      </c>
    </row>
    <row r="423" spans="2:14">
      <c r="B423" s="57"/>
      <c r="C423" s="60"/>
      <c r="D423" s="60"/>
      <c r="E423" s="60"/>
      <c r="F423" s="60"/>
      <c r="G423" s="60"/>
      <c r="J423" s="99"/>
      <c r="K423" s="99"/>
      <c r="L423" s="99"/>
      <c r="M423" s="99"/>
      <c r="N423" s="43">
        <f t="shared" si="6"/>
        <v>0</v>
      </c>
    </row>
    <row r="424" spans="2:14">
      <c r="B424" s="57"/>
      <c r="C424" s="60"/>
      <c r="D424" s="60"/>
      <c r="E424" s="60"/>
      <c r="F424" s="60"/>
      <c r="G424" s="60"/>
      <c r="J424" s="99"/>
      <c r="K424" s="99"/>
      <c r="L424" s="99"/>
      <c r="M424" s="99"/>
      <c r="N424" s="43">
        <f t="shared" si="6"/>
        <v>0</v>
      </c>
    </row>
    <row r="425" spans="2:14">
      <c r="B425" s="57"/>
      <c r="C425" s="60"/>
      <c r="D425" s="60"/>
      <c r="E425" s="60"/>
      <c r="F425" s="60"/>
      <c r="G425" s="60"/>
      <c r="J425" s="99"/>
      <c r="K425" s="99"/>
      <c r="L425" s="99"/>
      <c r="M425" s="99"/>
      <c r="N425" s="43">
        <f t="shared" si="6"/>
        <v>0</v>
      </c>
    </row>
    <row r="426" spans="2:14">
      <c r="B426" s="57"/>
      <c r="C426" s="60"/>
      <c r="D426" s="60"/>
      <c r="E426" s="60"/>
      <c r="F426" s="60"/>
      <c r="G426" s="60"/>
      <c r="J426" s="99"/>
      <c r="K426" s="99"/>
      <c r="L426" s="99"/>
      <c r="M426" s="99"/>
      <c r="N426" s="43">
        <f t="shared" si="6"/>
        <v>0</v>
      </c>
    </row>
    <row r="427" spans="2:14">
      <c r="B427" s="57"/>
      <c r="C427" s="60"/>
      <c r="D427" s="60"/>
      <c r="E427" s="60"/>
      <c r="F427" s="60"/>
      <c r="G427" s="60"/>
      <c r="J427" s="99"/>
      <c r="K427" s="99"/>
      <c r="L427" s="99"/>
      <c r="M427" s="99"/>
      <c r="N427" s="43">
        <f t="shared" si="6"/>
        <v>0</v>
      </c>
    </row>
    <row r="428" spans="2:14">
      <c r="B428" s="57"/>
      <c r="C428" s="60"/>
      <c r="D428" s="60"/>
      <c r="E428" s="60"/>
      <c r="F428" s="60"/>
      <c r="G428" s="60"/>
      <c r="J428" s="99"/>
      <c r="K428" s="99"/>
      <c r="L428" s="99"/>
      <c r="M428" s="99"/>
      <c r="N428" s="43">
        <f t="shared" si="6"/>
        <v>0</v>
      </c>
    </row>
    <row r="429" spans="2:14" ht="1.5" customHeight="1">
      <c r="B429" s="57"/>
      <c r="C429" s="60"/>
      <c r="D429" s="60"/>
      <c r="E429" s="60"/>
      <c r="F429" s="60"/>
      <c r="G429" s="60"/>
      <c r="J429" s="99"/>
      <c r="K429" s="99"/>
      <c r="L429" s="99"/>
      <c r="M429" s="99"/>
      <c r="N429" s="43">
        <f t="shared" si="6"/>
        <v>0</v>
      </c>
    </row>
    <row r="430" spans="2:14" ht="1.5" customHeight="1">
      <c r="B430" s="57"/>
      <c r="C430" s="60"/>
      <c r="D430" s="60"/>
      <c r="E430" s="60"/>
      <c r="F430" s="60"/>
      <c r="G430" s="60"/>
      <c r="J430" s="99"/>
      <c r="K430" s="99"/>
      <c r="L430" s="99"/>
      <c r="M430" s="99"/>
      <c r="N430" s="43">
        <f t="shared" si="6"/>
        <v>0</v>
      </c>
    </row>
    <row r="431" spans="2:14" ht="1.5" customHeight="1">
      <c r="B431" s="57"/>
      <c r="C431" s="60"/>
      <c r="D431" s="60"/>
      <c r="E431" s="60"/>
      <c r="F431" s="60"/>
      <c r="G431" s="60"/>
      <c r="J431" s="99"/>
      <c r="K431" s="99"/>
      <c r="L431" s="99"/>
      <c r="M431" s="99"/>
      <c r="N431" s="43">
        <f t="shared" si="6"/>
        <v>0</v>
      </c>
    </row>
    <row r="432" spans="2:14" ht="1.5" customHeight="1">
      <c r="B432" s="57"/>
      <c r="C432" s="60"/>
      <c r="D432" s="60"/>
      <c r="E432" s="60"/>
      <c r="F432" s="60"/>
      <c r="G432" s="60"/>
      <c r="J432" s="99"/>
      <c r="K432" s="99"/>
      <c r="L432" s="99"/>
      <c r="M432" s="99"/>
      <c r="N432" s="43">
        <f t="shared" si="6"/>
        <v>0</v>
      </c>
    </row>
    <row r="433" spans="2:14" ht="1.5" customHeight="1">
      <c r="B433" s="57"/>
      <c r="C433" s="60"/>
      <c r="D433" s="60"/>
      <c r="E433" s="60"/>
      <c r="F433" s="60"/>
      <c r="G433" s="60"/>
      <c r="J433" s="99"/>
      <c r="K433" s="99"/>
      <c r="L433" s="99"/>
      <c r="M433" s="99"/>
      <c r="N433" s="43">
        <f t="shared" si="6"/>
        <v>0</v>
      </c>
    </row>
    <row r="434" spans="2:14" ht="1.5" customHeight="1">
      <c r="B434" s="57"/>
      <c r="C434" s="60"/>
      <c r="D434" s="60"/>
      <c r="E434" s="60"/>
      <c r="F434" s="60"/>
      <c r="G434" s="60"/>
      <c r="J434" s="99"/>
      <c r="K434" s="99"/>
      <c r="L434" s="99"/>
      <c r="M434" s="99"/>
      <c r="N434" s="43">
        <f t="shared" si="6"/>
        <v>0</v>
      </c>
    </row>
    <row r="435" spans="2:14" ht="1.5" customHeight="1">
      <c r="B435" s="57"/>
      <c r="C435" s="60"/>
      <c r="D435" s="60"/>
      <c r="E435" s="60"/>
      <c r="F435" s="60"/>
      <c r="G435" s="60"/>
      <c r="J435" s="99"/>
      <c r="K435" s="99"/>
      <c r="L435" s="99"/>
      <c r="M435" s="99"/>
      <c r="N435" s="43">
        <f t="shared" si="6"/>
        <v>0</v>
      </c>
    </row>
    <row r="436" spans="2:14" ht="1.5" customHeight="1">
      <c r="B436" s="57"/>
      <c r="C436" s="60"/>
      <c r="D436" s="60"/>
      <c r="E436" s="60"/>
      <c r="F436" s="60"/>
      <c r="G436" s="60"/>
      <c r="J436" s="99"/>
      <c r="K436" s="99"/>
      <c r="L436" s="99"/>
      <c r="M436" s="99"/>
      <c r="N436" s="43">
        <f t="shared" si="6"/>
        <v>0</v>
      </c>
    </row>
    <row r="437" spans="2:14" ht="1.5" customHeight="1">
      <c r="B437" s="57"/>
      <c r="C437" s="60"/>
      <c r="D437" s="60"/>
      <c r="E437" s="60"/>
      <c r="F437" s="60"/>
      <c r="G437" s="60"/>
      <c r="J437" s="99"/>
      <c r="K437" s="99"/>
      <c r="L437" s="99"/>
      <c r="M437" s="99"/>
      <c r="N437" s="43">
        <f t="shared" si="6"/>
        <v>0</v>
      </c>
    </row>
    <row r="438" spans="2:14" ht="1.5" customHeight="1">
      <c r="B438" s="57"/>
      <c r="C438" s="60"/>
      <c r="D438" s="60"/>
      <c r="E438" s="60"/>
      <c r="F438" s="60"/>
      <c r="G438" s="60"/>
      <c r="J438" s="99"/>
      <c r="K438" s="99"/>
      <c r="L438" s="99"/>
      <c r="M438" s="99"/>
      <c r="N438" s="43">
        <f t="shared" si="6"/>
        <v>0</v>
      </c>
    </row>
    <row r="439" spans="2:14" ht="1.5" customHeight="1">
      <c r="B439" s="57"/>
      <c r="C439" s="60"/>
      <c r="D439" s="60"/>
      <c r="E439" s="60"/>
      <c r="F439" s="60"/>
      <c r="G439" s="60"/>
      <c r="J439" s="99"/>
      <c r="K439" s="99"/>
      <c r="L439" s="99"/>
      <c r="M439" s="99"/>
      <c r="N439" s="43">
        <f t="shared" si="6"/>
        <v>0</v>
      </c>
    </row>
    <row r="440" spans="2:14" ht="1.5" customHeight="1">
      <c r="B440" s="57"/>
      <c r="C440" s="60"/>
      <c r="D440" s="60"/>
      <c r="E440" s="60"/>
      <c r="F440" s="60"/>
      <c r="G440" s="60"/>
      <c r="J440" s="99"/>
      <c r="K440" s="99"/>
      <c r="L440" s="99"/>
      <c r="M440" s="99"/>
      <c r="N440" s="43">
        <f t="shared" si="6"/>
        <v>0</v>
      </c>
    </row>
    <row r="441" spans="2:14" ht="1.5" customHeight="1">
      <c r="B441" s="57"/>
      <c r="C441" s="60"/>
      <c r="D441" s="60"/>
      <c r="E441" s="60"/>
      <c r="F441" s="60"/>
      <c r="G441" s="60"/>
      <c r="J441" s="99"/>
      <c r="K441" s="99"/>
      <c r="L441" s="99"/>
      <c r="M441" s="99"/>
      <c r="N441" s="43">
        <f t="shared" si="6"/>
        <v>0</v>
      </c>
    </row>
    <row r="442" spans="2:14" ht="1.5" customHeight="1">
      <c r="B442" s="57"/>
      <c r="C442" s="60"/>
      <c r="D442" s="60"/>
      <c r="E442" s="60"/>
      <c r="F442" s="60"/>
      <c r="G442" s="60"/>
      <c r="J442" s="99"/>
      <c r="K442" s="99"/>
      <c r="L442" s="99"/>
      <c r="M442" s="99"/>
      <c r="N442" s="43">
        <f t="shared" si="6"/>
        <v>0</v>
      </c>
    </row>
    <row r="443" spans="2:14" ht="1.5" customHeight="1">
      <c r="B443" s="57"/>
      <c r="C443" s="60"/>
      <c r="D443" s="60"/>
      <c r="E443" s="60"/>
      <c r="F443" s="60"/>
      <c r="G443" s="60"/>
      <c r="J443" s="99"/>
      <c r="K443" s="99"/>
      <c r="L443" s="99"/>
      <c r="M443" s="99"/>
      <c r="N443" s="43">
        <f t="shared" si="6"/>
        <v>0</v>
      </c>
    </row>
    <row r="444" spans="2:14" ht="1.5" customHeight="1">
      <c r="B444" s="57"/>
      <c r="C444" s="60"/>
      <c r="D444" s="60"/>
      <c r="E444" s="60"/>
      <c r="F444" s="60"/>
      <c r="G444" s="60"/>
      <c r="J444" s="99"/>
      <c r="K444" s="99"/>
      <c r="L444" s="99"/>
      <c r="M444" s="99"/>
      <c r="N444" s="43">
        <f t="shared" si="6"/>
        <v>0</v>
      </c>
    </row>
    <row r="445" spans="2:14" ht="1.5" customHeight="1">
      <c r="B445" s="57"/>
      <c r="C445" s="60"/>
      <c r="D445" s="60"/>
      <c r="E445" s="60"/>
      <c r="F445" s="60"/>
      <c r="G445" s="60"/>
      <c r="J445" s="99"/>
      <c r="K445" s="99"/>
      <c r="L445" s="99"/>
      <c r="M445" s="99"/>
      <c r="N445" s="43">
        <f t="shared" si="6"/>
        <v>0</v>
      </c>
    </row>
    <row r="446" spans="2:14" ht="1.5" customHeight="1">
      <c r="B446" s="57"/>
      <c r="C446" s="60"/>
      <c r="D446" s="60"/>
      <c r="E446" s="60"/>
      <c r="F446" s="60"/>
      <c r="G446" s="60"/>
      <c r="J446" s="99"/>
      <c r="K446" s="99"/>
      <c r="L446" s="99"/>
      <c r="M446" s="99"/>
      <c r="N446" s="43">
        <f t="shared" si="6"/>
        <v>0</v>
      </c>
    </row>
    <row r="447" spans="2:14" ht="1.5" customHeight="1">
      <c r="B447" s="57"/>
      <c r="C447" s="60"/>
      <c r="D447" s="60"/>
      <c r="E447" s="60"/>
      <c r="F447" s="60"/>
      <c r="G447" s="60"/>
      <c r="J447" s="99"/>
      <c r="K447" s="99"/>
      <c r="L447" s="99"/>
      <c r="M447" s="99"/>
      <c r="N447" s="43">
        <f t="shared" si="6"/>
        <v>0</v>
      </c>
    </row>
    <row r="448" spans="2:14" ht="1.5" customHeight="1">
      <c r="B448" s="57"/>
      <c r="C448" s="60"/>
      <c r="D448" s="60"/>
      <c r="E448" s="60"/>
      <c r="F448" s="60"/>
      <c r="G448" s="60"/>
      <c r="J448" s="99"/>
      <c r="K448" s="99"/>
      <c r="L448" s="99"/>
      <c r="M448" s="99"/>
      <c r="N448" s="43">
        <f t="shared" si="6"/>
        <v>0</v>
      </c>
    </row>
    <row r="449" spans="2:14" ht="1.5" customHeight="1">
      <c r="B449" s="57"/>
      <c r="C449" s="60"/>
      <c r="D449" s="60"/>
      <c r="E449" s="60"/>
      <c r="F449" s="60"/>
      <c r="G449" s="60"/>
      <c r="J449" s="99"/>
      <c r="K449" s="99"/>
      <c r="L449" s="99"/>
      <c r="M449" s="99"/>
      <c r="N449" s="43">
        <f t="shared" si="6"/>
        <v>0</v>
      </c>
    </row>
    <row r="450" spans="2:14" ht="1.5" customHeight="1">
      <c r="B450" s="57"/>
      <c r="C450" s="60"/>
      <c r="D450" s="60"/>
      <c r="E450" s="60"/>
      <c r="F450" s="60"/>
      <c r="G450" s="60"/>
      <c r="J450" s="99"/>
      <c r="K450" s="99"/>
      <c r="L450" s="99"/>
      <c r="M450" s="99"/>
      <c r="N450" s="43">
        <f t="shared" si="6"/>
        <v>0</v>
      </c>
    </row>
    <row r="451" spans="2:14" ht="1.5" customHeight="1">
      <c r="B451" s="57"/>
      <c r="C451" s="60"/>
      <c r="D451" s="60"/>
      <c r="E451" s="60"/>
      <c r="F451" s="60"/>
      <c r="G451" s="60"/>
      <c r="J451" s="99"/>
      <c r="K451" s="99"/>
      <c r="L451" s="99"/>
      <c r="M451" s="99"/>
      <c r="N451" s="43">
        <f t="shared" si="6"/>
        <v>0</v>
      </c>
    </row>
    <row r="452" spans="2:14" ht="1.5" customHeight="1">
      <c r="B452" s="57"/>
      <c r="C452" s="60"/>
      <c r="D452" s="60"/>
      <c r="E452" s="60"/>
      <c r="F452" s="60"/>
      <c r="G452" s="60"/>
      <c r="J452" s="99"/>
      <c r="K452" s="99"/>
      <c r="L452" s="99"/>
      <c r="M452" s="99"/>
      <c r="N452" s="43">
        <f t="shared" si="6"/>
        <v>0</v>
      </c>
    </row>
    <row r="453" spans="2:14" ht="1.5" customHeight="1">
      <c r="B453" s="57"/>
      <c r="C453" s="60"/>
      <c r="D453" s="60"/>
      <c r="E453" s="60"/>
      <c r="F453" s="60"/>
      <c r="G453" s="60"/>
      <c r="J453" s="99"/>
      <c r="K453" s="99"/>
      <c r="L453" s="99"/>
      <c r="M453" s="99"/>
      <c r="N453" s="43">
        <f t="shared" si="6"/>
        <v>0</v>
      </c>
    </row>
    <row r="454" spans="2:14" ht="1.5" customHeight="1">
      <c r="B454" s="57"/>
      <c r="C454" s="60"/>
      <c r="D454" s="60"/>
      <c r="E454" s="60"/>
      <c r="F454" s="60"/>
      <c r="G454" s="60"/>
      <c r="J454" s="99"/>
      <c r="K454" s="99"/>
      <c r="L454" s="99"/>
      <c r="M454" s="99"/>
      <c r="N454" s="43">
        <f t="shared" si="6"/>
        <v>0</v>
      </c>
    </row>
    <row r="455" spans="2:14" ht="1.5" customHeight="1">
      <c r="B455" s="57"/>
      <c r="C455" s="60"/>
      <c r="D455" s="60"/>
      <c r="E455" s="60"/>
      <c r="F455" s="60"/>
      <c r="G455" s="60"/>
      <c r="J455" s="99"/>
      <c r="K455" s="99"/>
      <c r="L455" s="99"/>
      <c r="M455" s="99"/>
      <c r="N455" s="43">
        <f t="shared" si="6"/>
        <v>0</v>
      </c>
    </row>
    <row r="456" spans="2:14" ht="1.5" customHeight="1">
      <c r="B456" s="57"/>
      <c r="C456" s="60"/>
      <c r="D456" s="60"/>
      <c r="E456" s="60"/>
      <c r="F456" s="60"/>
      <c r="G456" s="60"/>
      <c r="J456" s="99"/>
      <c r="K456" s="99"/>
      <c r="L456" s="99"/>
      <c r="M456" s="99"/>
      <c r="N456" s="43">
        <f t="shared" si="6"/>
        <v>0</v>
      </c>
    </row>
    <row r="457" spans="2:14" ht="1.5" customHeight="1">
      <c r="B457" s="57"/>
      <c r="C457" s="60"/>
      <c r="D457" s="60"/>
      <c r="E457" s="60"/>
      <c r="F457" s="60"/>
      <c r="G457" s="60"/>
      <c r="J457" s="99"/>
      <c r="K457" s="99"/>
      <c r="L457" s="99"/>
      <c r="M457" s="99"/>
      <c r="N457" s="43">
        <f t="shared" si="6"/>
        <v>0</v>
      </c>
    </row>
    <row r="458" spans="2:14" ht="1.5" customHeight="1">
      <c r="B458" s="57"/>
      <c r="C458" s="60"/>
      <c r="D458" s="60"/>
      <c r="E458" s="60"/>
      <c r="F458" s="60"/>
      <c r="G458" s="60"/>
      <c r="J458" s="99"/>
      <c r="K458" s="99"/>
      <c r="L458" s="99"/>
      <c r="M458" s="99"/>
      <c r="N458" s="43">
        <f t="shared" si="6"/>
        <v>0</v>
      </c>
    </row>
    <row r="459" spans="2:14" ht="1.5" customHeight="1">
      <c r="B459" s="57"/>
      <c r="C459" s="60"/>
      <c r="D459" s="60"/>
      <c r="E459" s="60"/>
      <c r="F459" s="60"/>
      <c r="G459" s="60"/>
      <c r="J459" s="99"/>
      <c r="K459" s="99"/>
      <c r="L459" s="99"/>
      <c r="M459" s="99"/>
      <c r="N459" s="43">
        <f t="shared" ref="N459:N522" si="7">IF($L$4=$C$10,C459,IF(D459="","",B459))</f>
        <v>0</v>
      </c>
    </row>
    <row r="460" spans="2:14" ht="1.5" customHeight="1">
      <c r="B460" s="57"/>
      <c r="C460" s="60"/>
      <c r="D460" s="60"/>
      <c r="E460" s="60"/>
      <c r="F460" s="60"/>
      <c r="G460" s="60"/>
      <c r="J460" s="99"/>
      <c r="K460" s="99"/>
      <c r="L460" s="99"/>
      <c r="M460" s="99"/>
      <c r="N460" s="43">
        <f t="shared" si="7"/>
        <v>0</v>
      </c>
    </row>
    <row r="461" spans="2:14" ht="1.5" customHeight="1">
      <c r="B461" s="57"/>
      <c r="C461" s="60"/>
      <c r="D461" s="60"/>
      <c r="E461" s="60"/>
      <c r="F461" s="60"/>
      <c r="G461" s="60"/>
      <c r="J461" s="99"/>
      <c r="K461" s="99"/>
      <c r="L461" s="99"/>
      <c r="M461" s="99"/>
      <c r="N461" s="43">
        <f t="shared" si="7"/>
        <v>0</v>
      </c>
    </row>
    <row r="462" spans="2:14" ht="1.5" customHeight="1">
      <c r="B462" s="57"/>
      <c r="C462" s="60"/>
      <c r="D462" s="60"/>
      <c r="E462" s="60"/>
      <c r="F462" s="60"/>
      <c r="G462" s="60"/>
      <c r="J462" s="99"/>
      <c r="K462" s="99"/>
      <c r="L462" s="99"/>
      <c r="M462" s="99"/>
      <c r="N462" s="43">
        <f t="shared" si="7"/>
        <v>0</v>
      </c>
    </row>
    <row r="463" spans="2:14" ht="1.5" customHeight="1">
      <c r="B463" s="57"/>
      <c r="C463" s="60"/>
      <c r="D463" s="60"/>
      <c r="E463" s="60"/>
      <c r="F463" s="60"/>
      <c r="G463" s="60"/>
      <c r="J463" s="99"/>
      <c r="K463" s="99"/>
      <c r="L463" s="99"/>
      <c r="M463" s="99"/>
      <c r="N463" s="43">
        <f t="shared" si="7"/>
        <v>0</v>
      </c>
    </row>
    <row r="464" spans="2:14" ht="1.5" customHeight="1">
      <c r="B464" s="57"/>
      <c r="C464" s="60"/>
      <c r="D464" s="60"/>
      <c r="E464" s="60"/>
      <c r="F464" s="60"/>
      <c r="G464" s="60"/>
      <c r="J464" s="99"/>
      <c r="K464" s="99"/>
      <c r="L464" s="99"/>
      <c r="M464" s="99"/>
      <c r="N464" s="43">
        <f t="shared" si="7"/>
        <v>0</v>
      </c>
    </row>
    <row r="465" spans="2:14" ht="1.5" customHeight="1">
      <c r="B465" s="57"/>
      <c r="C465" s="60"/>
      <c r="D465" s="60"/>
      <c r="E465" s="60"/>
      <c r="F465" s="60"/>
      <c r="G465" s="60"/>
      <c r="J465" s="99"/>
      <c r="K465" s="99"/>
      <c r="L465" s="99"/>
      <c r="M465" s="99"/>
      <c r="N465" s="43">
        <f t="shared" si="7"/>
        <v>0</v>
      </c>
    </row>
    <row r="466" spans="2:14" ht="1.5" customHeight="1">
      <c r="B466" s="57"/>
      <c r="C466" s="60"/>
      <c r="D466" s="60"/>
      <c r="E466" s="60"/>
      <c r="F466" s="60"/>
      <c r="G466" s="60"/>
      <c r="J466" s="99"/>
      <c r="K466" s="99"/>
      <c r="L466" s="99"/>
      <c r="M466" s="99"/>
      <c r="N466" s="43">
        <f t="shared" si="7"/>
        <v>0</v>
      </c>
    </row>
    <row r="467" spans="2:14" ht="1.5" customHeight="1">
      <c r="B467" s="57"/>
      <c r="C467" s="60"/>
      <c r="D467" s="60"/>
      <c r="E467" s="60"/>
      <c r="F467" s="60"/>
      <c r="G467" s="60"/>
      <c r="J467" s="99"/>
      <c r="K467" s="99"/>
      <c r="L467" s="99"/>
      <c r="M467" s="99"/>
      <c r="N467" s="43">
        <f t="shared" si="7"/>
        <v>0</v>
      </c>
    </row>
    <row r="468" spans="2:14" ht="1.5" customHeight="1">
      <c r="B468" s="57"/>
      <c r="C468" s="60"/>
      <c r="D468" s="60"/>
      <c r="E468" s="60"/>
      <c r="F468" s="60"/>
      <c r="G468" s="60"/>
      <c r="J468" s="99"/>
      <c r="K468" s="99"/>
      <c r="L468" s="99"/>
      <c r="M468" s="99"/>
      <c r="N468" s="43">
        <f t="shared" si="7"/>
        <v>0</v>
      </c>
    </row>
    <row r="469" spans="2:14" ht="1.5" customHeight="1">
      <c r="B469" s="57"/>
      <c r="C469" s="60"/>
      <c r="D469" s="60"/>
      <c r="E469" s="60"/>
      <c r="F469" s="60"/>
      <c r="G469" s="60"/>
      <c r="J469" s="99"/>
      <c r="K469" s="99"/>
      <c r="L469" s="99"/>
      <c r="M469" s="99"/>
      <c r="N469" s="43">
        <f t="shared" si="7"/>
        <v>0</v>
      </c>
    </row>
    <row r="470" spans="2:14" ht="1.5" customHeight="1">
      <c r="B470" s="57"/>
      <c r="C470" s="60"/>
      <c r="D470" s="60"/>
      <c r="E470" s="60"/>
      <c r="F470" s="60"/>
      <c r="G470" s="60"/>
      <c r="J470" s="99"/>
      <c r="K470" s="99"/>
      <c r="L470" s="99"/>
      <c r="M470" s="99"/>
      <c r="N470" s="43">
        <f t="shared" si="7"/>
        <v>0</v>
      </c>
    </row>
    <row r="471" spans="2:14" ht="1.5" customHeight="1">
      <c r="B471" s="57"/>
      <c r="C471" s="60"/>
      <c r="D471" s="60"/>
      <c r="E471" s="60"/>
      <c r="F471" s="60"/>
      <c r="G471" s="60"/>
      <c r="J471" s="99"/>
      <c r="K471" s="99"/>
      <c r="L471" s="99"/>
      <c r="M471" s="99"/>
      <c r="N471" s="43">
        <f t="shared" si="7"/>
        <v>0</v>
      </c>
    </row>
    <row r="472" spans="2:14" ht="1.5" customHeight="1">
      <c r="B472" s="57"/>
      <c r="C472" s="60"/>
      <c r="D472" s="60"/>
      <c r="E472" s="60"/>
      <c r="F472" s="60"/>
      <c r="G472" s="60"/>
      <c r="J472" s="99"/>
      <c r="K472" s="99"/>
      <c r="L472" s="99"/>
      <c r="M472" s="99"/>
      <c r="N472" s="43">
        <f t="shared" si="7"/>
        <v>0</v>
      </c>
    </row>
    <row r="473" spans="2:14" ht="1.5" customHeight="1">
      <c r="B473" s="57"/>
      <c r="C473" s="60"/>
      <c r="D473" s="60"/>
      <c r="E473" s="60"/>
      <c r="F473" s="60"/>
      <c r="G473" s="60"/>
      <c r="J473" s="99"/>
      <c r="K473" s="99"/>
      <c r="L473" s="99"/>
      <c r="M473" s="99"/>
      <c r="N473" s="43">
        <f t="shared" si="7"/>
        <v>0</v>
      </c>
    </row>
    <row r="474" spans="2:14" ht="1.5" customHeight="1">
      <c r="B474" s="57"/>
      <c r="C474" s="60"/>
      <c r="D474" s="60"/>
      <c r="E474" s="60"/>
      <c r="F474" s="60"/>
      <c r="G474" s="60"/>
      <c r="J474" s="99"/>
      <c r="K474" s="99"/>
      <c r="L474" s="99"/>
      <c r="M474" s="99"/>
      <c r="N474" s="43">
        <f t="shared" si="7"/>
        <v>0</v>
      </c>
    </row>
    <row r="475" spans="2:14" ht="1.5" customHeight="1">
      <c r="B475" s="57"/>
      <c r="C475" s="60"/>
      <c r="D475" s="60"/>
      <c r="E475" s="60"/>
      <c r="F475" s="60"/>
      <c r="G475" s="60"/>
      <c r="J475" s="99"/>
      <c r="K475" s="99"/>
      <c r="L475" s="99"/>
      <c r="M475" s="99"/>
      <c r="N475" s="43">
        <f t="shared" si="7"/>
        <v>0</v>
      </c>
    </row>
    <row r="476" spans="2:14" ht="1.5" customHeight="1">
      <c r="B476" s="57"/>
      <c r="C476" s="60"/>
      <c r="D476" s="60"/>
      <c r="E476" s="60"/>
      <c r="F476" s="60"/>
      <c r="G476" s="60"/>
      <c r="J476" s="99"/>
      <c r="K476" s="99"/>
      <c r="L476" s="99"/>
      <c r="M476" s="99"/>
      <c r="N476" s="43">
        <f t="shared" si="7"/>
        <v>0</v>
      </c>
    </row>
    <row r="477" spans="2:14" ht="1.5" customHeight="1">
      <c r="B477" s="57"/>
      <c r="C477" s="60"/>
      <c r="D477" s="60"/>
      <c r="E477" s="60"/>
      <c r="F477" s="60"/>
      <c r="G477" s="60"/>
      <c r="J477" s="99"/>
      <c r="K477" s="99"/>
      <c r="L477" s="99"/>
      <c r="M477" s="99"/>
      <c r="N477" s="43">
        <f t="shared" si="7"/>
        <v>0</v>
      </c>
    </row>
    <row r="478" spans="2:14" ht="1.5" customHeight="1">
      <c r="B478" s="57"/>
      <c r="C478" s="60"/>
      <c r="D478" s="60"/>
      <c r="E478" s="60"/>
      <c r="F478" s="60"/>
      <c r="G478" s="60"/>
      <c r="J478" s="99"/>
      <c r="K478" s="99"/>
      <c r="L478" s="99"/>
      <c r="M478" s="99"/>
      <c r="N478" s="43">
        <f t="shared" si="7"/>
        <v>0</v>
      </c>
    </row>
    <row r="479" spans="2:14" ht="1.5" customHeight="1">
      <c r="B479" s="57"/>
      <c r="C479" s="60"/>
      <c r="D479" s="60"/>
      <c r="E479" s="60"/>
      <c r="F479" s="60"/>
      <c r="G479" s="60"/>
      <c r="J479" s="99"/>
      <c r="K479" s="99"/>
      <c r="L479" s="99"/>
      <c r="M479" s="99"/>
      <c r="N479" s="43">
        <f t="shared" si="7"/>
        <v>0</v>
      </c>
    </row>
    <row r="480" spans="2:14" ht="1.5" customHeight="1">
      <c r="B480" s="57"/>
      <c r="C480" s="60"/>
      <c r="D480" s="60"/>
      <c r="E480" s="60"/>
      <c r="F480" s="60"/>
      <c r="G480" s="60"/>
      <c r="J480" s="99"/>
      <c r="K480" s="99"/>
      <c r="L480" s="99"/>
      <c r="M480" s="99"/>
      <c r="N480" s="43">
        <f t="shared" si="7"/>
        <v>0</v>
      </c>
    </row>
    <row r="481" spans="2:14" ht="1.5" customHeight="1">
      <c r="B481" s="57"/>
      <c r="C481" s="60"/>
      <c r="D481" s="60"/>
      <c r="E481" s="60"/>
      <c r="F481" s="60"/>
      <c r="G481" s="60"/>
      <c r="J481" s="99"/>
      <c r="K481" s="99"/>
      <c r="L481" s="99"/>
      <c r="M481" s="99"/>
      <c r="N481" s="43">
        <f t="shared" si="7"/>
        <v>0</v>
      </c>
    </row>
    <row r="482" spans="2:14" ht="1.5" customHeight="1">
      <c r="B482" s="57"/>
      <c r="C482" s="60"/>
      <c r="D482" s="60"/>
      <c r="E482" s="60"/>
      <c r="F482" s="60"/>
      <c r="G482" s="60"/>
      <c r="J482" s="99"/>
      <c r="K482" s="99"/>
      <c r="L482" s="99"/>
      <c r="M482" s="99"/>
      <c r="N482" s="43">
        <f t="shared" si="7"/>
        <v>0</v>
      </c>
    </row>
    <row r="483" spans="2:14" ht="1.5" customHeight="1">
      <c r="B483" s="57"/>
      <c r="C483" s="60"/>
      <c r="D483" s="60"/>
      <c r="E483" s="60"/>
      <c r="F483" s="60"/>
      <c r="G483" s="60"/>
      <c r="J483" s="99"/>
      <c r="K483" s="99"/>
      <c r="L483" s="99"/>
      <c r="M483" s="99"/>
      <c r="N483" s="43">
        <f t="shared" si="7"/>
        <v>0</v>
      </c>
    </row>
    <row r="484" spans="2:14" ht="1.5" customHeight="1">
      <c r="B484" s="57"/>
      <c r="C484" s="60"/>
      <c r="D484" s="60"/>
      <c r="E484" s="60"/>
      <c r="F484" s="60"/>
      <c r="G484" s="60"/>
      <c r="J484" s="99"/>
      <c r="K484" s="99"/>
      <c r="L484" s="99"/>
      <c r="M484" s="99"/>
      <c r="N484" s="43">
        <f t="shared" si="7"/>
        <v>0</v>
      </c>
    </row>
    <row r="485" spans="2:14" ht="1.5" customHeight="1">
      <c r="B485" s="57"/>
      <c r="C485" s="60"/>
      <c r="D485" s="60"/>
      <c r="E485" s="60"/>
      <c r="F485" s="60"/>
      <c r="G485" s="60"/>
      <c r="J485" s="99"/>
      <c r="K485" s="99"/>
      <c r="L485" s="99"/>
      <c r="M485" s="99"/>
      <c r="N485" s="43">
        <f t="shared" si="7"/>
        <v>0</v>
      </c>
    </row>
    <row r="486" spans="2:14" ht="1.5" customHeight="1">
      <c r="B486" s="57"/>
      <c r="C486" s="60"/>
      <c r="D486" s="60"/>
      <c r="E486" s="60"/>
      <c r="F486" s="60"/>
      <c r="G486" s="60"/>
      <c r="J486" s="99"/>
      <c r="K486" s="99"/>
      <c r="L486" s="99"/>
      <c r="M486" s="99"/>
      <c r="N486" s="43">
        <f t="shared" si="7"/>
        <v>0</v>
      </c>
    </row>
    <row r="487" spans="2:14" ht="1.5" customHeight="1">
      <c r="B487" s="57"/>
      <c r="C487" s="60"/>
      <c r="D487" s="60"/>
      <c r="E487" s="60"/>
      <c r="F487" s="60"/>
      <c r="G487" s="60"/>
      <c r="J487" s="99"/>
      <c r="K487" s="99"/>
      <c r="L487" s="99"/>
      <c r="M487" s="99"/>
      <c r="N487" s="43">
        <f t="shared" si="7"/>
        <v>0</v>
      </c>
    </row>
    <row r="488" spans="2:14" ht="1.5" customHeight="1">
      <c r="B488" s="57"/>
      <c r="C488" s="60"/>
      <c r="D488" s="60"/>
      <c r="E488" s="60"/>
      <c r="F488" s="60"/>
      <c r="G488" s="60"/>
      <c r="J488" s="99"/>
      <c r="K488" s="99"/>
      <c r="L488" s="99"/>
      <c r="M488" s="99"/>
      <c r="N488" s="43">
        <f t="shared" si="7"/>
        <v>0</v>
      </c>
    </row>
    <row r="489" spans="2:14" ht="1.5" customHeight="1">
      <c r="B489" s="57"/>
      <c r="C489" s="60"/>
      <c r="D489" s="60"/>
      <c r="E489" s="60"/>
      <c r="F489" s="60"/>
      <c r="G489" s="60"/>
      <c r="J489" s="99"/>
      <c r="K489" s="99"/>
      <c r="L489" s="99"/>
      <c r="M489" s="99"/>
      <c r="N489" s="43">
        <f t="shared" si="7"/>
        <v>0</v>
      </c>
    </row>
    <row r="490" spans="2:14" ht="1.5" customHeight="1">
      <c r="B490" s="57"/>
      <c r="C490" s="60"/>
      <c r="D490" s="60"/>
      <c r="E490" s="60"/>
      <c r="F490" s="60"/>
      <c r="G490" s="60"/>
      <c r="J490" s="99"/>
      <c r="K490" s="99"/>
      <c r="L490" s="99"/>
      <c r="M490" s="99"/>
      <c r="N490" s="43">
        <f t="shared" si="7"/>
        <v>0</v>
      </c>
    </row>
    <row r="491" spans="2:14" ht="1.5" customHeight="1">
      <c r="B491" s="57"/>
      <c r="C491" s="60"/>
      <c r="D491" s="60"/>
      <c r="E491" s="60"/>
      <c r="F491" s="60"/>
      <c r="G491" s="60"/>
      <c r="J491" s="99"/>
      <c r="K491" s="99"/>
      <c r="L491" s="99"/>
      <c r="M491" s="99"/>
      <c r="N491" s="43">
        <f t="shared" si="7"/>
        <v>0</v>
      </c>
    </row>
    <row r="492" spans="2:14" ht="1.5" customHeight="1">
      <c r="B492" s="57"/>
      <c r="C492" s="60"/>
      <c r="D492" s="60"/>
      <c r="E492" s="60"/>
      <c r="F492" s="60"/>
      <c r="G492" s="60"/>
      <c r="J492" s="99"/>
      <c r="K492" s="99"/>
      <c r="L492" s="99"/>
      <c r="M492" s="99"/>
      <c r="N492" s="43">
        <f t="shared" si="7"/>
        <v>0</v>
      </c>
    </row>
    <row r="493" spans="2:14" ht="1.5" customHeight="1">
      <c r="B493" s="57"/>
      <c r="C493" s="60"/>
      <c r="D493" s="60"/>
      <c r="E493" s="60"/>
      <c r="F493" s="60"/>
      <c r="G493" s="60"/>
      <c r="J493" s="99"/>
      <c r="K493" s="99"/>
      <c r="L493" s="99"/>
      <c r="M493" s="99"/>
      <c r="N493" s="43">
        <f t="shared" si="7"/>
        <v>0</v>
      </c>
    </row>
    <row r="494" spans="2:14" ht="1.5" customHeight="1">
      <c r="B494" s="57"/>
      <c r="C494" s="60"/>
      <c r="D494" s="60"/>
      <c r="E494" s="60"/>
      <c r="F494" s="60"/>
      <c r="G494" s="60"/>
      <c r="J494" s="99"/>
      <c r="K494" s="99"/>
      <c r="L494" s="99"/>
      <c r="M494" s="99"/>
      <c r="N494" s="43">
        <f t="shared" si="7"/>
        <v>0</v>
      </c>
    </row>
    <row r="495" spans="2:14" ht="1.5" customHeight="1">
      <c r="B495" s="57"/>
      <c r="C495" s="60"/>
      <c r="D495" s="60"/>
      <c r="E495" s="60"/>
      <c r="F495" s="60"/>
      <c r="G495" s="60"/>
      <c r="J495" s="99"/>
      <c r="K495" s="99"/>
      <c r="L495" s="99"/>
      <c r="M495" s="99"/>
      <c r="N495" s="43">
        <f t="shared" si="7"/>
        <v>0</v>
      </c>
    </row>
    <row r="496" spans="2:14" ht="1.5" customHeight="1">
      <c r="B496" s="57"/>
      <c r="C496" s="60"/>
      <c r="D496" s="60"/>
      <c r="E496" s="60"/>
      <c r="F496" s="60"/>
      <c r="G496" s="60"/>
      <c r="J496" s="99"/>
      <c r="K496" s="99"/>
      <c r="L496" s="99"/>
      <c r="M496" s="99"/>
      <c r="N496" s="43">
        <f t="shared" si="7"/>
        <v>0</v>
      </c>
    </row>
    <row r="497" spans="2:14" ht="1.5" customHeight="1">
      <c r="B497" s="57"/>
      <c r="C497" s="60"/>
      <c r="D497" s="60"/>
      <c r="E497" s="60"/>
      <c r="F497" s="60"/>
      <c r="G497" s="60"/>
      <c r="J497" s="99"/>
      <c r="K497" s="99"/>
      <c r="L497" s="99"/>
      <c r="M497" s="99"/>
      <c r="N497" s="43">
        <f t="shared" si="7"/>
        <v>0</v>
      </c>
    </row>
    <row r="498" spans="2:14" ht="1.5" customHeight="1">
      <c r="B498" s="57"/>
      <c r="C498" s="60"/>
      <c r="D498" s="60"/>
      <c r="E498" s="60"/>
      <c r="F498" s="60"/>
      <c r="G498" s="60"/>
      <c r="J498" s="99"/>
      <c r="K498" s="99"/>
      <c r="L498" s="99"/>
      <c r="M498" s="99"/>
      <c r="N498" s="43">
        <f t="shared" si="7"/>
        <v>0</v>
      </c>
    </row>
    <row r="499" spans="2:14" ht="1.5" customHeight="1">
      <c r="B499" s="57"/>
      <c r="C499" s="60"/>
      <c r="D499" s="60"/>
      <c r="E499" s="60"/>
      <c r="F499" s="60"/>
      <c r="G499" s="60"/>
      <c r="J499" s="99"/>
      <c r="K499" s="99"/>
      <c r="L499" s="99"/>
      <c r="M499" s="99"/>
      <c r="N499" s="43">
        <f t="shared" si="7"/>
        <v>0</v>
      </c>
    </row>
    <row r="500" spans="2:14" ht="1.5" customHeight="1">
      <c r="B500" s="57"/>
      <c r="C500" s="60"/>
      <c r="D500" s="60"/>
      <c r="E500" s="60"/>
      <c r="F500" s="60"/>
      <c r="G500" s="60"/>
      <c r="J500" s="99"/>
      <c r="K500" s="99"/>
      <c r="L500" s="99"/>
      <c r="M500" s="99"/>
      <c r="N500" s="43">
        <f t="shared" si="7"/>
        <v>0</v>
      </c>
    </row>
    <row r="501" spans="2:14" ht="1.5" customHeight="1">
      <c r="B501" s="57"/>
      <c r="C501" s="60"/>
      <c r="D501" s="60"/>
      <c r="E501" s="60"/>
      <c r="F501" s="60"/>
      <c r="G501" s="60"/>
      <c r="J501" s="99"/>
      <c r="K501" s="99"/>
      <c r="L501" s="99"/>
      <c r="M501" s="99"/>
      <c r="N501" s="43">
        <f t="shared" si="7"/>
        <v>0</v>
      </c>
    </row>
    <row r="502" spans="2:14" ht="1.5" customHeight="1">
      <c r="B502" s="57"/>
      <c r="C502" s="60"/>
      <c r="D502" s="60"/>
      <c r="E502" s="60"/>
      <c r="F502" s="60"/>
      <c r="G502" s="60"/>
      <c r="J502" s="99"/>
      <c r="K502" s="99"/>
      <c r="L502" s="99"/>
      <c r="M502" s="99"/>
      <c r="N502" s="43">
        <f t="shared" si="7"/>
        <v>0</v>
      </c>
    </row>
    <row r="503" spans="2:14" ht="1.5" customHeight="1">
      <c r="B503" s="57"/>
      <c r="C503" s="60"/>
      <c r="D503" s="60"/>
      <c r="E503" s="60"/>
      <c r="F503" s="60"/>
      <c r="G503" s="60"/>
      <c r="J503" s="99"/>
      <c r="K503" s="99"/>
      <c r="L503" s="99"/>
      <c r="M503" s="99"/>
      <c r="N503" s="43">
        <f t="shared" si="7"/>
        <v>0</v>
      </c>
    </row>
    <row r="504" spans="2:14" ht="1.5" customHeight="1">
      <c r="B504" s="57"/>
      <c r="C504" s="60"/>
      <c r="D504" s="60"/>
      <c r="E504" s="60"/>
      <c r="F504" s="60"/>
      <c r="G504" s="60"/>
      <c r="J504" s="99"/>
      <c r="K504" s="99"/>
      <c r="L504" s="99"/>
      <c r="M504" s="99"/>
      <c r="N504" s="43">
        <f t="shared" si="7"/>
        <v>0</v>
      </c>
    </row>
    <row r="505" spans="2:14" ht="1.5" customHeight="1">
      <c r="B505" s="57"/>
      <c r="C505" s="60"/>
      <c r="D505" s="60"/>
      <c r="E505" s="60"/>
      <c r="F505" s="60"/>
      <c r="G505" s="60"/>
      <c r="J505" s="99"/>
      <c r="K505" s="99"/>
      <c r="L505" s="99"/>
      <c r="M505" s="99"/>
      <c r="N505" s="43">
        <f t="shared" si="7"/>
        <v>0</v>
      </c>
    </row>
    <row r="506" spans="2:14" ht="1.5" customHeight="1">
      <c r="B506" s="57"/>
      <c r="C506" s="60"/>
      <c r="D506" s="60"/>
      <c r="E506" s="60"/>
      <c r="F506" s="60"/>
      <c r="G506" s="60"/>
      <c r="J506" s="99"/>
      <c r="K506" s="99"/>
      <c r="L506" s="99"/>
      <c r="M506" s="99"/>
      <c r="N506" s="43">
        <f t="shared" si="7"/>
        <v>0</v>
      </c>
    </row>
    <row r="507" spans="2:14" ht="1.5" customHeight="1">
      <c r="B507" s="57"/>
      <c r="C507" s="60"/>
      <c r="D507" s="60"/>
      <c r="E507" s="60"/>
      <c r="F507" s="60"/>
      <c r="G507" s="60"/>
      <c r="J507" s="99"/>
      <c r="K507" s="99"/>
      <c r="L507" s="99"/>
      <c r="M507" s="99"/>
      <c r="N507" s="43">
        <f t="shared" si="7"/>
        <v>0</v>
      </c>
    </row>
    <row r="508" spans="2:14" ht="1.5" customHeight="1">
      <c r="B508" s="57"/>
      <c r="C508" s="60"/>
      <c r="D508" s="60"/>
      <c r="E508" s="60"/>
      <c r="F508" s="60"/>
      <c r="G508" s="60"/>
      <c r="J508" s="99"/>
      <c r="K508" s="99"/>
      <c r="L508" s="99"/>
      <c r="M508" s="99"/>
      <c r="N508" s="43">
        <f t="shared" si="7"/>
        <v>0</v>
      </c>
    </row>
    <row r="509" spans="2:14" ht="1.5" customHeight="1">
      <c r="B509" s="57"/>
      <c r="C509" s="60"/>
      <c r="D509" s="60"/>
      <c r="E509" s="60"/>
      <c r="F509" s="60"/>
      <c r="G509" s="60"/>
      <c r="J509" s="99"/>
      <c r="K509" s="99"/>
      <c r="L509" s="99"/>
      <c r="M509" s="99"/>
      <c r="N509" s="43">
        <f t="shared" si="7"/>
        <v>0</v>
      </c>
    </row>
    <row r="510" spans="2:14" ht="1.5" customHeight="1">
      <c r="B510" s="57"/>
      <c r="C510" s="60"/>
      <c r="D510" s="60"/>
      <c r="E510" s="60"/>
      <c r="F510" s="60"/>
      <c r="G510" s="60"/>
      <c r="J510" s="99"/>
      <c r="K510" s="99"/>
      <c r="L510" s="99"/>
      <c r="M510" s="99"/>
      <c r="N510" s="43">
        <f t="shared" si="7"/>
        <v>0</v>
      </c>
    </row>
    <row r="511" spans="2:14" ht="1.5" customHeight="1">
      <c r="B511" s="57"/>
      <c r="C511" s="60"/>
      <c r="D511" s="60"/>
      <c r="E511" s="60"/>
      <c r="F511" s="60"/>
      <c r="G511" s="60"/>
      <c r="J511" s="99"/>
      <c r="K511" s="99"/>
      <c r="L511" s="99"/>
      <c r="M511" s="99"/>
      <c r="N511" s="43">
        <f t="shared" si="7"/>
        <v>0</v>
      </c>
    </row>
    <row r="512" spans="2:14" ht="1.5" customHeight="1">
      <c r="B512" s="57"/>
      <c r="C512" s="60"/>
      <c r="D512" s="60"/>
      <c r="E512" s="60"/>
      <c r="F512" s="60"/>
      <c r="G512" s="60"/>
      <c r="J512" s="99"/>
      <c r="K512" s="99"/>
      <c r="L512" s="99"/>
      <c r="M512" s="99"/>
      <c r="N512" s="43">
        <f t="shared" si="7"/>
        <v>0</v>
      </c>
    </row>
    <row r="513" spans="2:14" ht="1.5" customHeight="1">
      <c r="B513" s="57"/>
      <c r="C513" s="60"/>
      <c r="D513" s="60"/>
      <c r="E513" s="60"/>
      <c r="F513" s="60"/>
      <c r="G513" s="60"/>
      <c r="J513" s="99"/>
      <c r="K513" s="99"/>
      <c r="L513" s="99"/>
      <c r="M513" s="99"/>
      <c r="N513" s="43">
        <f t="shared" si="7"/>
        <v>0</v>
      </c>
    </row>
    <row r="514" spans="2:14" ht="1.5" customHeight="1">
      <c r="B514" s="57"/>
      <c r="C514" s="60"/>
      <c r="D514" s="60"/>
      <c r="E514" s="60"/>
      <c r="F514" s="60"/>
      <c r="G514" s="60"/>
      <c r="J514" s="99"/>
      <c r="K514" s="99"/>
      <c r="L514" s="99"/>
      <c r="M514" s="99"/>
      <c r="N514" s="43">
        <f t="shared" si="7"/>
        <v>0</v>
      </c>
    </row>
    <row r="515" spans="2:14" ht="1.5" customHeight="1">
      <c r="B515" s="57"/>
      <c r="C515" s="60"/>
      <c r="D515" s="60"/>
      <c r="E515" s="60"/>
      <c r="F515" s="60"/>
      <c r="G515" s="60"/>
      <c r="J515" s="99"/>
      <c r="K515" s="99"/>
      <c r="L515" s="99"/>
      <c r="M515" s="99"/>
      <c r="N515" s="43">
        <f t="shared" si="7"/>
        <v>0</v>
      </c>
    </row>
    <row r="516" spans="2:14" ht="1.5" customHeight="1">
      <c r="B516" s="57"/>
      <c r="C516" s="60"/>
      <c r="D516" s="60"/>
      <c r="E516" s="60"/>
      <c r="F516" s="60"/>
      <c r="G516" s="60"/>
      <c r="J516" s="99"/>
      <c r="K516" s="99"/>
      <c r="L516" s="99"/>
      <c r="M516" s="99"/>
      <c r="N516" s="43">
        <f t="shared" si="7"/>
        <v>0</v>
      </c>
    </row>
    <row r="517" spans="2:14" ht="1.5" customHeight="1">
      <c r="B517" s="57"/>
      <c r="C517" s="60"/>
      <c r="D517" s="60"/>
      <c r="E517" s="60"/>
      <c r="F517" s="60"/>
      <c r="G517" s="60"/>
      <c r="J517" s="99"/>
      <c r="K517" s="99"/>
      <c r="L517" s="99"/>
      <c r="M517" s="99"/>
      <c r="N517" s="43">
        <f t="shared" si="7"/>
        <v>0</v>
      </c>
    </row>
    <row r="518" spans="2:14" ht="1.5" customHeight="1">
      <c r="B518" s="57"/>
      <c r="C518" s="60"/>
      <c r="D518" s="60"/>
      <c r="E518" s="60"/>
      <c r="F518" s="60"/>
      <c r="G518" s="60"/>
      <c r="J518" s="99"/>
      <c r="K518" s="99"/>
      <c r="L518" s="99"/>
      <c r="M518" s="99"/>
      <c r="N518" s="43">
        <f t="shared" si="7"/>
        <v>0</v>
      </c>
    </row>
    <row r="519" spans="2:14" ht="1.5" customHeight="1">
      <c r="B519" s="57"/>
      <c r="C519" s="60"/>
      <c r="D519" s="60"/>
      <c r="E519" s="60"/>
      <c r="F519" s="60"/>
      <c r="G519" s="60"/>
      <c r="J519" s="99"/>
      <c r="K519" s="99"/>
      <c r="L519" s="99"/>
      <c r="M519" s="99"/>
      <c r="N519" s="43">
        <f t="shared" si="7"/>
        <v>0</v>
      </c>
    </row>
    <row r="520" spans="2:14" ht="1.5" customHeight="1">
      <c r="B520" s="57"/>
      <c r="C520" s="60"/>
      <c r="D520" s="60"/>
      <c r="E520" s="60"/>
      <c r="F520" s="60"/>
      <c r="G520" s="60"/>
      <c r="J520" s="99"/>
      <c r="K520" s="99"/>
      <c r="L520" s="99"/>
      <c r="M520" s="99"/>
      <c r="N520" s="43">
        <f t="shared" si="7"/>
        <v>0</v>
      </c>
    </row>
    <row r="521" spans="2:14" ht="1.5" customHeight="1">
      <c r="B521" s="57"/>
      <c r="C521" s="60"/>
      <c r="D521" s="60"/>
      <c r="E521" s="60"/>
      <c r="F521" s="60"/>
      <c r="G521" s="60"/>
      <c r="J521" s="99"/>
      <c r="K521" s="99"/>
      <c r="L521" s="99"/>
      <c r="M521" s="99"/>
      <c r="N521" s="43">
        <f t="shared" si="7"/>
        <v>0</v>
      </c>
    </row>
    <row r="522" spans="2:14" ht="1.5" customHeight="1">
      <c r="B522" s="57"/>
      <c r="C522" s="60"/>
      <c r="D522" s="60"/>
      <c r="E522" s="60"/>
      <c r="F522" s="60"/>
      <c r="G522" s="60"/>
      <c r="J522" s="99"/>
      <c r="K522" s="99"/>
      <c r="L522" s="99"/>
      <c r="M522" s="99"/>
      <c r="N522" s="43">
        <f t="shared" si="7"/>
        <v>0</v>
      </c>
    </row>
    <row r="523" spans="2:14" ht="1.5" customHeight="1">
      <c r="B523" s="57"/>
      <c r="C523" s="60"/>
      <c r="D523" s="60"/>
      <c r="E523" s="60"/>
      <c r="F523" s="60"/>
      <c r="G523" s="60"/>
      <c r="J523" s="99"/>
      <c r="K523" s="99"/>
      <c r="L523" s="99"/>
      <c r="M523" s="99"/>
      <c r="N523" s="43">
        <f t="shared" ref="N523:N586" si="8">IF($L$4=$C$10,C523,IF(D523="","",B523))</f>
        <v>0</v>
      </c>
    </row>
    <row r="524" spans="2:14" ht="1.5" customHeight="1">
      <c r="B524" s="57"/>
      <c r="C524" s="60"/>
      <c r="D524" s="60"/>
      <c r="E524" s="60"/>
      <c r="F524" s="60"/>
      <c r="G524" s="60"/>
      <c r="J524" s="99"/>
      <c r="K524" s="99"/>
      <c r="L524" s="99"/>
      <c r="M524" s="99"/>
      <c r="N524" s="43">
        <f t="shared" si="8"/>
        <v>0</v>
      </c>
    </row>
    <row r="525" spans="2:14" ht="1.5" customHeight="1">
      <c r="B525" s="57"/>
      <c r="C525" s="60"/>
      <c r="D525" s="60"/>
      <c r="E525" s="60"/>
      <c r="F525" s="60"/>
      <c r="G525" s="60"/>
      <c r="J525" s="99"/>
      <c r="K525" s="99"/>
      <c r="L525" s="99"/>
      <c r="M525" s="99"/>
      <c r="N525" s="43">
        <f t="shared" si="8"/>
        <v>0</v>
      </c>
    </row>
    <row r="526" spans="2:14" ht="1.5" customHeight="1">
      <c r="B526" s="57"/>
      <c r="C526" s="60"/>
      <c r="D526" s="60"/>
      <c r="E526" s="60"/>
      <c r="F526" s="60"/>
      <c r="G526" s="60"/>
      <c r="J526" s="99"/>
      <c r="K526" s="99"/>
      <c r="L526" s="99"/>
      <c r="M526" s="99"/>
      <c r="N526" s="43">
        <f t="shared" si="8"/>
        <v>0</v>
      </c>
    </row>
    <row r="527" spans="2:14" ht="1.5" customHeight="1">
      <c r="B527" s="57"/>
      <c r="C527" s="60"/>
      <c r="D527" s="60"/>
      <c r="E527" s="60"/>
      <c r="F527" s="60"/>
      <c r="G527" s="60"/>
      <c r="J527" s="99"/>
      <c r="K527" s="99"/>
      <c r="L527" s="99"/>
      <c r="M527" s="99"/>
      <c r="N527" s="43">
        <f t="shared" si="8"/>
        <v>0</v>
      </c>
    </row>
    <row r="528" spans="2:14" ht="1.5" customHeight="1">
      <c r="B528" s="57"/>
      <c r="C528" s="60"/>
      <c r="D528" s="60"/>
      <c r="E528" s="60"/>
      <c r="F528" s="60"/>
      <c r="G528" s="60"/>
      <c r="J528" s="99"/>
      <c r="K528" s="99"/>
      <c r="L528" s="99"/>
      <c r="M528" s="99"/>
      <c r="N528" s="43">
        <f t="shared" si="8"/>
        <v>0</v>
      </c>
    </row>
    <row r="529" spans="2:14" ht="1.5" customHeight="1">
      <c r="B529" s="57"/>
      <c r="C529" s="60"/>
      <c r="D529" s="60"/>
      <c r="E529" s="60"/>
      <c r="F529" s="60"/>
      <c r="G529" s="60"/>
      <c r="J529" s="99"/>
      <c r="K529" s="99"/>
      <c r="L529" s="99"/>
      <c r="M529" s="99"/>
      <c r="N529" s="43">
        <f t="shared" si="8"/>
        <v>0</v>
      </c>
    </row>
    <row r="530" spans="2:14" ht="1.5" customHeight="1">
      <c r="B530" s="57"/>
      <c r="C530" s="60"/>
      <c r="D530" s="60"/>
      <c r="E530" s="60"/>
      <c r="F530" s="60"/>
      <c r="G530" s="60"/>
      <c r="J530" s="99"/>
      <c r="K530" s="99"/>
      <c r="L530" s="99"/>
      <c r="M530" s="99"/>
      <c r="N530" s="43">
        <f t="shared" si="8"/>
        <v>0</v>
      </c>
    </row>
    <row r="531" spans="2:14" ht="1.5" customHeight="1">
      <c r="B531" s="57"/>
      <c r="C531" s="60"/>
      <c r="D531" s="60"/>
      <c r="E531" s="60"/>
      <c r="F531" s="60"/>
      <c r="G531" s="60"/>
      <c r="J531" s="99"/>
      <c r="K531" s="99"/>
      <c r="L531" s="99"/>
      <c r="M531" s="99"/>
      <c r="N531" s="43">
        <f t="shared" si="8"/>
        <v>0</v>
      </c>
    </row>
    <row r="532" spans="2:14" ht="1.5" customHeight="1">
      <c r="B532" s="57"/>
      <c r="C532" s="60"/>
      <c r="D532" s="60"/>
      <c r="E532" s="60"/>
      <c r="F532" s="60"/>
      <c r="G532" s="60"/>
      <c r="J532" s="99"/>
      <c r="K532" s="99"/>
      <c r="L532" s="99"/>
      <c r="M532" s="99"/>
      <c r="N532" s="43">
        <f t="shared" si="8"/>
        <v>0</v>
      </c>
    </row>
    <row r="533" spans="2:14" ht="1.5" customHeight="1">
      <c r="B533" s="57"/>
      <c r="C533" s="60"/>
      <c r="D533" s="60"/>
      <c r="E533" s="60"/>
      <c r="F533" s="60"/>
      <c r="G533" s="60"/>
      <c r="J533" s="99"/>
      <c r="K533" s="99"/>
      <c r="L533" s="99"/>
      <c r="M533" s="99"/>
      <c r="N533" s="43">
        <f t="shared" si="8"/>
        <v>0</v>
      </c>
    </row>
    <row r="534" spans="2:14" ht="1.5" customHeight="1">
      <c r="B534" s="57"/>
      <c r="C534" s="60"/>
      <c r="D534" s="60"/>
      <c r="E534" s="60"/>
      <c r="F534" s="60"/>
      <c r="G534" s="60"/>
      <c r="J534" s="99"/>
      <c r="K534" s="99"/>
      <c r="L534" s="99"/>
      <c r="M534" s="99"/>
      <c r="N534" s="43">
        <f t="shared" si="8"/>
        <v>0</v>
      </c>
    </row>
    <row r="535" spans="2:14" ht="1.5" customHeight="1">
      <c r="B535" s="57"/>
      <c r="C535" s="60"/>
      <c r="D535" s="60"/>
      <c r="E535" s="60"/>
      <c r="F535" s="60"/>
      <c r="G535" s="60"/>
      <c r="J535" s="99"/>
      <c r="K535" s="99"/>
      <c r="L535" s="99"/>
      <c r="M535" s="99"/>
      <c r="N535" s="43">
        <f t="shared" si="8"/>
        <v>0</v>
      </c>
    </row>
    <row r="536" spans="2:14" ht="1.5" customHeight="1">
      <c r="B536" s="57"/>
      <c r="C536" s="60"/>
      <c r="D536" s="60"/>
      <c r="E536" s="60"/>
      <c r="F536" s="60"/>
      <c r="G536" s="60"/>
      <c r="J536" s="99"/>
      <c r="K536" s="99"/>
      <c r="L536" s="99"/>
      <c r="M536" s="99"/>
      <c r="N536" s="43">
        <f t="shared" si="8"/>
        <v>0</v>
      </c>
    </row>
    <row r="537" spans="2:14" ht="1.5" customHeight="1">
      <c r="B537" s="57"/>
      <c r="C537" s="60"/>
      <c r="D537" s="60"/>
      <c r="E537" s="60"/>
      <c r="F537" s="60"/>
      <c r="G537" s="60"/>
      <c r="J537" s="99"/>
      <c r="K537" s="99"/>
      <c r="L537" s="99"/>
      <c r="M537" s="99"/>
      <c r="N537" s="43">
        <f t="shared" si="8"/>
        <v>0</v>
      </c>
    </row>
    <row r="538" spans="2:14" ht="1.5" customHeight="1">
      <c r="B538" s="57"/>
      <c r="C538" s="60"/>
      <c r="D538" s="60"/>
      <c r="E538" s="60"/>
      <c r="F538" s="60"/>
      <c r="G538" s="60"/>
      <c r="J538" s="99"/>
      <c r="K538" s="99"/>
      <c r="L538" s="99"/>
      <c r="M538" s="99"/>
      <c r="N538" s="43">
        <f t="shared" si="8"/>
        <v>0</v>
      </c>
    </row>
    <row r="539" spans="2:14" ht="1.5" customHeight="1">
      <c r="B539" s="57"/>
      <c r="C539" s="60"/>
      <c r="D539" s="60"/>
      <c r="E539" s="60"/>
      <c r="F539" s="60"/>
      <c r="G539" s="60"/>
      <c r="J539" s="99"/>
      <c r="K539" s="99"/>
      <c r="L539" s="99"/>
      <c r="M539" s="99"/>
      <c r="N539" s="43">
        <f t="shared" si="8"/>
        <v>0</v>
      </c>
    </row>
    <row r="540" spans="2:14" ht="1.5" customHeight="1">
      <c r="B540" s="57"/>
      <c r="C540" s="60"/>
      <c r="D540" s="60"/>
      <c r="E540" s="60"/>
      <c r="F540" s="60"/>
      <c r="G540" s="60"/>
      <c r="J540" s="99"/>
      <c r="K540" s="99"/>
      <c r="L540" s="99"/>
      <c r="M540" s="99"/>
      <c r="N540" s="43">
        <f t="shared" si="8"/>
        <v>0</v>
      </c>
    </row>
    <row r="541" spans="2:14" ht="1.5" customHeight="1">
      <c r="B541" s="57"/>
      <c r="C541" s="60"/>
      <c r="D541" s="60"/>
      <c r="E541" s="60"/>
      <c r="F541" s="60"/>
      <c r="G541" s="60"/>
      <c r="J541" s="99"/>
      <c r="K541" s="99"/>
      <c r="L541" s="99"/>
      <c r="M541" s="99"/>
      <c r="N541" s="43">
        <f t="shared" si="8"/>
        <v>0</v>
      </c>
    </row>
    <row r="542" spans="2:14" ht="1.5" customHeight="1">
      <c r="B542" s="57"/>
      <c r="C542" s="60"/>
      <c r="D542" s="60"/>
      <c r="E542" s="60"/>
      <c r="F542" s="60"/>
      <c r="G542" s="60"/>
      <c r="J542" s="99"/>
      <c r="K542" s="99"/>
      <c r="L542" s="99"/>
      <c r="M542" s="99"/>
      <c r="N542" s="43">
        <f t="shared" si="8"/>
        <v>0</v>
      </c>
    </row>
    <row r="543" spans="2:14" ht="1.5" customHeight="1">
      <c r="B543" s="57"/>
      <c r="C543" s="60"/>
      <c r="D543" s="60"/>
      <c r="E543" s="60"/>
      <c r="F543" s="60"/>
      <c r="G543" s="60"/>
      <c r="J543" s="99"/>
      <c r="K543" s="99"/>
      <c r="L543" s="99"/>
      <c r="M543" s="99"/>
      <c r="N543" s="43">
        <f t="shared" si="8"/>
        <v>0</v>
      </c>
    </row>
    <row r="544" spans="2:14" ht="1.5" customHeight="1">
      <c r="B544" s="57"/>
      <c r="C544" s="60"/>
      <c r="D544" s="60"/>
      <c r="E544" s="60"/>
      <c r="F544" s="60"/>
      <c r="G544" s="60"/>
      <c r="J544" s="99"/>
      <c r="K544" s="99"/>
      <c r="L544" s="99"/>
      <c r="M544" s="99"/>
      <c r="N544" s="43">
        <f t="shared" si="8"/>
        <v>0</v>
      </c>
    </row>
    <row r="545" spans="2:14" ht="1.5" customHeight="1">
      <c r="B545" s="57"/>
      <c r="C545" s="60"/>
      <c r="D545" s="60"/>
      <c r="E545" s="60"/>
      <c r="F545" s="60"/>
      <c r="G545" s="60"/>
      <c r="J545" s="99"/>
      <c r="K545" s="99"/>
      <c r="L545" s="99"/>
      <c r="M545" s="99"/>
      <c r="N545" s="43">
        <f t="shared" si="8"/>
        <v>0</v>
      </c>
    </row>
    <row r="546" spans="2:14" ht="1.5" customHeight="1">
      <c r="B546" s="57"/>
      <c r="C546" s="60"/>
      <c r="D546" s="60"/>
      <c r="E546" s="60"/>
      <c r="F546" s="60"/>
      <c r="G546" s="60"/>
      <c r="J546" s="99"/>
      <c r="K546" s="99"/>
      <c r="L546" s="99"/>
      <c r="M546" s="99"/>
      <c r="N546" s="43">
        <f t="shared" si="8"/>
        <v>0</v>
      </c>
    </row>
    <row r="547" spans="2:14" ht="1.5" customHeight="1">
      <c r="B547" s="57"/>
      <c r="C547" s="60"/>
      <c r="D547" s="60"/>
      <c r="E547" s="60"/>
      <c r="F547" s="60"/>
      <c r="G547" s="60"/>
      <c r="J547" s="99"/>
      <c r="K547" s="99"/>
      <c r="L547" s="99"/>
      <c r="M547" s="99"/>
      <c r="N547" s="43">
        <f t="shared" si="8"/>
        <v>0</v>
      </c>
    </row>
    <row r="548" spans="2:14" ht="1.5" customHeight="1">
      <c r="B548" s="57"/>
      <c r="C548" s="60"/>
      <c r="D548" s="60"/>
      <c r="E548" s="60"/>
      <c r="F548" s="60"/>
      <c r="G548" s="60"/>
      <c r="J548" s="99"/>
      <c r="K548" s="99"/>
      <c r="L548" s="99"/>
      <c r="M548" s="99"/>
      <c r="N548" s="43">
        <f t="shared" si="8"/>
        <v>0</v>
      </c>
    </row>
    <row r="549" spans="2:14" ht="1.5" customHeight="1">
      <c r="B549" s="57"/>
      <c r="C549" s="60"/>
      <c r="D549" s="60"/>
      <c r="E549" s="60"/>
      <c r="F549" s="60"/>
      <c r="G549" s="60"/>
      <c r="J549" s="99"/>
      <c r="K549" s="99"/>
      <c r="L549" s="99"/>
      <c r="M549" s="99"/>
      <c r="N549" s="43">
        <f t="shared" si="8"/>
        <v>0</v>
      </c>
    </row>
    <row r="550" spans="2:14" ht="1.5" customHeight="1">
      <c r="B550" s="57"/>
      <c r="C550" s="60"/>
      <c r="D550" s="60"/>
      <c r="E550" s="60"/>
      <c r="F550" s="60"/>
      <c r="G550" s="60"/>
      <c r="J550" s="99"/>
      <c r="K550" s="99"/>
      <c r="L550" s="99"/>
      <c r="M550" s="99"/>
      <c r="N550" s="43">
        <f t="shared" si="8"/>
        <v>0</v>
      </c>
    </row>
    <row r="551" spans="2:14" ht="1.5" customHeight="1">
      <c r="B551" s="57"/>
      <c r="C551" s="60"/>
      <c r="D551" s="60"/>
      <c r="E551" s="60"/>
      <c r="F551" s="60"/>
      <c r="G551" s="60"/>
      <c r="J551" s="99"/>
      <c r="K551" s="99"/>
      <c r="L551" s="99"/>
      <c r="M551" s="99"/>
      <c r="N551" s="43">
        <f t="shared" si="8"/>
        <v>0</v>
      </c>
    </row>
    <row r="552" spans="2:14" ht="1.5" customHeight="1">
      <c r="B552" s="57"/>
      <c r="C552" s="60"/>
      <c r="D552" s="60"/>
      <c r="E552" s="60"/>
      <c r="F552" s="60"/>
      <c r="G552" s="60"/>
      <c r="J552" s="99"/>
      <c r="K552" s="99"/>
      <c r="L552" s="99"/>
      <c r="M552" s="99"/>
      <c r="N552" s="43">
        <f t="shared" si="8"/>
        <v>0</v>
      </c>
    </row>
    <row r="553" spans="2:14" ht="1.5" customHeight="1">
      <c r="B553" s="57"/>
      <c r="C553" s="60"/>
      <c r="D553" s="60"/>
      <c r="E553" s="60"/>
      <c r="F553" s="60"/>
      <c r="G553" s="60"/>
      <c r="J553" s="99"/>
      <c r="K553" s="99"/>
      <c r="L553" s="99"/>
      <c r="M553" s="99"/>
      <c r="N553" s="43">
        <f t="shared" si="8"/>
        <v>0</v>
      </c>
    </row>
    <row r="554" spans="2:14" ht="1.5" customHeight="1">
      <c r="B554" s="57"/>
      <c r="C554" s="60"/>
      <c r="D554" s="60"/>
      <c r="E554" s="60"/>
      <c r="F554" s="60"/>
      <c r="G554" s="60"/>
      <c r="J554" s="99"/>
      <c r="K554" s="99"/>
      <c r="L554" s="99"/>
      <c r="M554" s="99"/>
      <c r="N554" s="43">
        <f t="shared" si="8"/>
        <v>0</v>
      </c>
    </row>
    <row r="555" spans="2:14" ht="1.5" customHeight="1">
      <c r="B555" s="57"/>
      <c r="C555" s="60"/>
      <c r="D555" s="60"/>
      <c r="E555" s="60"/>
      <c r="F555" s="60"/>
      <c r="G555" s="60"/>
      <c r="J555" s="99"/>
      <c r="K555" s="99"/>
      <c r="L555" s="99"/>
      <c r="M555" s="99"/>
      <c r="N555" s="43">
        <f t="shared" si="8"/>
        <v>0</v>
      </c>
    </row>
    <row r="556" spans="2:14" ht="1.5" customHeight="1">
      <c r="B556" s="57"/>
      <c r="C556" s="60"/>
      <c r="D556" s="60"/>
      <c r="E556" s="60"/>
      <c r="F556" s="60"/>
      <c r="G556" s="60"/>
      <c r="J556" s="99"/>
      <c r="K556" s="99"/>
      <c r="L556" s="99"/>
      <c r="M556" s="99"/>
      <c r="N556" s="43">
        <f t="shared" si="8"/>
        <v>0</v>
      </c>
    </row>
    <row r="557" spans="2:14" ht="1.5" customHeight="1">
      <c r="B557" s="57"/>
      <c r="C557" s="60"/>
      <c r="D557" s="60"/>
      <c r="E557" s="60"/>
      <c r="F557" s="60"/>
      <c r="G557" s="60"/>
      <c r="J557" s="99"/>
      <c r="K557" s="99"/>
      <c r="L557" s="99"/>
      <c r="M557" s="99"/>
      <c r="N557" s="43">
        <f t="shared" si="8"/>
        <v>0</v>
      </c>
    </row>
    <row r="558" spans="2:14" ht="1.5" customHeight="1">
      <c r="B558" s="57"/>
      <c r="C558" s="60"/>
      <c r="D558" s="60"/>
      <c r="E558" s="60"/>
      <c r="F558" s="60"/>
      <c r="G558" s="60"/>
      <c r="J558" s="99"/>
      <c r="K558" s="99"/>
      <c r="L558" s="99"/>
      <c r="M558" s="99"/>
      <c r="N558" s="43">
        <f t="shared" si="8"/>
        <v>0</v>
      </c>
    </row>
    <row r="559" spans="2:14" ht="1.5" customHeight="1">
      <c r="B559" s="57"/>
      <c r="C559" s="60"/>
      <c r="D559" s="60"/>
      <c r="E559" s="60"/>
      <c r="F559" s="60"/>
      <c r="G559" s="60"/>
      <c r="J559" s="99"/>
      <c r="K559" s="99"/>
      <c r="L559" s="99"/>
      <c r="M559" s="99"/>
      <c r="N559" s="43">
        <f t="shared" si="8"/>
        <v>0</v>
      </c>
    </row>
    <row r="560" spans="2:14" ht="1.5" customHeight="1">
      <c r="B560" s="57"/>
      <c r="C560" s="60"/>
      <c r="D560" s="60"/>
      <c r="E560" s="60"/>
      <c r="F560" s="60"/>
      <c r="G560" s="60"/>
      <c r="J560" s="99"/>
      <c r="K560" s="99"/>
      <c r="L560" s="99"/>
      <c r="M560" s="99"/>
      <c r="N560" s="43">
        <f t="shared" si="8"/>
        <v>0</v>
      </c>
    </row>
    <row r="561" spans="2:14" ht="1.5" customHeight="1">
      <c r="B561" s="57"/>
      <c r="C561" s="60"/>
      <c r="D561" s="60"/>
      <c r="E561" s="60"/>
      <c r="F561" s="60"/>
      <c r="G561" s="60"/>
      <c r="J561" s="99"/>
      <c r="K561" s="99"/>
      <c r="L561" s="99"/>
      <c r="M561" s="99"/>
      <c r="N561" s="43">
        <f t="shared" si="8"/>
        <v>0</v>
      </c>
    </row>
    <row r="562" spans="2:14" ht="1.5" customHeight="1">
      <c r="B562" s="57"/>
      <c r="C562" s="60"/>
      <c r="D562" s="60"/>
      <c r="E562" s="60"/>
      <c r="F562" s="60"/>
      <c r="G562" s="60"/>
      <c r="J562" s="99"/>
      <c r="K562" s="99"/>
      <c r="L562" s="99"/>
      <c r="M562" s="99"/>
      <c r="N562" s="43">
        <f t="shared" si="8"/>
        <v>0</v>
      </c>
    </row>
    <row r="563" spans="2:14" ht="1.5" customHeight="1">
      <c r="B563" s="57"/>
      <c r="C563" s="60"/>
      <c r="D563" s="60"/>
      <c r="E563" s="60"/>
      <c r="F563" s="60"/>
      <c r="G563" s="60"/>
      <c r="J563" s="99"/>
      <c r="K563" s="99"/>
      <c r="L563" s="99"/>
      <c r="M563" s="99"/>
      <c r="N563" s="43">
        <f t="shared" si="8"/>
        <v>0</v>
      </c>
    </row>
    <row r="564" spans="2:14" ht="1.5" customHeight="1">
      <c r="B564" s="57"/>
      <c r="C564" s="60"/>
      <c r="D564" s="60"/>
      <c r="E564" s="60"/>
      <c r="F564" s="60"/>
      <c r="G564" s="60"/>
      <c r="J564" s="99"/>
      <c r="K564" s="99"/>
      <c r="L564" s="99"/>
      <c r="M564" s="99"/>
      <c r="N564" s="43">
        <f t="shared" si="8"/>
        <v>0</v>
      </c>
    </row>
    <row r="565" spans="2:14" ht="1.5" customHeight="1">
      <c r="B565" s="57"/>
      <c r="C565" s="60"/>
      <c r="D565" s="60"/>
      <c r="E565" s="60"/>
      <c r="F565" s="60"/>
      <c r="G565" s="60"/>
      <c r="J565" s="99"/>
      <c r="K565" s="99"/>
      <c r="L565" s="99"/>
      <c r="M565" s="99"/>
      <c r="N565" s="43">
        <f t="shared" si="8"/>
        <v>0</v>
      </c>
    </row>
    <row r="566" spans="2:14" ht="1.5" customHeight="1">
      <c r="B566" s="57"/>
      <c r="C566" s="60"/>
      <c r="D566" s="60"/>
      <c r="E566" s="60"/>
      <c r="F566" s="60"/>
      <c r="G566" s="60"/>
      <c r="J566" s="99"/>
      <c r="K566" s="99"/>
      <c r="L566" s="99"/>
      <c r="M566" s="99"/>
      <c r="N566" s="43">
        <f t="shared" si="8"/>
        <v>0</v>
      </c>
    </row>
    <row r="567" spans="2:14" ht="1.5" customHeight="1">
      <c r="B567" s="57"/>
      <c r="C567" s="60"/>
      <c r="D567" s="60"/>
      <c r="E567" s="60"/>
      <c r="F567" s="60"/>
      <c r="G567" s="60"/>
      <c r="J567" s="99"/>
      <c r="K567" s="99"/>
      <c r="L567" s="99"/>
      <c r="M567" s="99"/>
      <c r="N567" s="43">
        <f t="shared" si="8"/>
        <v>0</v>
      </c>
    </row>
    <row r="568" spans="2:14" ht="1.5" customHeight="1">
      <c r="B568" s="57"/>
      <c r="C568" s="60"/>
      <c r="D568" s="60"/>
      <c r="E568" s="60"/>
      <c r="F568" s="60"/>
      <c r="G568" s="60"/>
      <c r="J568" s="99"/>
      <c r="K568" s="99"/>
      <c r="L568" s="99"/>
      <c r="M568" s="99"/>
      <c r="N568" s="43">
        <f t="shared" si="8"/>
        <v>0</v>
      </c>
    </row>
    <row r="569" spans="2:14" ht="1.5" customHeight="1">
      <c r="B569" s="57"/>
      <c r="C569" s="60"/>
      <c r="D569" s="60"/>
      <c r="E569" s="60"/>
      <c r="F569" s="60"/>
      <c r="G569" s="60"/>
      <c r="J569" s="99"/>
      <c r="K569" s="99"/>
      <c r="L569" s="99"/>
      <c r="M569" s="99"/>
      <c r="N569" s="43">
        <f t="shared" si="8"/>
        <v>0</v>
      </c>
    </row>
    <row r="570" spans="2:14" ht="1.5" customHeight="1">
      <c r="B570" s="57"/>
      <c r="C570" s="60"/>
      <c r="D570" s="60"/>
      <c r="E570" s="60"/>
      <c r="F570" s="60"/>
      <c r="G570" s="60"/>
      <c r="J570" s="99"/>
      <c r="K570" s="99"/>
      <c r="L570" s="99"/>
      <c r="M570" s="99"/>
      <c r="N570" s="43">
        <f t="shared" si="8"/>
        <v>0</v>
      </c>
    </row>
    <row r="571" spans="2:14" ht="1.5" customHeight="1">
      <c r="B571" s="57"/>
      <c r="C571" s="60"/>
      <c r="D571" s="60"/>
      <c r="E571" s="60"/>
      <c r="F571" s="60"/>
      <c r="G571" s="60"/>
      <c r="J571" s="99"/>
      <c r="K571" s="99"/>
      <c r="L571" s="99"/>
      <c r="M571" s="99"/>
      <c r="N571" s="43">
        <f t="shared" si="8"/>
        <v>0</v>
      </c>
    </row>
    <row r="572" spans="2:14" ht="1.5" customHeight="1">
      <c r="B572" s="57"/>
      <c r="C572" s="60"/>
      <c r="D572" s="60"/>
      <c r="E572" s="60"/>
      <c r="F572" s="60"/>
      <c r="G572" s="60"/>
      <c r="J572" s="99"/>
      <c r="K572" s="99"/>
      <c r="L572" s="99"/>
      <c r="M572" s="99"/>
      <c r="N572" s="43">
        <f t="shared" si="8"/>
        <v>0</v>
      </c>
    </row>
    <row r="573" spans="2:14" ht="1.5" customHeight="1">
      <c r="B573" s="57"/>
      <c r="C573" s="60"/>
      <c r="D573" s="60"/>
      <c r="E573" s="60"/>
      <c r="F573" s="60"/>
      <c r="G573" s="60"/>
      <c r="J573" s="99"/>
      <c r="K573" s="99"/>
      <c r="L573" s="99"/>
      <c r="M573" s="99"/>
      <c r="N573" s="43">
        <f t="shared" si="8"/>
        <v>0</v>
      </c>
    </row>
    <row r="574" spans="2:14" ht="1.5" customHeight="1">
      <c r="B574" s="57"/>
      <c r="C574" s="60"/>
      <c r="D574" s="60"/>
      <c r="E574" s="60"/>
      <c r="F574" s="60"/>
      <c r="G574" s="60"/>
      <c r="J574" s="99"/>
      <c r="K574" s="99"/>
      <c r="L574" s="99"/>
      <c r="M574" s="99"/>
      <c r="N574" s="43">
        <f t="shared" si="8"/>
        <v>0</v>
      </c>
    </row>
    <row r="575" spans="2:14" ht="1.5" customHeight="1">
      <c r="B575" s="57"/>
      <c r="C575" s="60"/>
      <c r="D575" s="60"/>
      <c r="E575" s="60"/>
      <c r="F575" s="60"/>
      <c r="G575" s="60"/>
      <c r="J575" s="99"/>
      <c r="K575" s="99"/>
      <c r="L575" s="99"/>
      <c r="M575" s="99"/>
      <c r="N575" s="43">
        <f t="shared" si="8"/>
        <v>0</v>
      </c>
    </row>
    <row r="576" spans="2:14" ht="1.5" customHeight="1">
      <c r="B576" s="57"/>
      <c r="C576" s="60"/>
      <c r="D576" s="60"/>
      <c r="E576" s="60"/>
      <c r="F576" s="60"/>
      <c r="G576" s="60"/>
      <c r="J576" s="99"/>
      <c r="K576" s="99"/>
      <c r="L576" s="99"/>
      <c r="M576" s="99"/>
      <c r="N576" s="43">
        <f t="shared" si="8"/>
        <v>0</v>
      </c>
    </row>
    <row r="577" spans="2:14" ht="1.5" customHeight="1">
      <c r="B577" s="57"/>
      <c r="C577" s="60"/>
      <c r="D577" s="60"/>
      <c r="E577" s="60"/>
      <c r="F577" s="60"/>
      <c r="G577" s="60"/>
      <c r="J577" s="99"/>
      <c r="K577" s="99"/>
      <c r="L577" s="99"/>
      <c r="M577" s="99"/>
      <c r="N577" s="43">
        <f t="shared" si="8"/>
        <v>0</v>
      </c>
    </row>
    <row r="578" spans="2:14" ht="1.5" customHeight="1">
      <c r="B578" s="57"/>
      <c r="C578" s="60"/>
      <c r="D578" s="60"/>
      <c r="E578" s="60"/>
      <c r="F578" s="60"/>
      <c r="G578" s="60"/>
      <c r="J578" s="99"/>
      <c r="K578" s="99"/>
      <c r="L578" s="99"/>
      <c r="M578" s="99"/>
      <c r="N578" s="43">
        <f t="shared" si="8"/>
        <v>0</v>
      </c>
    </row>
    <row r="579" spans="2:14" ht="1.5" customHeight="1">
      <c r="B579" s="57"/>
      <c r="C579" s="60"/>
      <c r="D579" s="60"/>
      <c r="E579" s="60"/>
      <c r="F579" s="60"/>
      <c r="G579" s="60"/>
      <c r="J579" s="99"/>
      <c r="K579" s="99"/>
      <c r="L579" s="99"/>
      <c r="M579" s="99"/>
      <c r="N579" s="43">
        <f t="shared" si="8"/>
        <v>0</v>
      </c>
    </row>
    <row r="580" spans="2:14" ht="1.5" customHeight="1">
      <c r="B580" s="57"/>
      <c r="C580" s="60"/>
      <c r="D580" s="60"/>
      <c r="E580" s="60"/>
      <c r="F580" s="60"/>
      <c r="G580" s="60"/>
      <c r="J580" s="99"/>
      <c r="K580" s="99"/>
      <c r="L580" s="99"/>
      <c r="M580" s="99"/>
      <c r="N580" s="43">
        <f t="shared" si="8"/>
        <v>0</v>
      </c>
    </row>
    <row r="581" spans="2:14" ht="1.5" customHeight="1">
      <c r="B581" s="57"/>
      <c r="C581" s="60"/>
      <c r="D581" s="60"/>
      <c r="E581" s="60"/>
      <c r="F581" s="60"/>
      <c r="G581" s="60"/>
      <c r="J581" s="99"/>
      <c r="K581" s="99"/>
      <c r="L581" s="99"/>
      <c r="M581" s="99"/>
      <c r="N581" s="43">
        <f t="shared" si="8"/>
        <v>0</v>
      </c>
    </row>
    <row r="582" spans="2:14" ht="1.5" customHeight="1">
      <c r="B582" s="57"/>
      <c r="C582" s="60"/>
      <c r="D582" s="60"/>
      <c r="E582" s="60"/>
      <c r="F582" s="60"/>
      <c r="G582" s="60"/>
      <c r="J582" s="99"/>
      <c r="K582" s="99"/>
      <c r="L582" s="99"/>
      <c r="M582" s="99"/>
      <c r="N582" s="43">
        <f t="shared" si="8"/>
        <v>0</v>
      </c>
    </row>
    <row r="583" spans="2:14" ht="1.5" customHeight="1">
      <c r="B583" s="57"/>
      <c r="C583" s="60"/>
      <c r="D583" s="60"/>
      <c r="E583" s="60"/>
      <c r="F583" s="60"/>
      <c r="G583" s="60"/>
      <c r="J583" s="99"/>
      <c r="K583" s="99"/>
      <c r="L583" s="99"/>
      <c r="M583" s="99"/>
      <c r="N583" s="43">
        <f t="shared" si="8"/>
        <v>0</v>
      </c>
    </row>
    <row r="584" spans="2:14" ht="1.5" customHeight="1">
      <c r="B584" s="57"/>
      <c r="C584" s="60"/>
      <c r="D584" s="60"/>
      <c r="E584" s="60"/>
      <c r="F584" s="60"/>
      <c r="G584" s="60"/>
      <c r="J584" s="99"/>
      <c r="K584" s="99"/>
      <c r="L584" s="99"/>
      <c r="M584" s="99"/>
      <c r="N584" s="43">
        <f t="shared" si="8"/>
        <v>0</v>
      </c>
    </row>
    <row r="585" spans="2:14" ht="1.5" customHeight="1">
      <c r="B585" s="57"/>
      <c r="C585" s="60"/>
      <c r="D585" s="60"/>
      <c r="E585" s="60"/>
      <c r="F585" s="60"/>
      <c r="G585" s="60"/>
      <c r="J585" s="99"/>
      <c r="K585" s="99"/>
      <c r="L585" s="99"/>
      <c r="M585" s="99"/>
      <c r="N585" s="43">
        <f t="shared" si="8"/>
        <v>0</v>
      </c>
    </row>
    <row r="586" spans="2:14" ht="1.5" customHeight="1">
      <c r="B586" s="57"/>
      <c r="C586" s="60"/>
      <c r="D586" s="60"/>
      <c r="E586" s="60"/>
      <c r="F586" s="60"/>
      <c r="G586" s="60"/>
      <c r="J586" s="99"/>
      <c r="K586" s="99"/>
      <c r="L586" s="99"/>
      <c r="M586" s="99"/>
      <c r="N586" s="43">
        <f t="shared" si="8"/>
        <v>0</v>
      </c>
    </row>
    <row r="587" spans="2:14" ht="1.5" customHeight="1">
      <c r="B587" s="57"/>
      <c r="C587" s="60"/>
      <c r="D587" s="60"/>
      <c r="E587" s="60"/>
      <c r="F587" s="60"/>
      <c r="G587" s="60"/>
      <c r="J587" s="99"/>
      <c r="K587" s="99"/>
      <c r="L587" s="99"/>
      <c r="M587" s="99"/>
      <c r="N587" s="43">
        <f t="shared" ref="N587:N650" si="9">IF($L$4=$C$10,C587,IF(D587="","",B587))</f>
        <v>0</v>
      </c>
    </row>
    <row r="588" spans="2:14" ht="1.5" customHeight="1">
      <c r="B588" s="57"/>
      <c r="C588" s="60"/>
      <c r="D588" s="60"/>
      <c r="E588" s="60"/>
      <c r="F588" s="60"/>
      <c r="G588" s="60"/>
      <c r="J588" s="99"/>
      <c r="K588" s="99"/>
      <c r="L588" s="99"/>
      <c r="M588" s="99"/>
      <c r="N588" s="43">
        <f t="shared" si="9"/>
        <v>0</v>
      </c>
    </row>
    <row r="589" spans="2:14" ht="1.5" customHeight="1">
      <c r="B589" s="57"/>
      <c r="C589" s="60"/>
      <c r="D589" s="60"/>
      <c r="E589" s="60"/>
      <c r="F589" s="60"/>
      <c r="G589" s="60"/>
      <c r="J589" s="99"/>
      <c r="K589" s="99"/>
      <c r="L589" s="99"/>
      <c r="M589" s="99"/>
      <c r="N589" s="43">
        <f t="shared" si="9"/>
        <v>0</v>
      </c>
    </row>
    <row r="590" spans="2:14" ht="1.5" customHeight="1">
      <c r="B590" s="57"/>
      <c r="C590" s="60"/>
      <c r="D590" s="60"/>
      <c r="E590" s="60"/>
      <c r="F590" s="60"/>
      <c r="G590" s="60"/>
      <c r="J590" s="99"/>
      <c r="K590" s="99"/>
      <c r="L590" s="99"/>
      <c r="M590" s="99"/>
      <c r="N590" s="43">
        <f t="shared" si="9"/>
        <v>0</v>
      </c>
    </row>
    <row r="591" spans="2:14" ht="1.5" customHeight="1">
      <c r="B591" s="57"/>
      <c r="C591" s="60"/>
      <c r="D591" s="60"/>
      <c r="E591" s="60"/>
      <c r="F591" s="60"/>
      <c r="G591" s="60"/>
      <c r="J591" s="99"/>
      <c r="K591" s="99"/>
      <c r="L591" s="99"/>
      <c r="M591" s="99"/>
      <c r="N591" s="43">
        <f t="shared" si="9"/>
        <v>0</v>
      </c>
    </row>
    <row r="592" spans="2:14" ht="1.5" customHeight="1">
      <c r="B592" s="57"/>
      <c r="C592" s="60"/>
      <c r="D592" s="60"/>
      <c r="E592" s="60"/>
      <c r="F592" s="60"/>
      <c r="G592" s="60"/>
      <c r="J592" s="99"/>
      <c r="K592" s="99"/>
      <c r="L592" s="99"/>
      <c r="M592" s="99"/>
      <c r="N592" s="43">
        <f t="shared" si="9"/>
        <v>0</v>
      </c>
    </row>
    <row r="593" spans="2:14" ht="1.5" customHeight="1">
      <c r="B593" s="57"/>
      <c r="C593" s="60"/>
      <c r="D593" s="60"/>
      <c r="E593" s="60"/>
      <c r="F593" s="60"/>
      <c r="G593" s="60"/>
      <c r="J593" s="99"/>
      <c r="K593" s="99"/>
      <c r="L593" s="99"/>
      <c r="M593" s="99"/>
      <c r="N593" s="43">
        <f t="shared" si="9"/>
        <v>0</v>
      </c>
    </row>
    <row r="594" spans="2:14" ht="1.5" customHeight="1">
      <c r="B594" s="57"/>
      <c r="C594" s="60"/>
      <c r="D594" s="60"/>
      <c r="E594" s="60"/>
      <c r="F594" s="60"/>
      <c r="G594" s="60"/>
      <c r="J594" s="99"/>
      <c r="K594" s="99"/>
      <c r="L594" s="99"/>
      <c r="M594" s="99"/>
      <c r="N594" s="43">
        <f t="shared" si="9"/>
        <v>0</v>
      </c>
    </row>
    <row r="595" spans="2:14" ht="1.5" customHeight="1">
      <c r="B595" s="57"/>
      <c r="C595" s="60"/>
      <c r="D595" s="60"/>
      <c r="E595" s="60"/>
      <c r="F595" s="60"/>
      <c r="G595" s="60"/>
      <c r="J595" s="99"/>
      <c r="K595" s="99"/>
      <c r="L595" s="99"/>
      <c r="M595" s="99"/>
      <c r="N595" s="43">
        <f t="shared" si="9"/>
        <v>0</v>
      </c>
    </row>
    <row r="596" spans="2:14" ht="1.5" customHeight="1">
      <c r="B596" s="57"/>
      <c r="C596" s="60"/>
      <c r="D596" s="60"/>
      <c r="E596" s="60"/>
      <c r="F596" s="60"/>
      <c r="G596" s="60"/>
      <c r="J596" s="99"/>
      <c r="K596" s="99"/>
      <c r="L596" s="99"/>
      <c r="M596" s="99"/>
      <c r="N596" s="43">
        <f t="shared" si="9"/>
        <v>0</v>
      </c>
    </row>
    <row r="597" spans="2:14" ht="1.5" customHeight="1">
      <c r="B597" s="57"/>
      <c r="C597" s="60"/>
      <c r="D597" s="60"/>
      <c r="E597" s="60"/>
      <c r="F597" s="60"/>
      <c r="G597" s="60"/>
      <c r="J597" s="99"/>
      <c r="K597" s="99"/>
      <c r="L597" s="99"/>
      <c r="M597" s="99"/>
      <c r="N597" s="43">
        <f t="shared" si="9"/>
        <v>0</v>
      </c>
    </row>
    <row r="598" spans="2:14" ht="1.5" customHeight="1">
      <c r="B598" s="57"/>
      <c r="C598" s="60"/>
      <c r="D598" s="60"/>
      <c r="E598" s="60"/>
      <c r="F598" s="60"/>
      <c r="G598" s="60"/>
      <c r="J598" s="99"/>
      <c r="K598" s="99"/>
      <c r="L598" s="99"/>
      <c r="M598" s="99"/>
      <c r="N598" s="43">
        <f t="shared" si="9"/>
        <v>0</v>
      </c>
    </row>
    <row r="599" spans="2:14" ht="1.5" customHeight="1">
      <c r="B599" s="57"/>
      <c r="C599" s="60"/>
      <c r="D599" s="60"/>
      <c r="E599" s="60"/>
      <c r="F599" s="60"/>
      <c r="G599" s="60"/>
      <c r="J599" s="99"/>
      <c r="K599" s="99"/>
      <c r="L599" s="99"/>
      <c r="M599" s="99"/>
      <c r="N599" s="43">
        <f t="shared" si="9"/>
        <v>0</v>
      </c>
    </row>
    <row r="600" spans="2:14" ht="1.5" customHeight="1">
      <c r="B600" s="57"/>
      <c r="C600" s="60"/>
      <c r="D600" s="60"/>
      <c r="E600" s="60"/>
      <c r="F600" s="60"/>
      <c r="G600" s="60"/>
      <c r="J600" s="99"/>
      <c r="K600" s="99"/>
      <c r="L600" s="99"/>
      <c r="M600" s="99"/>
      <c r="N600" s="43">
        <f t="shared" si="9"/>
        <v>0</v>
      </c>
    </row>
    <row r="601" spans="2:14" ht="1.5" customHeight="1">
      <c r="B601" s="57"/>
      <c r="C601" s="60"/>
      <c r="D601" s="60"/>
      <c r="E601" s="60"/>
      <c r="F601" s="60"/>
      <c r="G601" s="60"/>
      <c r="J601" s="99"/>
      <c r="K601" s="99"/>
      <c r="L601" s="99"/>
      <c r="M601" s="99"/>
      <c r="N601" s="43">
        <f t="shared" si="9"/>
        <v>0</v>
      </c>
    </row>
    <row r="602" spans="2:14" ht="1.5" customHeight="1">
      <c r="B602" s="57"/>
      <c r="C602" s="60"/>
      <c r="D602" s="60"/>
      <c r="E602" s="60"/>
      <c r="F602" s="60"/>
      <c r="G602" s="60"/>
      <c r="J602" s="99"/>
      <c r="K602" s="99"/>
      <c r="L602" s="99"/>
      <c r="M602" s="99"/>
      <c r="N602" s="43">
        <f t="shared" si="9"/>
        <v>0</v>
      </c>
    </row>
    <row r="603" spans="2:14" ht="1.5" customHeight="1">
      <c r="B603" s="57"/>
      <c r="C603" s="60"/>
      <c r="D603" s="60"/>
      <c r="E603" s="60"/>
      <c r="F603" s="60"/>
      <c r="G603" s="60"/>
      <c r="J603" s="99"/>
      <c r="K603" s="99"/>
      <c r="L603" s="99"/>
      <c r="M603" s="99"/>
      <c r="N603" s="43">
        <f t="shared" si="9"/>
        <v>0</v>
      </c>
    </row>
    <row r="604" spans="2:14" ht="1.5" customHeight="1">
      <c r="B604" s="57"/>
      <c r="C604" s="60"/>
      <c r="D604" s="60"/>
      <c r="E604" s="60"/>
      <c r="F604" s="60"/>
      <c r="G604" s="60"/>
      <c r="J604" s="99"/>
      <c r="K604" s="99"/>
      <c r="L604" s="99"/>
      <c r="M604" s="99"/>
      <c r="N604" s="43">
        <f t="shared" si="9"/>
        <v>0</v>
      </c>
    </row>
    <row r="605" spans="2:14" ht="1.5" customHeight="1">
      <c r="B605" s="57"/>
      <c r="C605" s="60"/>
      <c r="D605" s="60"/>
      <c r="E605" s="60"/>
      <c r="F605" s="60"/>
      <c r="G605" s="60"/>
      <c r="J605" s="99"/>
      <c r="K605" s="99"/>
      <c r="L605" s="99"/>
      <c r="M605" s="99"/>
      <c r="N605" s="43">
        <f t="shared" si="9"/>
        <v>0</v>
      </c>
    </row>
    <row r="606" spans="2:14" ht="1.5" customHeight="1">
      <c r="B606" s="57"/>
      <c r="C606" s="60"/>
      <c r="D606" s="60"/>
      <c r="E606" s="60"/>
      <c r="F606" s="60"/>
      <c r="G606" s="60"/>
      <c r="J606" s="99"/>
      <c r="K606" s="99"/>
      <c r="L606" s="99"/>
      <c r="M606" s="99"/>
      <c r="N606" s="43">
        <f t="shared" si="9"/>
        <v>0</v>
      </c>
    </row>
    <row r="607" spans="2:14" ht="1.5" customHeight="1">
      <c r="B607" s="57"/>
      <c r="C607" s="60"/>
      <c r="D607" s="60"/>
      <c r="E607" s="60"/>
      <c r="F607" s="60"/>
      <c r="G607" s="60"/>
      <c r="J607" s="99"/>
      <c r="K607" s="99"/>
      <c r="L607" s="99"/>
      <c r="M607" s="99"/>
      <c r="N607" s="43">
        <f t="shared" si="9"/>
        <v>0</v>
      </c>
    </row>
    <row r="608" spans="2:14" ht="1.5" customHeight="1">
      <c r="B608" s="57"/>
      <c r="C608" s="60"/>
      <c r="D608" s="60"/>
      <c r="E608" s="60"/>
      <c r="F608" s="60"/>
      <c r="G608" s="60"/>
      <c r="J608" s="99"/>
      <c r="K608" s="99"/>
      <c r="L608" s="99"/>
      <c r="M608" s="99"/>
      <c r="N608" s="43">
        <f t="shared" si="9"/>
        <v>0</v>
      </c>
    </row>
    <row r="609" spans="2:14" ht="1.5" customHeight="1">
      <c r="B609" s="57"/>
      <c r="C609" s="60"/>
      <c r="D609" s="60"/>
      <c r="E609" s="60"/>
      <c r="F609" s="60"/>
      <c r="G609" s="60"/>
      <c r="J609" s="99"/>
      <c r="K609" s="99"/>
      <c r="L609" s="99"/>
      <c r="M609" s="99"/>
      <c r="N609" s="43">
        <f t="shared" si="9"/>
        <v>0</v>
      </c>
    </row>
    <row r="610" spans="2:14" ht="1.5" customHeight="1">
      <c r="B610" s="57"/>
      <c r="C610" s="60"/>
      <c r="D610" s="60"/>
      <c r="E610" s="60"/>
      <c r="F610" s="60"/>
      <c r="G610" s="60"/>
      <c r="J610" s="99"/>
      <c r="K610" s="99"/>
      <c r="L610" s="99"/>
      <c r="M610" s="99"/>
      <c r="N610" s="43">
        <f t="shared" si="9"/>
        <v>0</v>
      </c>
    </row>
    <row r="611" spans="2:14" ht="1.5" customHeight="1">
      <c r="B611" s="57"/>
      <c r="C611" s="60"/>
      <c r="D611" s="60"/>
      <c r="E611" s="60"/>
      <c r="F611" s="60"/>
      <c r="G611" s="60"/>
      <c r="J611" s="99"/>
      <c r="K611" s="99"/>
      <c r="L611" s="99"/>
      <c r="M611" s="99"/>
      <c r="N611" s="43">
        <f t="shared" si="9"/>
        <v>0</v>
      </c>
    </row>
    <row r="612" spans="2:14" ht="1.5" customHeight="1">
      <c r="B612" s="57"/>
      <c r="C612" s="60"/>
      <c r="D612" s="60"/>
      <c r="E612" s="60"/>
      <c r="F612" s="60"/>
      <c r="G612" s="60"/>
      <c r="J612" s="99"/>
      <c r="K612" s="99"/>
      <c r="L612" s="99"/>
      <c r="M612" s="99"/>
      <c r="N612" s="43">
        <f t="shared" si="9"/>
        <v>0</v>
      </c>
    </row>
    <row r="613" spans="2:14" ht="1.5" customHeight="1">
      <c r="B613" s="57"/>
      <c r="C613" s="60"/>
      <c r="D613" s="60"/>
      <c r="E613" s="60"/>
      <c r="F613" s="60"/>
      <c r="G613" s="60"/>
      <c r="J613" s="99"/>
      <c r="K613" s="99"/>
      <c r="L613" s="99"/>
      <c r="M613" s="99"/>
      <c r="N613" s="43">
        <f t="shared" si="9"/>
        <v>0</v>
      </c>
    </row>
    <row r="614" spans="2:14" ht="1.5" customHeight="1">
      <c r="B614" s="57"/>
      <c r="C614" s="60"/>
      <c r="D614" s="60"/>
      <c r="E614" s="60"/>
      <c r="F614" s="60"/>
      <c r="G614" s="60"/>
      <c r="J614" s="99"/>
      <c r="K614" s="99"/>
      <c r="L614" s="99"/>
      <c r="M614" s="99"/>
      <c r="N614" s="43">
        <f t="shared" si="9"/>
        <v>0</v>
      </c>
    </row>
    <row r="615" spans="2:14" ht="1.5" customHeight="1">
      <c r="B615" s="57"/>
      <c r="C615" s="60"/>
      <c r="D615" s="60"/>
      <c r="E615" s="60"/>
      <c r="F615" s="60"/>
      <c r="G615" s="60"/>
      <c r="J615" s="99"/>
      <c r="K615" s="99"/>
      <c r="L615" s="99"/>
      <c r="M615" s="99"/>
      <c r="N615" s="43">
        <f t="shared" si="9"/>
        <v>0</v>
      </c>
    </row>
    <row r="616" spans="2:14" ht="1.5" customHeight="1">
      <c r="B616" s="57"/>
      <c r="C616" s="60"/>
      <c r="D616" s="60"/>
      <c r="E616" s="60"/>
      <c r="F616" s="60"/>
      <c r="G616" s="60"/>
      <c r="J616" s="99"/>
      <c r="K616" s="99"/>
      <c r="L616" s="99"/>
      <c r="M616" s="99"/>
      <c r="N616" s="43">
        <f t="shared" si="9"/>
        <v>0</v>
      </c>
    </row>
    <row r="617" spans="2:14" ht="1.5" customHeight="1">
      <c r="B617" s="57"/>
      <c r="C617" s="60"/>
      <c r="D617" s="60"/>
      <c r="E617" s="60"/>
      <c r="F617" s="60"/>
      <c r="G617" s="60"/>
      <c r="J617" s="99"/>
      <c r="K617" s="99"/>
      <c r="L617" s="99"/>
      <c r="M617" s="99"/>
      <c r="N617" s="43">
        <f t="shared" si="9"/>
        <v>0</v>
      </c>
    </row>
    <row r="618" spans="2:14" ht="1.5" customHeight="1">
      <c r="B618" s="57"/>
      <c r="C618" s="60"/>
      <c r="D618" s="60"/>
      <c r="E618" s="60"/>
      <c r="F618" s="60"/>
      <c r="G618" s="60"/>
      <c r="J618" s="99"/>
      <c r="K618" s="99"/>
      <c r="L618" s="99"/>
      <c r="M618" s="99"/>
      <c r="N618" s="43">
        <f t="shared" si="9"/>
        <v>0</v>
      </c>
    </row>
    <row r="619" spans="2:14" ht="1.5" customHeight="1">
      <c r="B619" s="57"/>
      <c r="C619" s="60"/>
      <c r="D619" s="60"/>
      <c r="E619" s="60"/>
      <c r="F619" s="60"/>
      <c r="G619" s="60"/>
      <c r="J619" s="99"/>
      <c r="K619" s="99"/>
      <c r="L619" s="99"/>
      <c r="M619" s="99"/>
      <c r="N619" s="43">
        <f t="shared" si="9"/>
        <v>0</v>
      </c>
    </row>
    <row r="620" spans="2:14" ht="1.5" customHeight="1">
      <c r="B620" s="57"/>
      <c r="C620" s="60"/>
      <c r="D620" s="60"/>
      <c r="E620" s="60"/>
      <c r="F620" s="60"/>
      <c r="G620" s="60"/>
      <c r="J620" s="99"/>
      <c r="K620" s="99"/>
      <c r="L620" s="99"/>
      <c r="M620" s="99"/>
      <c r="N620" s="43">
        <f t="shared" si="9"/>
        <v>0</v>
      </c>
    </row>
    <row r="621" spans="2:14" ht="1.5" customHeight="1">
      <c r="B621" s="57"/>
      <c r="C621" s="60"/>
      <c r="D621" s="60"/>
      <c r="E621" s="60"/>
      <c r="F621" s="60"/>
      <c r="G621" s="60"/>
      <c r="J621" s="99"/>
      <c r="K621" s="99"/>
      <c r="L621" s="99"/>
      <c r="M621" s="99"/>
      <c r="N621" s="43">
        <f t="shared" si="9"/>
        <v>0</v>
      </c>
    </row>
    <row r="622" spans="2:14" ht="1.5" customHeight="1">
      <c r="B622" s="57"/>
      <c r="C622" s="60"/>
      <c r="D622" s="60"/>
      <c r="E622" s="60"/>
      <c r="F622" s="60"/>
      <c r="G622" s="60"/>
      <c r="J622" s="99"/>
      <c r="K622" s="99"/>
      <c r="L622" s="99"/>
      <c r="M622" s="99"/>
      <c r="N622" s="43">
        <f t="shared" si="9"/>
        <v>0</v>
      </c>
    </row>
    <row r="623" spans="2:14" ht="1.5" customHeight="1">
      <c r="B623" s="57"/>
      <c r="C623" s="60"/>
      <c r="D623" s="60"/>
      <c r="E623" s="60"/>
      <c r="F623" s="60"/>
      <c r="G623" s="60"/>
      <c r="J623" s="99"/>
      <c r="K623" s="99"/>
      <c r="L623" s="99"/>
      <c r="M623" s="99"/>
      <c r="N623" s="43">
        <f t="shared" si="9"/>
        <v>0</v>
      </c>
    </row>
    <row r="624" spans="2:14" ht="1.5" customHeight="1">
      <c r="B624" s="57"/>
      <c r="C624" s="60"/>
      <c r="D624" s="60"/>
      <c r="E624" s="60"/>
      <c r="F624" s="60"/>
      <c r="G624" s="60"/>
      <c r="J624" s="99"/>
      <c r="K624" s="99"/>
      <c r="L624" s="99"/>
      <c r="M624" s="99"/>
      <c r="N624" s="43">
        <f t="shared" si="9"/>
        <v>0</v>
      </c>
    </row>
    <row r="625" spans="2:14" ht="1.5" customHeight="1">
      <c r="B625" s="57"/>
      <c r="C625" s="60"/>
      <c r="D625" s="60"/>
      <c r="E625" s="60"/>
      <c r="F625" s="60"/>
      <c r="G625" s="60"/>
      <c r="J625" s="99"/>
      <c r="K625" s="99"/>
      <c r="L625" s="99"/>
      <c r="M625" s="99"/>
      <c r="N625" s="43">
        <f t="shared" si="9"/>
        <v>0</v>
      </c>
    </row>
    <row r="626" spans="2:14" ht="1.5" customHeight="1">
      <c r="B626" s="57"/>
      <c r="C626" s="60"/>
      <c r="D626" s="60"/>
      <c r="E626" s="60"/>
      <c r="F626" s="60"/>
      <c r="G626" s="60"/>
      <c r="J626" s="99"/>
      <c r="K626" s="99"/>
      <c r="L626" s="99"/>
      <c r="M626" s="99"/>
      <c r="N626" s="43">
        <f t="shared" si="9"/>
        <v>0</v>
      </c>
    </row>
    <row r="627" spans="2:14" ht="1.5" customHeight="1">
      <c r="B627" s="57"/>
      <c r="C627" s="60"/>
      <c r="D627" s="60"/>
      <c r="E627" s="60"/>
      <c r="F627" s="60"/>
      <c r="G627" s="60"/>
      <c r="J627" s="99"/>
      <c r="K627" s="99"/>
      <c r="L627" s="99"/>
      <c r="M627" s="99"/>
      <c r="N627" s="43">
        <f t="shared" si="9"/>
        <v>0</v>
      </c>
    </row>
    <row r="628" spans="2:14" ht="1.5" customHeight="1">
      <c r="B628" s="57"/>
      <c r="C628" s="60"/>
      <c r="D628" s="60"/>
      <c r="E628" s="60"/>
      <c r="F628" s="60"/>
      <c r="G628" s="60"/>
      <c r="J628" s="99"/>
      <c r="K628" s="99"/>
      <c r="L628" s="99"/>
      <c r="M628" s="99"/>
      <c r="N628" s="43">
        <f t="shared" si="9"/>
        <v>0</v>
      </c>
    </row>
    <row r="629" spans="2:14" ht="1.5" customHeight="1">
      <c r="B629" s="57"/>
      <c r="C629" s="60"/>
      <c r="D629" s="60"/>
      <c r="E629" s="60"/>
      <c r="F629" s="60"/>
      <c r="G629" s="60"/>
      <c r="J629" s="99"/>
      <c r="K629" s="99"/>
      <c r="L629" s="99"/>
      <c r="M629" s="99"/>
      <c r="N629" s="43">
        <f t="shared" si="9"/>
        <v>0</v>
      </c>
    </row>
    <row r="630" spans="2:14" ht="1.5" customHeight="1">
      <c r="B630" s="57"/>
      <c r="C630" s="60"/>
      <c r="D630" s="60"/>
      <c r="E630" s="60"/>
      <c r="F630" s="60"/>
      <c r="G630" s="60"/>
      <c r="J630" s="99"/>
      <c r="K630" s="99"/>
      <c r="L630" s="99"/>
      <c r="M630" s="99"/>
      <c r="N630" s="43">
        <f t="shared" si="9"/>
        <v>0</v>
      </c>
    </row>
    <row r="631" spans="2:14" ht="1.5" customHeight="1">
      <c r="B631" s="57"/>
      <c r="C631" s="60"/>
      <c r="D631" s="60"/>
      <c r="E631" s="60"/>
      <c r="F631" s="60"/>
      <c r="G631" s="60"/>
      <c r="J631" s="99"/>
      <c r="K631" s="99"/>
      <c r="L631" s="99"/>
      <c r="M631" s="99"/>
      <c r="N631" s="43">
        <f t="shared" si="9"/>
        <v>0</v>
      </c>
    </row>
    <row r="632" spans="2:14" ht="1.5" customHeight="1">
      <c r="B632" s="57"/>
      <c r="C632" s="60"/>
      <c r="D632" s="60"/>
      <c r="E632" s="60"/>
      <c r="F632" s="60"/>
      <c r="G632" s="60"/>
      <c r="J632" s="99"/>
      <c r="K632" s="99"/>
      <c r="L632" s="99"/>
      <c r="M632" s="99"/>
      <c r="N632" s="43">
        <f t="shared" si="9"/>
        <v>0</v>
      </c>
    </row>
    <row r="633" spans="2:14" ht="1.5" customHeight="1">
      <c r="B633" s="57"/>
      <c r="C633" s="60"/>
      <c r="D633" s="60"/>
      <c r="E633" s="60"/>
      <c r="F633" s="60"/>
      <c r="G633" s="60"/>
      <c r="J633" s="99"/>
      <c r="K633" s="99"/>
      <c r="L633" s="99"/>
      <c r="M633" s="99"/>
      <c r="N633" s="43">
        <f t="shared" si="9"/>
        <v>0</v>
      </c>
    </row>
    <row r="634" spans="2:14" ht="1.5" customHeight="1">
      <c r="B634" s="57"/>
      <c r="C634" s="60"/>
      <c r="D634" s="60"/>
      <c r="E634" s="60"/>
      <c r="F634" s="60"/>
      <c r="G634" s="60"/>
      <c r="J634" s="99"/>
      <c r="K634" s="99"/>
      <c r="L634" s="99"/>
      <c r="M634" s="99"/>
      <c r="N634" s="43">
        <f t="shared" si="9"/>
        <v>0</v>
      </c>
    </row>
    <row r="635" spans="2:14" ht="1.5" customHeight="1">
      <c r="B635" s="57"/>
      <c r="C635" s="60"/>
      <c r="D635" s="60"/>
      <c r="E635" s="60"/>
      <c r="F635" s="60"/>
      <c r="G635" s="60"/>
      <c r="J635" s="99"/>
      <c r="K635" s="99"/>
      <c r="L635" s="99"/>
      <c r="M635" s="99"/>
      <c r="N635" s="43">
        <f t="shared" si="9"/>
        <v>0</v>
      </c>
    </row>
    <row r="636" spans="2:14" ht="1.5" customHeight="1">
      <c r="B636" s="57"/>
      <c r="C636" s="60"/>
      <c r="D636" s="60"/>
      <c r="E636" s="60"/>
      <c r="F636" s="60"/>
      <c r="G636" s="60"/>
      <c r="J636" s="99"/>
      <c r="K636" s="99"/>
      <c r="L636" s="99"/>
      <c r="M636" s="99"/>
      <c r="N636" s="43">
        <f t="shared" si="9"/>
        <v>0</v>
      </c>
    </row>
    <row r="637" spans="2:14" ht="1.5" customHeight="1">
      <c r="B637" s="57"/>
      <c r="C637" s="60"/>
      <c r="D637" s="60"/>
      <c r="E637" s="60"/>
      <c r="F637" s="60"/>
      <c r="G637" s="60"/>
      <c r="J637" s="99"/>
      <c r="K637" s="99"/>
      <c r="L637" s="99"/>
      <c r="M637" s="99"/>
      <c r="N637" s="43">
        <f t="shared" si="9"/>
        <v>0</v>
      </c>
    </row>
    <row r="638" spans="2:14" ht="1.5" customHeight="1">
      <c r="B638" s="57"/>
      <c r="C638" s="60"/>
      <c r="D638" s="60"/>
      <c r="E638" s="60"/>
      <c r="F638" s="60"/>
      <c r="G638" s="60"/>
      <c r="J638" s="99"/>
      <c r="K638" s="99"/>
      <c r="L638" s="99"/>
      <c r="M638" s="99"/>
      <c r="N638" s="43">
        <f t="shared" si="9"/>
        <v>0</v>
      </c>
    </row>
    <row r="639" spans="2:14" ht="1.5" customHeight="1">
      <c r="B639" s="57"/>
      <c r="C639" s="60"/>
      <c r="D639" s="60"/>
      <c r="E639" s="60"/>
      <c r="F639" s="60"/>
      <c r="G639" s="60"/>
      <c r="J639" s="99"/>
      <c r="K639" s="99"/>
      <c r="L639" s="99"/>
      <c r="M639" s="99"/>
      <c r="N639" s="43">
        <f t="shared" si="9"/>
        <v>0</v>
      </c>
    </row>
    <row r="640" spans="2:14" ht="1.5" customHeight="1">
      <c r="B640" s="57"/>
      <c r="C640" s="60"/>
      <c r="D640" s="60"/>
      <c r="E640" s="60"/>
      <c r="F640" s="60"/>
      <c r="G640" s="60"/>
      <c r="J640" s="99"/>
      <c r="K640" s="99"/>
      <c r="L640" s="99"/>
      <c r="M640" s="99"/>
      <c r="N640" s="43">
        <f t="shared" si="9"/>
        <v>0</v>
      </c>
    </row>
    <row r="641" spans="2:14" ht="1.5" customHeight="1">
      <c r="B641" s="57"/>
      <c r="C641" s="60"/>
      <c r="D641" s="60"/>
      <c r="E641" s="60"/>
      <c r="F641" s="60"/>
      <c r="G641" s="60"/>
      <c r="J641" s="99"/>
      <c r="K641" s="99"/>
      <c r="L641" s="99"/>
      <c r="M641" s="99"/>
      <c r="N641" s="43">
        <f t="shared" si="9"/>
        <v>0</v>
      </c>
    </row>
    <row r="642" spans="2:14" ht="1.5" customHeight="1">
      <c r="B642" s="57"/>
      <c r="C642" s="60"/>
      <c r="D642" s="60"/>
      <c r="E642" s="60"/>
      <c r="F642" s="60"/>
      <c r="G642" s="60"/>
      <c r="J642" s="99"/>
      <c r="K642" s="99"/>
      <c r="L642" s="99"/>
      <c r="M642" s="99"/>
      <c r="N642" s="43">
        <f t="shared" si="9"/>
        <v>0</v>
      </c>
    </row>
    <row r="643" spans="2:14" ht="1.5" customHeight="1">
      <c r="B643" s="57"/>
      <c r="C643" s="60"/>
      <c r="D643" s="60"/>
      <c r="E643" s="60"/>
      <c r="F643" s="60"/>
      <c r="G643" s="60"/>
      <c r="J643" s="99"/>
      <c r="K643" s="99"/>
      <c r="L643" s="99"/>
      <c r="M643" s="99"/>
      <c r="N643" s="43">
        <f t="shared" si="9"/>
        <v>0</v>
      </c>
    </row>
    <row r="644" spans="2:14" ht="1.5" customHeight="1">
      <c r="B644" s="57"/>
      <c r="C644" s="60"/>
      <c r="D644" s="60"/>
      <c r="E644" s="60"/>
      <c r="F644" s="60"/>
      <c r="G644" s="60"/>
      <c r="J644" s="99"/>
      <c r="K644" s="99"/>
      <c r="L644" s="99"/>
      <c r="M644" s="99"/>
      <c r="N644" s="43">
        <f t="shared" si="9"/>
        <v>0</v>
      </c>
    </row>
    <row r="645" spans="2:14" ht="1.5" customHeight="1">
      <c r="B645" s="57"/>
      <c r="C645" s="60"/>
      <c r="D645" s="60"/>
      <c r="E645" s="60"/>
      <c r="F645" s="60"/>
      <c r="G645" s="60"/>
      <c r="J645" s="99"/>
      <c r="K645" s="99"/>
      <c r="L645" s="99"/>
      <c r="M645" s="99"/>
      <c r="N645" s="43">
        <f t="shared" si="9"/>
        <v>0</v>
      </c>
    </row>
    <row r="646" spans="2:14" ht="1.5" customHeight="1">
      <c r="B646" s="57"/>
      <c r="C646" s="60"/>
      <c r="D646" s="60"/>
      <c r="E646" s="60"/>
      <c r="F646" s="60"/>
      <c r="G646" s="60"/>
      <c r="J646" s="99"/>
      <c r="K646" s="99"/>
      <c r="L646" s="99"/>
      <c r="M646" s="99"/>
      <c r="N646" s="43">
        <f t="shared" si="9"/>
        <v>0</v>
      </c>
    </row>
    <row r="647" spans="2:14" ht="1.5" customHeight="1">
      <c r="B647" s="57"/>
      <c r="C647" s="60"/>
      <c r="D647" s="60"/>
      <c r="E647" s="60"/>
      <c r="F647" s="60"/>
      <c r="G647" s="60"/>
      <c r="J647" s="99"/>
      <c r="K647" s="99"/>
      <c r="L647" s="99"/>
      <c r="M647" s="99"/>
      <c r="N647" s="43">
        <f t="shared" si="9"/>
        <v>0</v>
      </c>
    </row>
    <row r="648" spans="2:14" ht="1.5" customHeight="1">
      <c r="B648" s="57"/>
      <c r="C648" s="60"/>
      <c r="D648" s="60"/>
      <c r="E648" s="60"/>
      <c r="F648" s="60"/>
      <c r="G648" s="60"/>
      <c r="J648" s="99"/>
      <c r="K648" s="99"/>
      <c r="L648" s="99"/>
      <c r="M648" s="99"/>
      <c r="N648" s="43">
        <f t="shared" si="9"/>
        <v>0</v>
      </c>
    </row>
    <row r="649" spans="2:14" ht="1.5" customHeight="1">
      <c r="B649" s="57"/>
      <c r="C649" s="60"/>
      <c r="D649" s="60"/>
      <c r="E649" s="60"/>
      <c r="F649" s="60"/>
      <c r="G649" s="60"/>
      <c r="J649" s="99"/>
      <c r="K649" s="99"/>
      <c r="L649" s="99"/>
      <c r="M649" s="99"/>
      <c r="N649" s="43">
        <f t="shared" si="9"/>
        <v>0</v>
      </c>
    </row>
    <row r="650" spans="2:14" ht="1.5" customHeight="1">
      <c r="B650" s="57"/>
      <c r="C650" s="60"/>
      <c r="D650" s="60"/>
      <c r="E650" s="60"/>
      <c r="F650" s="60"/>
      <c r="G650" s="60"/>
      <c r="J650" s="99"/>
      <c r="K650" s="99"/>
      <c r="L650" s="99"/>
      <c r="M650" s="99"/>
      <c r="N650" s="43">
        <f t="shared" si="9"/>
        <v>0</v>
      </c>
    </row>
    <row r="651" spans="2:14" ht="1.5" customHeight="1">
      <c r="B651" s="57"/>
      <c r="C651" s="60"/>
      <c r="D651" s="60"/>
      <c r="E651" s="60"/>
      <c r="F651" s="60"/>
      <c r="G651" s="60"/>
      <c r="J651" s="99"/>
      <c r="K651" s="99"/>
      <c r="L651" s="99"/>
      <c r="M651" s="99"/>
      <c r="N651" s="43">
        <f t="shared" ref="N651:N714" si="10">IF($L$4=$C$10,C651,IF(D651="","",B651))</f>
        <v>0</v>
      </c>
    </row>
    <row r="652" spans="2:14" ht="1.5" customHeight="1">
      <c r="B652" s="57"/>
      <c r="C652" s="60"/>
      <c r="D652" s="60"/>
      <c r="E652" s="60"/>
      <c r="F652" s="60"/>
      <c r="G652" s="60"/>
      <c r="J652" s="99"/>
      <c r="K652" s="99"/>
      <c r="L652" s="99"/>
      <c r="M652" s="99"/>
      <c r="N652" s="43">
        <f t="shared" si="10"/>
        <v>0</v>
      </c>
    </row>
    <row r="653" spans="2:14" ht="1.5" customHeight="1">
      <c r="B653" s="57"/>
      <c r="C653" s="60"/>
      <c r="D653" s="60"/>
      <c r="E653" s="60"/>
      <c r="F653" s="60"/>
      <c r="G653" s="60"/>
      <c r="J653" s="99"/>
      <c r="K653" s="99"/>
      <c r="L653" s="99"/>
      <c r="M653" s="99"/>
      <c r="N653" s="43">
        <f t="shared" si="10"/>
        <v>0</v>
      </c>
    </row>
    <row r="654" spans="2:14" ht="1.5" customHeight="1">
      <c r="B654" s="57"/>
      <c r="C654" s="60"/>
      <c r="D654" s="60"/>
      <c r="E654" s="60"/>
      <c r="F654" s="60"/>
      <c r="G654" s="60"/>
      <c r="J654" s="99"/>
      <c r="K654" s="99"/>
      <c r="L654" s="99"/>
      <c r="M654" s="99"/>
      <c r="N654" s="43">
        <f t="shared" si="10"/>
        <v>0</v>
      </c>
    </row>
    <row r="655" spans="2:14" ht="1.5" customHeight="1">
      <c r="B655" s="57"/>
      <c r="C655" s="60"/>
      <c r="D655" s="60"/>
      <c r="E655" s="60"/>
      <c r="F655" s="60"/>
      <c r="G655" s="60"/>
      <c r="J655" s="99"/>
      <c r="K655" s="99"/>
      <c r="L655" s="99"/>
      <c r="M655" s="99"/>
      <c r="N655" s="43">
        <f t="shared" si="10"/>
        <v>0</v>
      </c>
    </row>
    <row r="656" spans="2:14" ht="1.5" customHeight="1">
      <c r="B656" s="57"/>
      <c r="C656" s="60"/>
      <c r="D656" s="60"/>
      <c r="E656" s="60"/>
      <c r="F656" s="60"/>
      <c r="G656" s="60"/>
      <c r="J656" s="99"/>
      <c r="K656" s="99"/>
      <c r="L656" s="99"/>
      <c r="M656" s="99"/>
      <c r="N656" s="43">
        <f t="shared" si="10"/>
        <v>0</v>
      </c>
    </row>
    <row r="657" spans="2:14" ht="1.5" customHeight="1">
      <c r="B657" s="57"/>
      <c r="C657" s="60"/>
      <c r="D657" s="60"/>
      <c r="E657" s="60"/>
      <c r="F657" s="60"/>
      <c r="G657" s="60"/>
      <c r="J657" s="99"/>
      <c r="K657" s="99"/>
      <c r="L657" s="99"/>
      <c r="M657" s="99"/>
      <c r="N657" s="43">
        <f t="shared" si="10"/>
        <v>0</v>
      </c>
    </row>
    <row r="658" spans="2:14" ht="1.5" customHeight="1">
      <c r="B658" s="57"/>
      <c r="C658" s="60"/>
      <c r="D658" s="60"/>
      <c r="E658" s="60"/>
      <c r="F658" s="60"/>
      <c r="G658" s="60"/>
      <c r="J658" s="99"/>
      <c r="K658" s="99"/>
      <c r="L658" s="99"/>
      <c r="M658" s="99"/>
      <c r="N658" s="43">
        <f t="shared" si="10"/>
        <v>0</v>
      </c>
    </row>
    <row r="659" spans="2:14" ht="1.5" customHeight="1">
      <c r="B659" s="57"/>
      <c r="C659" s="60"/>
      <c r="D659" s="60"/>
      <c r="E659" s="60"/>
      <c r="F659" s="60"/>
      <c r="G659" s="60"/>
      <c r="J659" s="99"/>
      <c r="K659" s="99"/>
      <c r="L659" s="99"/>
      <c r="M659" s="99"/>
      <c r="N659" s="43">
        <f t="shared" si="10"/>
        <v>0</v>
      </c>
    </row>
    <row r="660" spans="2:14" ht="1.5" customHeight="1">
      <c r="B660" s="57"/>
      <c r="C660" s="60"/>
      <c r="D660" s="60"/>
      <c r="E660" s="60"/>
      <c r="F660" s="60"/>
      <c r="G660" s="60"/>
      <c r="J660" s="99"/>
      <c r="K660" s="99"/>
      <c r="L660" s="99"/>
      <c r="M660" s="99"/>
      <c r="N660" s="43">
        <f t="shared" si="10"/>
        <v>0</v>
      </c>
    </row>
    <row r="661" spans="2:14" ht="1.5" customHeight="1">
      <c r="B661" s="57"/>
      <c r="C661" s="60"/>
      <c r="D661" s="60"/>
      <c r="E661" s="60"/>
      <c r="F661" s="60"/>
      <c r="G661" s="60"/>
      <c r="J661" s="99"/>
      <c r="K661" s="99"/>
      <c r="L661" s="99"/>
      <c r="M661" s="99"/>
      <c r="N661" s="43">
        <f t="shared" si="10"/>
        <v>0</v>
      </c>
    </row>
    <row r="662" spans="2:14" ht="1.5" customHeight="1">
      <c r="B662" s="57"/>
      <c r="C662" s="60"/>
      <c r="D662" s="60"/>
      <c r="E662" s="60"/>
      <c r="F662" s="60"/>
      <c r="G662" s="60"/>
      <c r="J662" s="99"/>
      <c r="K662" s="99"/>
      <c r="L662" s="99"/>
      <c r="M662" s="99"/>
      <c r="N662" s="43">
        <f t="shared" si="10"/>
        <v>0</v>
      </c>
    </row>
    <row r="663" spans="2:14" ht="1.5" customHeight="1">
      <c r="B663" s="57"/>
      <c r="C663" s="60"/>
      <c r="D663" s="60"/>
      <c r="E663" s="60"/>
      <c r="F663" s="60"/>
      <c r="G663" s="60"/>
      <c r="J663" s="99"/>
      <c r="K663" s="99"/>
      <c r="L663" s="99"/>
      <c r="M663" s="99"/>
      <c r="N663" s="43">
        <f t="shared" si="10"/>
        <v>0</v>
      </c>
    </row>
    <row r="664" spans="2:14" ht="1.5" customHeight="1">
      <c r="B664" s="57"/>
      <c r="C664" s="60"/>
      <c r="D664" s="60"/>
      <c r="E664" s="60"/>
      <c r="F664" s="60"/>
      <c r="G664" s="60"/>
      <c r="J664" s="99"/>
      <c r="K664" s="99"/>
      <c r="L664" s="99"/>
      <c r="M664" s="99"/>
      <c r="N664" s="43">
        <f t="shared" si="10"/>
        <v>0</v>
      </c>
    </row>
    <row r="665" spans="2:14" ht="1.5" customHeight="1">
      <c r="B665" s="57"/>
      <c r="C665" s="60"/>
      <c r="D665" s="60"/>
      <c r="E665" s="60"/>
      <c r="F665" s="60"/>
      <c r="G665" s="60"/>
      <c r="J665" s="99"/>
      <c r="K665" s="99"/>
      <c r="L665" s="99"/>
      <c r="M665" s="99"/>
      <c r="N665" s="43">
        <f t="shared" si="10"/>
        <v>0</v>
      </c>
    </row>
    <row r="666" spans="2:14" ht="1.5" customHeight="1">
      <c r="B666" s="57"/>
      <c r="C666" s="60"/>
      <c r="D666" s="60"/>
      <c r="E666" s="60"/>
      <c r="F666" s="60"/>
      <c r="G666" s="60"/>
      <c r="J666" s="99"/>
      <c r="K666" s="99"/>
      <c r="L666" s="99"/>
      <c r="M666" s="99"/>
      <c r="N666" s="43">
        <f t="shared" si="10"/>
        <v>0</v>
      </c>
    </row>
    <row r="667" spans="2:14" ht="1.5" customHeight="1">
      <c r="B667" s="57"/>
      <c r="C667" s="60"/>
      <c r="D667" s="60"/>
      <c r="E667" s="60"/>
      <c r="F667" s="60"/>
      <c r="G667" s="60"/>
      <c r="J667" s="99"/>
      <c r="K667" s="99"/>
      <c r="L667" s="99"/>
      <c r="M667" s="99"/>
      <c r="N667" s="43">
        <f t="shared" si="10"/>
        <v>0</v>
      </c>
    </row>
    <row r="668" spans="2:14" ht="1.5" customHeight="1">
      <c r="B668" s="57"/>
      <c r="C668" s="60"/>
      <c r="D668" s="60"/>
      <c r="E668" s="60"/>
      <c r="F668" s="60"/>
      <c r="G668" s="60"/>
      <c r="J668" s="99"/>
      <c r="K668" s="99"/>
      <c r="L668" s="99"/>
      <c r="M668" s="99"/>
      <c r="N668" s="43">
        <f t="shared" si="10"/>
        <v>0</v>
      </c>
    </row>
    <row r="669" spans="2:14" ht="1.5" customHeight="1">
      <c r="B669" s="57"/>
      <c r="C669" s="60"/>
      <c r="D669" s="60"/>
      <c r="E669" s="60"/>
      <c r="F669" s="60"/>
      <c r="G669" s="60"/>
      <c r="J669" s="99"/>
      <c r="K669" s="99"/>
      <c r="L669" s="99"/>
      <c r="M669" s="99"/>
      <c r="N669" s="43">
        <f t="shared" si="10"/>
        <v>0</v>
      </c>
    </row>
    <row r="670" spans="2:14" ht="1.5" customHeight="1">
      <c r="B670" s="57"/>
      <c r="C670" s="60"/>
      <c r="D670" s="60"/>
      <c r="E670" s="60"/>
      <c r="F670" s="60"/>
      <c r="G670" s="60"/>
      <c r="J670" s="99"/>
      <c r="K670" s="99"/>
      <c r="L670" s="99"/>
      <c r="M670" s="99"/>
      <c r="N670" s="43">
        <f t="shared" si="10"/>
        <v>0</v>
      </c>
    </row>
    <row r="671" spans="2:14" ht="1.5" customHeight="1">
      <c r="B671" s="57"/>
      <c r="C671" s="60"/>
      <c r="D671" s="60"/>
      <c r="E671" s="60"/>
      <c r="F671" s="60"/>
      <c r="G671" s="60"/>
      <c r="J671" s="99"/>
      <c r="K671" s="99"/>
      <c r="L671" s="99"/>
      <c r="M671" s="99"/>
      <c r="N671" s="43">
        <f t="shared" si="10"/>
        <v>0</v>
      </c>
    </row>
    <row r="672" spans="2:14" ht="1.5" customHeight="1">
      <c r="B672" s="57"/>
      <c r="C672" s="60"/>
      <c r="D672" s="60"/>
      <c r="E672" s="60"/>
      <c r="F672" s="60"/>
      <c r="G672" s="60"/>
      <c r="J672" s="99"/>
      <c r="K672" s="99"/>
      <c r="L672" s="99"/>
      <c r="M672" s="99"/>
      <c r="N672" s="43">
        <f t="shared" si="10"/>
        <v>0</v>
      </c>
    </row>
    <row r="673" spans="2:14" ht="1.5" customHeight="1">
      <c r="B673" s="57"/>
      <c r="C673" s="60"/>
      <c r="D673" s="60"/>
      <c r="E673" s="60"/>
      <c r="F673" s="60"/>
      <c r="G673" s="60"/>
      <c r="J673" s="99"/>
      <c r="K673" s="99"/>
      <c r="L673" s="99"/>
      <c r="M673" s="99"/>
      <c r="N673" s="43">
        <f t="shared" si="10"/>
        <v>0</v>
      </c>
    </row>
    <row r="674" spans="2:14" ht="1.5" customHeight="1">
      <c r="B674" s="57"/>
      <c r="C674" s="60"/>
      <c r="D674" s="60"/>
      <c r="E674" s="60"/>
      <c r="F674" s="60"/>
      <c r="G674" s="60"/>
      <c r="J674" s="99"/>
      <c r="K674" s="99"/>
      <c r="L674" s="99"/>
      <c r="M674" s="99"/>
      <c r="N674" s="43">
        <f t="shared" si="10"/>
        <v>0</v>
      </c>
    </row>
    <row r="675" spans="2:14" ht="1.5" customHeight="1">
      <c r="B675" s="57"/>
      <c r="C675" s="60"/>
      <c r="D675" s="60"/>
      <c r="E675" s="60"/>
      <c r="F675" s="60"/>
      <c r="G675" s="60"/>
      <c r="J675" s="99"/>
      <c r="K675" s="99"/>
      <c r="L675" s="99"/>
      <c r="M675" s="99"/>
      <c r="N675" s="43">
        <f t="shared" si="10"/>
        <v>0</v>
      </c>
    </row>
    <row r="676" spans="2:14" ht="1.5" customHeight="1">
      <c r="B676" s="57"/>
      <c r="C676" s="60"/>
      <c r="D676" s="60"/>
      <c r="E676" s="60"/>
      <c r="F676" s="60"/>
      <c r="G676" s="60"/>
      <c r="J676" s="99"/>
      <c r="K676" s="99"/>
      <c r="L676" s="99"/>
      <c r="M676" s="99"/>
      <c r="N676" s="43">
        <f t="shared" si="10"/>
        <v>0</v>
      </c>
    </row>
    <row r="677" spans="2:14" ht="1.5" customHeight="1">
      <c r="B677" s="57"/>
      <c r="C677" s="60"/>
      <c r="D677" s="60"/>
      <c r="E677" s="60"/>
      <c r="F677" s="60"/>
      <c r="G677" s="60"/>
      <c r="J677" s="99"/>
      <c r="K677" s="99"/>
      <c r="L677" s="99"/>
      <c r="M677" s="99"/>
      <c r="N677" s="43">
        <f t="shared" si="10"/>
        <v>0</v>
      </c>
    </row>
    <row r="678" spans="2:14" ht="1.5" customHeight="1">
      <c r="B678" s="57"/>
      <c r="C678" s="60"/>
      <c r="D678" s="60"/>
      <c r="E678" s="60"/>
      <c r="F678" s="60"/>
      <c r="G678" s="60"/>
      <c r="J678" s="99"/>
      <c r="K678" s="99"/>
      <c r="L678" s="99"/>
      <c r="M678" s="99"/>
      <c r="N678" s="43">
        <f t="shared" si="10"/>
        <v>0</v>
      </c>
    </row>
    <row r="679" spans="2:14" ht="1.5" customHeight="1">
      <c r="B679" s="57"/>
      <c r="C679" s="60"/>
      <c r="D679" s="60"/>
      <c r="E679" s="60"/>
      <c r="F679" s="60"/>
      <c r="G679" s="60"/>
      <c r="J679" s="99"/>
      <c r="K679" s="99"/>
      <c r="L679" s="99"/>
      <c r="M679" s="99"/>
      <c r="N679" s="43">
        <f t="shared" si="10"/>
        <v>0</v>
      </c>
    </row>
    <row r="680" spans="2:14" ht="1.5" customHeight="1">
      <c r="B680" s="57"/>
      <c r="C680" s="60"/>
      <c r="D680" s="60"/>
      <c r="E680" s="60"/>
      <c r="F680" s="60"/>
      <c r="G680" s="60"/>
      <c r="J680" s="99"/>
      <c r="K680" s="99"/>
      <c r="L680" s="99"/>
      <c r="M680" s="99"/>
      <c r="N680" s="43">
        <f t="shared" si="10"/>
        <v>0</v>
      </c>
    </row>
    <row r="681" spans="2:14" ht="1.5" customHeight="1">
      <c r="B681" s="57"/>
      <c r="C681" s="60"/>
      <c r="D681" s="60"/>
      <c r="E681" s="60"/>
      <c r="F681" s="60"/>
      <c r="G681" s="60"/>
      <c r="J681" s="99"/>
      <c r="K681" s="99"/>
      <c r="L681" s="99"/>
      <c r="M681" s="99"/>
      <c r="N681" s="43">
        <f t="shared" si="10"/>
        <v>0</v>
      </c>
    </row>
    <row r="682" spans="2:14" ht="1.5" customHeight="1">
      <c r="B682" s="57"/>
      <c r="C682" s="60"/>
      <c r="D682" s="60"/>
      <c r="E682" s="60"/>
      <c r="F682" s="60"/>
      <c r="G682" s="60"/>
      <c r="J682" s="99"/>
      <c r="K682" s="99"/>
      <c r="L682" s="99"/>
      <c r="M682" s="99"/>
      <c r="N682" s="43">
        <f t="shared" si="10"/>
        <v>0</v>
      </c>
    </row>
    <row r="683" spans="2:14" ht="1.5" customHeight="1">
      <c r="B683" s="57"/>
      <c r="C683" s="60"/>
      <c r="D683" s="60"/>
      <c r="E683" s="60"/>
      <c r="F683" s="60"/>
      <c r="G683" s="60"/>
      <c r="J683" s="99"/>
      <c r="K683" s="99"/>
      <c r="L683" s="99"/>
      <c r="M683" s="99"/>
      <c r="N683" s="43">
        <f t="shared" si="10"/>
        <v>0</v>
      </c>
    </row>
    <row r="684" spans="2:14" ht="1.5" customHeight="1">
      <c r="B684" s="57"/>
      <c r="C684" s="60"/>
      <c r="D684" s="60"/>
      <c r="E684" s="60"/>
      <c r="F684" s="60"/>
      <c r="G684" s="60"/>
      <c r="J684" s="99"/>
      <c r="K684" s="99"/>
      <c r="L684" s="99"/>
      <c r="M684" s="99"/>
      <c r="N684" s="43">
        <f t="shared" si="10"/>
        <v>0</v>
      </c>
    </row>
    <row r="685" spans="2:14" ht="1.5" customHeight="1">
      <c r="B685" s="57"/>
      <c r="C685" s="60"/>
      <c r="D685" s="60"/>
      <c r="E685" s="60"/>
      <c r="F685" s="60"/>
      <c r="G685" s="60"/>
      <c r="J685" s="99"/>
      <c r="K685" s="99"/>
      <c r="L685" s="99"/>
      <c r="M685" s="99"/>
      <c r="N685" s="43">
        <f t="shared" si="10"/>
        <v>0</v>
      </c>
    </row>
    <row r="686" spans="2:14" ht="1.5" customHeight="1">
      <c r="B686" s="57"/>
      <c r="C686" s="60"/>
      <c r="D686" s="60"/>
      <c r="E686" s="60"/>
      <c r="F686" s="60"/>
      <c r="G686" s="60"/>
      <c r="J686" s="99"/>
      <c r="K686" s="99"/>
      <c r="L686" s="99"/>
      <c r="M686" s="99"/>
      <c r="N686" s="43">
        <f t="shared" si="10"/>
        <v>0</v>
      </c>
    </row>
    <row r="687" spans="2:14" ht="1.5" customHeight="1">
      <c r="B687" s="57"/>
      <c r="C687" s="60"/>
      <c r="D687" s="60"/>
      <c r="E687" s="60"/>
      <c r="F687" s="60"/>
      <c r="G687" s="60"/>
      <c r="J687" s="99"/>
      <c r="K687" s="99"/>
      <c r="L687" s="99"/>
      <c r="M687" s="99"/>
      <c r="N687" s="43">
        <f t="shared" si="10"/>
        <v>0</v>
      </c>
    </row>
    <row r="688" spans="2:14" ht="1.5" customHeight="1">
      <c r="B688" s="57"/>
      <c r="C688" s="60"/>
      <c r="D688" s="60"/>
      <c r="E688" s="60"/>
      <c r="F688" s="60"/>
      <c r="G688" s="60"/>
      <c r="J688" s="99"/>
      <c r="K688" s="99"/>
      <c r="L688" s="99"/>
      <c r="M688" s="99"/>
      <c r="N688" s="43">
        <f t="shared" si="10"/>
        <v>0</v>
      </c>
    </row>
    <row r="689" spans="2:14" ht="1.5" customHeight="1">
      <c r="B689" s="57"/>
      <c r="C689" s="60"/>
      <c r="D689" s="60"/>
      <c r="E689" s="60"/>
      <c r="F689" s="60"/>
      <c r="G689" s="60"/>
      <c r="J689" s="99"/>
      <c r="K689" s="99"/>
      <c r="L689" s="99"/>
      <c r="M689" s="99"/>
      <c r="N689" s="43">
        <f t="shared" si="10"/>
        <v>0</v>
      </c>
    </row>
    <row r="690" spans="2:14" ht="1.5" customHeight="1">
      <c r="B690" s="57"/>
      <c r="C690" s="60"/>
      <c r="D690" s="60"/>
      <c r="E690" s="60"/>
      <c r="F690" s="60"/>
      <c r="G690" s="60"/>
      <c r="J690" s="99"/>
      <c r="K690" s="99"/>
      <c r="L690" s="99"/>
      <c r="M690" s="99"/>
      <c r="N690" s="43">
        <f t="shared" si="10"/>
        <v>0</v>
      </c>
    </row>
    <row r="691" spans="2:14" ht="1.5" customHeight="1">
      <c r="B691" s="57"/>
      <c r="C691" s="60"/>
      <c r="D691" s="60"/>
      <c r="E691" s="60"/>
      <c r="F691" s="60"/>
      <c r="G691" s="60"/>
      <c r="J691" s="99"/>
      <c r="K691" s="99"/>
      <c r="L691" s="99"/>
      <c r="M691" s="99"/>
      <c r="N691" s="43">
        <f t="shared" si="10"/>
        <v>0</v>
      </c>
    </row>
    <row r="692" spans="2:14" ht="1.5" customHeight="1">
      <c r="B692" s="57"/>
      <c r="C692" s="60"/>
      <c r="D692" s="60"/>
      <c r="E692" s="60"/>
      <c r="F692" s="60"/>
      <c r="G692" s="60"/>
      <c r="J692" s="99"/>
      <c r="K692" s="99"/>
      <c r="L692" s="99"/>
      <c r="M692" s="99"/>
      <c r="N692" s="43">
        <f t="shared" si="10"/>
        <v>0</v>
      </c>
    </row>
    <row r="693" spans="2:14" ht="1.5" customHeight="1">
      <c r="B693" s="57"/>
      <c r="C693" s="60"/>
      <c r="D693" s="60"/>
      <c r="E693" s="60"/>
      <c r="F693" s="60"/>
      <c r="G693" s="60"/>
      <c r="J693" s="99"/>
      <c r="K693" s="99"/>
      <c r="L693" s="99"/>
      <c r="M693" s="99"/>
      <c r="N693" s="43">
        <f t="shared" si="10"/>
        <v>0</v>
      </c>
    </row>
    <row r="694" spans="2:14" ht="1.5" customHeight="1">
      <c r="B694" s="57"/>
      <c r="C694" s="60"/>
      <c r="D694" s="60"/>
      <c r="E694" s="60"/>
      <c r="F694" s="60"/>
      <c r="G694" s="60"/>
      <c r="J694" s="99"/>
      <c r="K694" s="99"/>
      <c r="L694" s="99"/>
      <c r="M694" s="99"/>
      <c r="N694" s="43">
        <f t="shared" si="10"/>
        <v>0</v>
      </c>
    </row>
    <row r="695" spans="2:14" ht="1.5" customHeight="1">
      <c r="B695" s="57"/>
      <c r="C695" s="60"/>
      <c r="D695" s="60"/>
      <c r="E695" s="60"/>
      <c r="F695" s="60"/>
      <c r="G695" s="60"/>
      <c r="J695" s="99"/>
      <c r="K695" s="99"/>
      <c r="L695" s="99"/>
      <c r="M695" s="99"/>
      <c r="N695" s="43">
        <f t="shared" si="10"/>
        <v>0</v>
      </c>
    </row>
    <row r="696" spans="2:14" ht="1.5" customHeight="1">
      <c r="B696" s="57"/>
      <c r="C696" s="60"/>
      <c r="D696" s="60"/>
      <c r="E696" s="60"/>
      <c r="F696" s="60"/>
      <c r="G696" s="60"/>
      <c r="J696" s="99"/>
      <c r="K696" s="99"/>
      <c r="L696" s="99"/>
      <c r="M696" s="99"/>
      <c r="N696" s="43">
        <f t="shared" si="10"/>
        <v>0</v>
      </c>
    </row>
    <row r="697" spans="2:14" ht="1.5" customHeight="1">
      <c r="B697" s="57"/>
      <c r="C697" s="60"/>
      <c r="D697" s="60"/>
      <c r="E697" s="60"/>
      <c r="F697" s="60"/>
      <c r="G697" s="60"/>
      <c r="J697" s="99"/>
      <c r="K697" s="99"/>
      <c r="L697" s="99"/>
      <c r="M697" s="99"/>
      <c r="N697" s="43">
        <f t="shared" si="10"/>
        <v>0</v>
      </c>
    </row>
    <row r="698" spans="2:14" ht="1.5" customHeight="1">
      <c r="B698" s="57"/>
      <c r="C698" s="60"/>
      <c r="D698" s="60"/>
      <c r="E698" s="60"/>
      <c r="F698" s="60"/>
      <c r="G698" s="60"/>
      <c r="J698" s="99"/>
      <c r="K698" s="99"/>
      <c r="L698" s="99"/>
      <c r="M698" s="99"/>
      <c r="N698" s="43">
        <f t="shared" si="10"/>
        <v>0</v>
      </c>
    </row>
    <row r="699" spans="2:14" ht="1.5" customHeight="1">
      <c r="B699" s="57"/>
      <c r="C699" s="60"/>
      <c r="D699" s="60"/>
      <c r="E699" s="60"/>
      <c r="F699" s="60"/>
      <c r="G699" s="60"/>
      <c r="J699" s="99"/>
      <c r="K699" s="99"/>
      <c r="L699" s="99"/>
      <c r="M699" s="99"/>
      <c r="N699" s="43">
        <f t="shared" si="10"/>
        <v>0</v>
      </c>
    </row>
    <row r="700" spans="2:14" ht="1.5" customHeight="1">
      <c r="B700" s="57"/>
      <c r="C700" s="60"/>
      <c r="D700" s="60"/>
      <c r="E700" s="60"/>
      <c r="F700" s="60"/>
      <c r="G700" s="60"/>
      <c r="J700" s="99"/>
      <c r="K700" s="99"/>
      <c r="L700" s="99"/>
      <c r="M700" s="99"/>
      <c r="N700" s="43">
        <f t="shared" si="10"/>
        <v>0</v>
      </c>
    </row>
    <row r="701" spans="2:14" ht="1.5" customHeight="1">
      <c r="B701" s="57"/>
      <c r="C701" s="60"/>
      <c r="D701" s="60"/>
      <c r="E701" s="60"/>
      <c r="F701" s="60"/>
      <c r="G701" s="60"/>
      <c r="J701" s="99"/>
      <c r="K701" s="99"/>
      <c r="L701" s="99"/>
      <c r="M701" s="99"/>
      <c r="N701" s="43">
        <f t="shared" si="10"/>
        <v>0</v>
      </c>
    </row>
    <row r="702" spans="2:14" ht="1.5" customHeight="1">
      <c r="B702" s="57"/>
      <c r="C702" s="60"/>
      <c r="D702" s="60"/>
      <c r="E702" s="60"/>
      <c r="F702" s="60"/>
      <c r="G702" s="60"/>
      <c r="J702" s="99"/>
      <c r="K702" s="99"/>
      <c r="L702" s="99"/>
      <c r="M702" s="99"/>
      <c r="N702" s="43">
        <f t="shared" si="10"/>
        <v>0</v>
      </c>
    </row>
    <row r="703" spans="2:14" ht="1.5" customHeight="1">
      <c r="B703" s="57"/>
      <c r="C703" s="60"/>
      <c r="D703" s="60"/>
      <c r="E703" s="60"/>
      <c r="F703" s="60"/>
      <c r="G703" s="60"/>
      <c r="J703" s="99"/>
      <c r="K703" s="99"/>
      <c r="L703" s="99"/>
      <c r="M703" s="99"/>
      <c r="N703" s="43">
        <f t="shared" si="10"/>
        <v>0</v>
      </c>
    </row>
    <row r="704" spans="2:14" ht="1.5" customHeight="1">
      <c r="B704" s="57"/>
      <c r="C704" s="60"/>
      <c r="D704" s="60"/>
      <c r="E704" s="60"/>
      <c r="F704" s="60"/>
      <c r="G704" s="60"/>
      <c r="J704" s="99"/>
      <c r="K704" s="99"/>
      <c r="L704" s="99"/>
      <c r="M704" s="99"/>
      <c r="N704" s="43">
        <f t="shared" si="10"/>
        <v>0</v>
      </c>
    </row>
    <row r="705" spans="2:14" ht="1.5" customHeight="1">
      <c r="B705" s="57"/>
      <c r="C705" s="60"/>
      <c r="D705" s="60"/>
      <c r="E705" s="60"/>
      <c r="F705" s="60"/>
      <c r="G705" s="60"/>
      <c r="J705" s="99"/>
      <c r="K705" s="99"/>
      <c r="L705" s="99"/>
      <c r="M705" s="99"/>
      <c r="N705" s="43">
        <f t="shared" si="10"/>
        <v>0</v>
      </c>
    </row>
    <row r="706" spans="2:14" ht="1.5" customHeight="1">
      <c r="B706" s="57"/>
      <c r="C706" s="60"/>
      <c r="D706" s="60"/>
      <c r="E706" s="60"/>
      <c r="F706" s="60"/>
      <c r="G706" s="60"/>
      <c r="J706" s="99"/>
      <c r="K706" s="99"/>
      <c r="L706" s="99"/>
      <c r="M706" s="99"/>
      <c r="N706" s="43">
        <f t="shared" si="10"/>
        <v>0</v>
      </c>
    </row>
    <row r="707" spans="2:14" ht="1.5" customHeight="1">
      <c r="B707" s="57"/>
      <c r="C707" s="60"/>
      <c r="D707" s="60"/>
      <c r="E707" s="60"/>
      <c r="F707" s="60"/>
      <c r="G707" s="60"/>
      <c r="J707" s="99"/>
      <c r="K707" s="99"/>
      <c r="L707" s="99"/>
      <c r="M707" s="99"/>
      <c r="N707" s="43">
        <f t="shared" si="10"/>
        <v>0</v>
      </c>
    </row>
    <row r="708" spans="2:14" ht="1.5" customHeight="1">
      <c r="B708" s="57"/>
      <c r="C708" s="60"/>
      <c r="D708" s="60"/>
      <c r="E708" s="60"/>
      <c r="F708" s="60"/>
      <c r="G708" s="60"/>
      <c r="J708" s="99"/>
      <c r="K708" s="99"/>
      <c r="L708" s="99"/>
      <c r="M708" s="99"/>
      <c r="N708" s="43">
        <f t="shared" si="10"/>
        <v>0</v>
      </c>
    </row>
    <row r="709" spans="2:14" ht="1.5" customHeight="1">
      <c r="B709" s="57"/>
      <c r="C709" s="60"/>
      <c r="D709" s="60"/>
      <c r="E709" s="60"/>
      <c r="F709" s="60"/>
      <c r="G709" s="60"/>
      <c r="J709" s="99"/>
      <c r="K709" s="99"/>
      <c r="L709" s="99"/>
      <c r="M709" s="99"/>
      <c r="N709" s="43">
        <f t="shared" si="10"/>
        <v>0</v>
      </c>
    </row>
    <row r="710" spans="2:14" ht="1.5" customHeight="1">
      <c r="B710" s="57"/>
      <c r="C710" s="60"/>
      <c r="D710" s="60"/>
      <c r="E710" s="60"/>
      <c r="F710" s="60"/>
      <c r="G710" s="60"/>
      <c r="J710" s="99"/>
      <c r="K710" s="99"/>
      <c r="L710" s="99"/>
      <c r="M710" s="99"/>
      <c r="N710" s="43">
        <f t="shared" si="10"/>
        <v>0</v>
      </c>
    </row>
    <row r="711" spans="2:14" ht="1.5" customHeight="1">
      <c r="B711" s="57"/>
      <c r="C711" s="60"/>
      <c r="D711" s="60"/>
      <c r="E711" s="60"/>
      <c r="F711" s="60"/>
      <c r="G711" s="60"/>
      <c r="J711" s="99"/>
      <c r="K711" s="99"/>
      <c r="L711" s="99"/>
      <c r="M711" s="99"/>
      <c r="N711" s="43">
        <f t="shared" si="10"/>
        <v>0</v>
      </c>
    </row>
    <row r="712" spans="2:14" ht="1.5" customHeight="1">
      <c r="B712" s="57"/>
      <c r="C712" s="60"/>
      <c r="D712" s="60"/>
      <c r="E712" s="60"/>
      <c r="F712" s="60"/>
      <c r="G712" s="60"/>
      <c r="J712" s="99"/>
      <c r="K712" s="99"/>
      <c r="L712" s="99"/>
      <c r="M712" s="99"/>
      <c r="N712" s="43">
        <f t="shared" si="10"/>
        <v>0</v>
      </c>
    </row>
    <row r="713" spans="2:14" ht="1.5" customHeight="1">
      <c r="B713" s="57"/>
      <c r="C713" s="60"/>
      <c r="D713" s="60"/>
      <c r="E713" s="60"/>
      <c r="F713" s="60"/>
      <c r="G713" s="60"/>
      <c r="J713" s="99"/>
      <c r="K713" s="99"/>
      <c r="L713" s="99"/>
      <c r="M713" s="99"/>
      <c r="N713" s="43">
        <f t="shared" si="10"/>
        <v>0</v>
      </c>
    </row>
    <row r="714" spans="2:14" ht="1.5" customHeight="1">
      <c r="B714" s="57"/>
      <c r="C714" s="60"/>
      <c r="D714" s="60"/>
      <c r="E714" s="60"/>
      <c r="F714" s="60"/>
      <c r="G714" s="60"/>
      <c r="J714" s="99"/>
      <c r="K714" s="99"/>
      <c r="L714" s="99"/>
      <c r="M714" s="99"/>
      <c r="N714" s="43">
        <f t="shared" si="10"/>
        <v>0</v>
      </c>
    </row>
    <row r="715" spans="2:14" ht="1.5" customHeight="1">
      <c r="B715" s="57"/>
      <c r="C715" s="60"/>
      <c r="D715" s="60"/>
      <c r="E715" s="60"/>
      <c r="F715" s="60"/>
      <c r="G715" s="60"/>
      <c r="J715" s="99"/>
      <c r="K715" s="99"/>
      <c r="L715" s="99"/>
      <c r="M715" s="99"/>
      <c r="N715" s="43">
        <f t="shared" ref="N715:N778" si="11">IF($L$4=$C$10,C715,IF(D715="","",B715))</f>
        <v>0</v>
      </c>
    </row>
    <row r="716" spans="2:14" ht="1.5" customHeight="1">
      <c r="B716" s="57"/>
      <c r="C716" s="60"/>
      <c r="D716" s="60"/>
      <c r="E716" s="60"/>
      <c r="F716" s="60"/>
      <c r="G716" s="60"/>
      <c r="J716" s="99"/>
      <c r="K716" s="99"/>
      <c r="L716" s="99"/>
      <c r="M716" s="99"/>
      <c r="N716" s="43">
        <f t="shared" si="11"/>
        <v>0</v>
      </c>
    </row>
    <row r="717" spans="2:14" ht="1.5" customHeight="1">
      <c r="B717" s="57"/>
      <c r="C717" s="60"/>
      <c r="D717" s="60"/>
      <c r="E717" s="60"/>
      <c r="F717" s="60"/>
      <c r="G717" s="60"/>
      <c r="J717" s="99"/>
      <c r="K717" s="99"/>
      <c r="L717" s="99"/>
      <c r="M717" s="99"/>
      <c r="N717" s="43">
        <f t="shared" si="11"/>
        <v>0</v>
      </c>
    </row>
    <row r="718" spans="2:14" ht="1.5" customHeight="1">
      <c r="B718" s="57"/>
      <c r="C718" s="60"/>
      <c r="D718" s="60"/>
      <c r="E718" s="60"/>
      <c r="F718" s="60"/>
      <c r="G718" s="60"/>
      <c r="J718" s="99"/>
      <c r="K718" s="99"/>
      <c r="L718" s="99"/>
      <c r="M718" s="99"/>
      <c r="N718" s="43">
        <f t="shared" si="11"/>
        <v>0</v>
      </c>
    </row>
    <row r="719" spans="2:14" ht="1.5" customHeight="1">
      <c r="B719" s="57"/>
      <c r="C719" s="60"/>
      <c r="D719" s="60"/>
      <c r="E719" s="60"/>
      <c r="F719" s="60"/>
      <c r="G719" s="60"/>
      <c r="J719" s="99"/>
      <c r="K719" s="99"/>
      <c r="L719" s="99"/>
      <c r="M719" s="99"/>
      <c r="N719" s="43">
        <f t="shared" si="11"/>
        <v>0</v>
      </c>
    </row>
    <row r="720" spans="2:14" ht="1.5" customHeight="1">
      <c r="B720" s="57"/>
      <c r="C720" s="60"/>
      <c r="D720" s="60"/>
      <c r="E720" s="60"/>
      <c r="F720" s="60"/>
      <c r="G720" s="60"/>
      <c r="J720" s="99"/>
      <c r="K720" s="99"/>
      <c r="L720" s="99"/>
      <c r="M720" s="99"/>
      <c r="N720" s="43">
        <f t="shared" si="11"/>
        <v>0</v>
      </c>
    </row>
    <row r="721" spans="2:14" ht="1.5" customHeight="1">
      <c r="B721" s="57"/>
      <c r="C721" s="60"/>
      <c r="D721" s="60"/>
      <c r="E721" s="60"/>
      <c r="F721" s="60"/>
      <c r="G721" s="60"/>
      <c r="J721" s="99"/>
      <c r="K721" s="99"/>
      <c r="L721" s="99"/>
      <c r="M721" s="99"/>
      <c r="N721" s="43">
        <f t="shared" si="11"/>
        <v>0</v>
      </c>
    </row>
    <row r="722" spans="2:14" ht="1.5" customHeight="1">
      <c r="B722" s="57"/>
      <c r="C722" s="60"/>
      <c r="D722" s="60"/>
      <c r="E722" s="60"/>
      <c r="F722" s="60"/>
      <c r="G722" s="60"/>
      <c r="J722" s="99"/>
      <c r="K722" s="99"/>
      <c r="L722" s="99"/>
      <c r="M722" s="99"/>
      <c r="N722" s="43">
        <f t="shared" si="11"/>
        <v>0</v>
      </c>
    </row>
    <row r="723" spans="2:14" ht="1.5" customHeight="1">
      <c r="B723" s="57"/>
      <c r="C723" s="60"/>
      <c r="D723" s="60"/>
      <c r="E723" s="60"/>
      <c r="F723" s="60"/>
      <c r="G723" s="60"/>
      <c r="J723" s="99"/>
      <c r="K723" s="99"/>
      <c r="L723" s="99"/>
      <c r="M723" s="99"/>
      <c r="N723" s="43">
        <f t="shared" si="11"/>
        <v>0</v>
      </c>
    </row>
    <row r="724" spans="2:14" ht="1.5" customHeight="1">
      <c r="B724" s="57"/>
      <c r="C724" s="60"/>
      <c r="D724" s="60"/>
      <c r="E724" s="60"/>
      <c r="F724" s="60"/>
      <c r="G724" s="60"/>
      <c r="J724" s="99"/>
      <c r="K724" s="99"/>
      <c r="L724" s="99"/>
      <c r="M724" s="99"/>
      <c r="N724" s="43">
        <f t="shared" si="11"/>
        <v>0</v>
      </c>
    </row>
    <row r="725" spans="2:14" ht="1.5" customHeight="1">
      <c r="B725" s="57"/>
      <c r="C725" s="60"/>
      <c r="D725" s="60"/>
      <c r="E725" s="60"/>
      <c r="F725" s="60"/>
      <c r="G725" s="60"/>
      <c r="J725" s="99"/>
      <c r="K725" s="99"/>
      <c r="L725" s="99"/>
      <c r="M725" s="99"/>
      <c r="N725" s="43">
        <f t="shared" si="11"/>
        <v>0</v>
      </c>
    </row>
    <row r="726" spans="2:14" ht="1.5" customHeight="1">
      <c r="B726" s="57"/>
      <c r="C726" s="60"/>
      <c r="D726" s="60"/>
      <c r="E726" s="60"/>
      <c r="F726" s="60"/>
      <c r="G726" s="60"/>
      <c r="J726" s="99"/>
      <c r="K726" s="99"/>
      <c r="L726" s="99"/>
      <c r="M726" s="99"/>
      <c r="N726" s="43">
        <f t="shared" si="11"/>
        <v>0</v>
      </c>
    </row>
    <row r="727" spans="2:14" ht="1.5" customHeight="1">
      <c r="B727" s="57"/>
      <c r="C727" s="60"/>
      <c r="D727" s="60"/>
      <c r="E727" s="60"/>
      <c r="F727" s="60"/>
      <c r="G727" s="60"/>
      <c r="J727" s="99"/>
      <c r="K727" s="99"/>
      <c r="L727" s="99"/>
      <c r="M727" s="99"/>
      <c r="N727" s="43">
        <f t="shared" si="11"/>
        <v>0</v>
      </c>
    </row>
    <row r="728" spans="2:14" ht="1.5" customHeight="1">
      <c r="B728" s="57"/>
      <c r="C728" s="60"/>
      <c r="D728" s="60"/>
      <c r="E728" s="60"/>
      <c r="F728" s="60"/>
      <c r="G728" s="60"/>
      <c r="J728" s="99"/>
      <c r="K728" s="99"/>
      <c r="L728" s="99"/>
      <c r="M728" s="99"/>
      <c r="N728" s="43">
        <f t="shared" si="11"/>
        <v>0</v>
      </c>
    </row>
    <row r="729" spans="2:14" ht="1.5" customHeight="1">
      <c r="B729" s="57"/>
      <c r="C729" s="60"/>
      <c r="D729" s="60"/>
      <c r="E729" s="60"/>
      <c r="F729" s="60"/>
      <c r="G729" s="60"/>
      <c r="J729" s="99"/>
      <c r="K729" s="99"/>
      <c r="L729" s="99"/>
      <c r="M729" s="99"/>
      <c r="N729" s="43">
        <f t="shared" si="11"/>
        <v>0</v>
      </c>
    </row>
    <row r="730" spans="2:14" ht="1.5" customHeight="1">
      <c r="B730" s="57"/>
      <c r="C730" s="60"/>
      <c r="D730" s="60"/>
      <c r="E730" s="60"/>
      <c r="F730" s="60"/>
      <c r="G730" s="60"/>
      <c r="J730" s="99"/>
      <c r="K730" s="99"/>
      <c r="L730" s="99"/>
      <c r="M730" s="99"/>
      <c r="N730" s="43">
        <f t="shared" si="11"/>
        <v>0</v>
      </c>
    </row>
    <row r="731" spans="2:14" ht="1.5" customHeight="1">
      <c r="B731" s="57"/>
      <c r="C731" s="60"/>
      <c r="D731" s="60"/>
      <c r="E731" s="60"/>
      <c r="F731" s="60"/>
      <c r="G731" s="60"/>
      <c r="J731" s="99"/>
      <c r="K731" s="99"/>
      <c r="L731" s="99"/>
      <c r="M731" s="99"/>
      <c r="N731" s="43">
        <f t="shared" si="11"/>
        <v>0</v>
      </c>
    </row>
    <row r="732" spans="2:14" ht="1.5" customHeight="1">
      <c r="B732" s="57"/>
      <c r="C732" s="60"/>
      <c r="D732" s="60"/>
      <c r="E732" s="60"/>
      <c r="F732" s="60"/>
      <c r="G732" s="60"/>
      <c r="J732" s="99"/>
      <c r="K732" s="99"/>
      <c r="L732" s="99"/>
      <c r="M732" s="99"/>
      <c r="N732" s="43">
        <f t="shared" si="11"/>
        <v>0</v>
      </c>
    </row>
    <row r="733" spans="2:14" ht="1.5" customHeight="1">
      <c r="B733" s="57"/>
      <c r="C733" s="60"/>
      <c r="D733" s="60"/>
      <c r="E733" s="60"/>
      <c r="F733" s="60"/>
      <c r="G733" s="60"/>
      <c r="J733" s="99"/>
      <c r="K733" s="99"/>
      <c r="L733" s="99"/>
      <c r="M733" s="99"/>
      <c r="N733" s="43">
        <f t="shared" si="11"/>
        <v>0</v>
      </c>
    </row>
    <row r="734" spans="2:14" ht="1.5" customHeight="1">
      <c r="B734" s="57"/>
      <c r="C734" s="60"/>
      <c r="D734" s="60"/>
      <c r="E734" s="60"/>
      <c r="F734" s="60"/>
      <c r="G734" s="60"/>
      <c r="J734" s="99"/>
      <c r="K734" s="99"/>
      <c r="L734" s="99"/>
      <c r="M734" s="99"/>
      <c r="N734" s="43">
        <f t="shared" si="11"/>
        <v>0</v>
      </c>
    </row>
    <row r="735" spans="2:14" ht="1.5" customHeight="1">
      <c r="B735" s="57"/>
      <c r="C735" s="60"/>
      <c r="D735" s="60"/>
      <c r="E735" s="60"/>
      <c r="F735" s="60"/>
      <c r="G735" s="60"/>
      <c r="J735" s="99"/>
      <c r="K735" s="99"/>
      <c r="L735" s="99"/>
      <c r="M735" s="99"/>
      <c r="N735" s="43">
        <f t="shared" si="11"/>
        <v>0</v>
      </c>
    </row>
    <row r="736" spans="2:14" ht="1.5" customHeight="1">
      <c r="B736" s="57"/>
      <c r="C736" s="60"/>
      <c r="D736" s="60"/>
      <c r="E736" s="60"/>
      <c r="F736" s="60"/>
      <c r="G736" s="60"/>
      <c r="J736" s="99"/>
      <c r="K736" s="99"/>
      <c r="L736" s="99"/>
      <c r="M736" s="99"/>
      <c r="N736" s="43">
        <f t="shared" si="11"/>
        <v>0</v>
      </c>
    </row>
    <row r="737" spans="2:14" ht="1.5" customHeight="1">
      <c r="B737" s="57"/>
      <c r="C737" s="60"/>
      <c r="D737" s="60"/>
      <c r="E737" s="60"/>
      <c r="F737" s="60"/>
      <c r="G737" s="60"/>
      <c r="J737" s="99"/>
      <c r="K737" s="99"/>
      <c r="L737" s="99"/>
      <c r="M737" s="99"/>
      <c r="N737" s="43">
        <f t="shared" si="11"/>
        <v>0</v>
      </c>
    </row>
    <row r="738" spans="2:14" ht="1.5" customHeight="1">
      <c r="B738" s="57"/>
      <c r="C738" s="60"/>
      <c r="D738" s="60"/>
      <c r="E738" s="60"/>
      <c r="F738" s="60"/>
      <c r="G738" s="60"/>
      <c r="J738" s="99"/>
      <c r="K738" s="99"/>
      <c r="L738" s="99"/>
      <c r="M738" s="99"/>
      <c r="N738" s="43">
        <f t="shared" si="11"/>
        <v>0</v>
      </c>
    </row>
    <row r="739" spans="2:14" ht="1.5" customHeight="1">
      <c r="B739" s="57"/>
      <c r="C739" s="60"/>
      <c r="D739" s="60"/>
      <c r="E739" s="60"/>
      <c r="F739" s="60"/>
      <c r="G739" s="60"/>
      <c r="J739" s="99"/>
      <c r="K739" s="99"/>
      <c r="L739" s="99"/>
      <c r="M739" s="99"/>
      <c r="N739" s="43">
        <f t="shared" si="11"/>
        <v>0</v>
      </c>
    </row>
    <row r="740" spans="2:14" ht="1.5" customHeight="1">
      <c r="B740" s="57"/>
      <c r="C740" s="60"/>
      <c r="D740" s="60"/>
      <c r="E740" s="60"/>
      <c r="F740" s="60"/>
      <c r="G740" s="60"/>
      <c r="J740" s="99"/>
      <c r="K740" s="99"/>
      <c r="L740" s="99"/>
      <c r="M740" s="99"/>
      <c r="N740" s="43">
        <f t="shared" si="11"/>
        <v>0</v>
      </c>
    </row>
    <row r="741" spans="2:14" ht="1.5" customHeight="1">
      <c r="B741" s="57"/>
      <c r="C741" s="60"/>
      <c r="D741" s="60"/>
      <c r="E741" s="60"/>
      <c r="F741" s="60"/>
      <c r="G741" s="60"/>
      <c r="J741" s="99"/>
      <c r="K741" s="99"/>
      <c r="L741" s="99"/>
      <c r="M741" s="99"/>
      <c r="N741" s="43">
        <f t="shared" si="11"/>
        <v>0</v>
      </c>
    </row>
    <row r="742" spans="2:14" ht="1.5" customHeight="1">
      <c r="B742" s="57"/>
      <c r="C742" s="60"/>
      <c r="D742" s="60"/>
      <c r="E742" s="60"/>
      <c r="F742" s="60"/>
      <c r="G742" s="60"/>
      <c r="J742" s="99"/>
      <c r="K742" s="99"/>
      <c r="L742" s="99"/>
      <c r="M742" s="99"/>
      <c r="N742" s="43">
        <f t="shared" si="11"/>
        <v>0</v>
      </c>
    </row>
    <row r="743" spans="2:14" ht="1.5" customHeight="1">
      <c r="B743" s="57"/>
      <c r="C743" s="60"/>
      <c r="D743" s="60"/>
      <c r="E743" s="60"/>
      <c r="F743" s="60"/>
      <c r="G743" s="60"/>
      <c r="J743" s="99"/>
      <c r="K743" s="99"/>
      <c r="L743" s="99"/>
      <c r="M743" s="99"/>
      <c r="N743" s="43">
        <f t="shared" si="11"/>
        <v>0</v>
      </c>
    </row>
    <row r="744" spans="2:14" ht="1.5" customHeight="1">
      <c r="B744" s="57"/>
      <c r="C744" s="60"/>
      <c r="D744" s="60"/>
      <c r="E744" s="60"/>
      <c r="F744" s="60"/>
      <c r="G744" s="60"/>
      <c r="J744" s="99"/>
      <c r="K744" s="99"/>
      <c r="L744" s="99"/>
      <c r="M744" s="99"/>
      <c r="N744" s="43">
        <f t="shared" si="11"/>
        <v>0</v>
      </c>
    </row>
    <row r="745" spans="2:14" ht="1.5" customHeight="1">
      <c r="B745" s="57"/>
      <c r="C745" s="60"/>
      <c r="D745" s="60"/>
      <c r="E745" s="60"/>
      <c r="F745" s="60"/>
      <c r="G745" s="60"/>
      <c r="J745" s="99"/>
      <c r="K745" s="99"/>
      <c r="L745" s="99"/>
      <c r="M745" s="99"/>
      <c r="N745" s="43">
        <f t="shared" si="11"/>
        <v>0</v>
      </c>
    </row>
    <row r="746" spans="2:14" ht="1.5" customHeight="1">
      <c r="B746" s="57"/>
      <c r="C746" s="60"/>
      <c r="D746" s="60"/>
      <c r="E746" s="60"/>
      <c r="F746" s="60"/>
      <c r="G746" s="60"/>
      <c r="J746" s="99"/>
      <c r="K746" s="99"/>
      <c r="L746" s="99"/>
      <c r="M746" s="99"/>
      <c r="N746" s="43">
        <f t="shared" si="11"/>
        <v>0</v>
      </c>
    </row>
    <row r="747" spans="2:14" ht="1.5" customHeight="1">
      <c r="B747" s="57"/>
      <c r="C747" s="60"/>
      <c r="D747" s="60"/>
      <c r="E747" s="60"/>
      <c r="F747" s="60"/>
      <c r="G747" s="60"/>
      <c r="J747" s="99"/>
      <c r="K747" s="99"/>
      <c r="L747" s="99"/>
      <c r="M747" s="99"/>
      <c r="N747" s="43">
        <f t="shared" si="11"/>
        <v>0</v>
      </c>
    </row>
    <row r="748" spans="2:14" ht="1.5" customHeight="1">
      <c r="B748" s="57"/>
      <c r="C748" s="60"/>
      <c r="D748" s="60"/>
      <c r="E748" s="60"/>
      <c r="F748" s="60"/>
      <c r="G748" s="60"/>
      <c r="J748" s="99"/>
      <c r="K748" s="99"/>
      <c r="L748" s="99"/>
      <c r="M748" s="99"/>
      <c r="N748" s="43">
        <f t="shared" si="11"/>
        <v>0</v>
      </c>
    </row>
    <row r="749" spans="2:14" ht="1.5" customHeight="1">
      <c r="B749" s="57"/>
      <c r="C749" s="60"/>
      <c r="D749" s="60"/>
      <c r="E749" s="60"/>
      <c r="F749" s="60"/>
      <c r="G749" s="60"/>
      <c r="J749" s="99"/>
      <c r="K749" s="99"/>
      <c r="L749" s="99"/>
      <c r="M749" s="99"/>
      <c r="N749" s="43">
        <f t="shared" si="11"/>
        <v>0</v>
      </c>
    </row>
    <row r="750" spans="2:14" ht="1.5" customHeight="1">
      <c r="B750" s="57"/>
      <c r="C750" s="60"/>
      <c r="D750" s="60"/>
      <c r="E750" s="60"/>
      <c r="F750" s="60"/>
      <c r="G750" s="60"/>
      <c r="J750" s="99"/>
      <c r="K750" s="99"/>
      <c r="L750" s="99"/>
      <c r="M750" s="99"/>
      <c r="N750" s="43">
        <f t="shared" si="11"/>
        <v>0</v>
      </c>
    </row>
    <row r="751" spans="2:14" ht="1.5" customHeight="1">
      <c r="B751" s="57"/>
      <c r="C751" s="60"/>
      <c r="D751" s="60"/>
      <c r="E751" s="60"/>
      <c r="F751" s="60"/>
      <c r="G751" s="60"/>
      <c r="J751" s="99"/>
      <c r="K751" s="99"/>
      <c r="L751" s="99"/>
      <c r="M751" s="99"/>
      <c r="N751" s="43">
        <f t="shared" si="11"/>
        <v>0</v>
      </c>
    </row>
    <row r="752" spans="2:14" ht="1.5" customHeight="1">
      <c r="B752" s="57"/>
      <c r="C752" s="60"/>
      <c r="D752" s="60"/>
      <c r="E752" s="60"/>
      <c r="F752" s="60"/>
      <c r="G752" s="60"/>
      <c r="J752" s="99"/>
      <c r="K752" s="99"/>
      <c r="L752" s="99"/>
      <c r="M752" s="99"/>
      <c r="N752" s="43">
        <f t="shared" si="11"/>
        <v>0</v>
      </c>
    </row>
    <row r="753" spans="2:14" ht="1.5" customHeight="1">
      <c r="B753" s="57"/>
      <c r="C753" s="60"/>
      <c r="D753" s="60"/>
      <c r="E753" s="60"/>
      <c r="F753" s="60"/>
      <c r="G753" s="60"/>
      <c r="J753" s="99"/>
      <c r="K753" s="99"/>
      <c r="L753" s="99"/>
      <c r="M753" s="99"/>
      <c r="N753" s="43">
        <f t="shared" si="11"/>
        <v>0</v>
      </c>
    </row>
    <row r="754" spans="2:14" ht="1.5" customHeight="1">
      <c r="B754" s="57"/>
      <c r="C754" s="60"/>
      <c r="D754" s="60"/>
      <c r="E754" s="60"/>
      <c r="F754" s="60"/>
      <c r="G754" s="60"/>
      <c r="J754" s="99"/>
      <c r="K754" s="99"/>
      <c r="L754" s="99"/>
      <c r="M754" s="99"/>
      <c r="N754" s="43">
        <f t="shared" si="11"/>
        <v>0</v>
      </c>
    </row>
    <row r="755" spans="2:14" ht="1.5" customHeight="1">
      <c r="B755" s="57"/>
      <c r="C755" s="60"/>
      <c r="D755" s="60"/>
      <c r="E755" s="60"/>
      <c r="F755" s="60"/>
      <c r="G755" s="60"/>
      <c r="J755" s="99"/>
      <c r="K755" s="99"/>
      <c r="L755" s="99"/>
      <c r="M755" s="99"/>
      <c r="N755" s="43">
        <f t="shared" si="11"/>
        <v>0</v>
      </c>
    </row>
    <row r="756" spans="2:14" ht="1.5" customHeight="1">
      <c r="B756" s="57"/>
      <c r="C756" s="60"/>
      <c r="D756" s="60"/>
      <c r="E756" s="60"/>
      <c r="F756" s="60"/>
      <c r="G756" s="60"/>
      <c r="J756" s="99"/>
      <c r="K756" s="99"/>
      <c r="L756" s="99"/>
      <c r="M756" s="99"/>
      <c r="N756" s="43">
        <f t="shared" si="11"/>
        <v>0</v>
      </c>
    </row>
    <row r="757" spans="2:14" ht="1.5" customHeight="1">
      <c r="B757" s="57"/>
      <c r="C757" s="60"/>
      <c r="D757" s="60"/>
      <c r="E757" s="60"/>
      <c r="F757" s="60"/>
      <c r="G757" s="60"/>
      <c r="J757" s="99"/>
      <c r="K757" s="99"/>
      <c r="L757" s="99"/>
      <c r="M757" s="99"/>
      <c r="N757" s="43">
        <f t="shared" si="11"/>
        <v>0</v>
      </c>
    </row>
    <row r="758" spans="2:14" ht="1.5" customHeight="1">
      <c r="B758" s="57"/>
      <c r="C758" s="60"/>
      <c r="D758" s="60"/>
      <c r="E758" s="60"/>
      <c r="F758" s="60"/>
      <c r="G758" s="60"/>
      <c r="J758" s="99"/>
      <c r="K758" s="99"/>
      <c r="L758" s="99"/>
      <c r="M758" s="99"/>
      <c r="N758" s="43">
        <f t="shared" si="11"/>
        <v>0</v>
      </c>
    </row>
    <row r="759" spans="2:14" ht="1.5" customHeight="1">
      <c r="B759" s="57"/>
      <c r="C759" s="60"/>
      <c r="D759" s="60"/>
      <c r="E759" s="60"/>
      <c r="F759" s="60"/>
      <c r="G759" s="60"/>
      <c r="J759" s="99"/>
      <c r="K759" s="99"/>
      <c r="L759" s="99"/>
      <c r="M759" s="99"/>
      <c r="N759" s="43">
        <f t="shared" si="11"/>
        <v>0</v>
      </c>
    </row>
    <row r="760" spans="2:14" ht="1.5" customHeight="1">
      <c r="B760" s="57"/>
      <c r="C760" s="60"/>
      <c r="D760" s="60"/>
      <c r="E760" s="60"/>
      <c r="F760" s="60"/>
      <c r="G760" s="60"/>
      <c r="J760" s="99"/>
      <c r="K760" s="99"/>
      <c r="L760" s="99"/>
      <c r="M760" s="99"/>
      <c r="N760" s="43">
        <f t="shared" si="11"/>
        <v>0</v>
      </c>
    </row>
    <row r="761" spans="2:14" ht="1.5" customHeight="1">
      <c r="B761" s="57"/>
      <c r="C761" s="60"/>
      <c r="D761" s="60"/>
      <c r="E761" s="60"/>
      <c r="F761" s="60"/>
      <c r="G761" s="60"/>
      <c r="J761" s="99"/>
      <c r="K761" s="99"/>
      <c r="L761" s="99"/>
      <c r="M761" s="99"/>
      <c r="N761" s="43">
        <f t="shared" si="11"/>
        <v>0</v>
      </c>
    </row>
    <row r="762" spans="2:14" ht="1.5" customHeight="1">
      <c r="B762" s="57"/>
      <c r="C762" s="60"/>
      <c r="D762" s="60"/>
      <c r="E762" s="60"/>
      <c r="F762" s="60"/>
      <c r="G762" s="60"/>
      <c r="J762" s="99"/>
      <c r="K762" s="99"/>
      <c r="L762" s="99"/>
      <c r="M762" s="99"/>
      <c r="N762" s="43">
        <f t="shared" si="11"/>
        <v>0</v>
      </c>
    </row>
    <row r="763" spans="2:14" ht="1.5" customHeight="1">
      <c r="B763" s="57"/>
      <c r="C763" s="60"/>
      <c r="D763" s="60"/>
      <c r="E763" s="60"/>
      <c r="F763" s="60"/>
      <c r="G763" s="60"/>
      <c r="J763" s="99"/>
      <c r="K763" s="99"/>
      <c r="L763" s="99"/>
      <c r="M763" s="99"/>
      <c r="N763" s="43">
        <f t="shared" si="11"/>
        <v>0</v>
      </c>
    </row>
    <row r="764" spans="2:14" ht="1.5" customHeight="1">
      <c r="B764" s="57"/>
      <c r="C764" s="60"/>
      <c r="D764" s="60"/>
      <c r="E764" s="60"/>
      <c r="F764" s="60"/>
      <c r="G764" s="60"/>
      <c r="J764" s="99"/>
      <c r="K764" s="99"/>
      <c r="L764" s="99"/>
      <c r="M764" s="99"/>
      <c r="N764" s="43">
        <f t="shared" si="11"/>
        <v>0</v>
      </c>
    </row>
    <row r="765" spans="2:14" ht="1.5" customHeight="1">
      <c r="B765" s="57"/>
      <c r="C765" s="60"/>
      <c r="D765" s="60"/>
      <c r="E765" s="60"/>
      <c r="F765" s="60"/>
      <c r="G765" s="60"/>
      <c r="J765" s="99"/>
      <c r="K765" s="99"/>
      <c r="L765" s="99"/>
      <c r="M765" s="99"/>
      <c r="N765" s="43">
        <f t="shared" si="11"/>
        <v>0</v>
      </c>
    </row>
    <row r="766" spans="2:14" ht="1.5" customHeight="1">
      <c r="B766" s="57"/>
      <c r="C766" s="60"/>
      <c r="D766" s="60"/>
      <c r="E766" s="60"/>
      <c r="F766" s="60"/>
      <c r="G766" s="60"/>
      <c r="J766" s="99"/>
      <c r="K766" s="99"/>
      <c r="L766" s="99"/>
      <c r="M766" s="99"/>
      <c r="N766" s="43">
        <f t="shared" si="11"/>
        <v>0</v>
      </c>
    </row>
    <row r="767" spans="2:14" ht="1.5" customHeight="1">
      <c r="B767" s="57"/>
      <c r="C767" s="60"/>
      <c r="D767" s="60"/>
      <c r="E767" s="60"/>
      <c r="F767" s="60"/>
      <c r="G767" s="60"/>
      <c r="J767" s="99"/>
      <c r="K767" s="99"/>
      <c r="L767" s="99"/>
      <c r="M767" s="99"/>
      <c r="N767" s="43">
        <f t="shared" si="11"/>
        <v>0</v>
      </c>
    </row>
    <row r="768" spans="2:14" ht="1.5" customHeight="1">
      <c r="B768" s="57"/>
      <c r="C768" s="60"/>
      <c r="D768" s="60"/>
      <c r="E768" s="60"/>
      <c r="F768" s="60"/>
      <c r="G768" s="60"/>
      <c r="J768" s="99"/>
      <c r="K768" s="99"/>
      <c r="L768" s="99"/>
      <c r="M768" s="99"/>
      <c r="N768" s="43">
        <f t="shared" si="11"/>
        <v>0</v>
      </c>
    </row>
    <row r="769" spans="2:14" ht="1.5" customHeight="1">
      <c r="B769" s="57"/>
      <c r="C769" s="60"/>
      <c r="D769" s="60"/>
      <c r="E769" s="60"/>
      <c r="F769" s="60"/>
      <c r="G769" s="60"/>
      <c r="J769" s="99"/>
      <c r="K769" s="99"/>
      <c r="L769" s="99"/>
      <c r="M769" s="99"/>
      <c r="N769" s="43">
        <f t="shared" si="11"/>
        <v>0</v>
      </c>
    </row>
    <row r="770" spans="2:14" ht="1.5" customHeight="1">
      <c r="B770" s="57"/>
      <c r="C770" s="60"/>
      <c r="D770" s="60"/>
      <c r="E770" s="60"/>
      <c r="F770" s="60"/>
      <c r="G770" s="60"/>
      <c r="J770" s="99"/>
      <c r="K770" s="99"/>
      <c r="L770" s="99"/>
      <c r="M770" s="99"/>
      <c r="N770" s="43">
        <f t="shared" si="11"/>
        <v>0</v>
      </c>
    </row>
    <row r="771" spans="2:14" ht="1.5" customHeight="1">
      <c r="B771" s="57"/>
      <c r="C771" s="60"/>
      <c r="D771" s="60"/>
      <c r="E771" s="60"/>
      <c r="F771" s="60"/>
      <c r="G771" s="60"/>
      <c r="J771" s="99"/>
      <c r="K771" s="99"/>
      <c r="L771" s="99"/>
      <c r="M771" s="99"/>
      <c r="N771" s="43">
        <f t="shared" si="11"/>
        <v>0</v>
      </c>
    </row>
    <row r="772" spans="2:14" ht="1.5" customHeight="1">
      <c r="B772" s="57"/>
      <c r="C772" s="60"/>
      <c r="D772" s="60"/>
      <c r="E772" s="60"/>
      <c r="F772" s="60"/>
      <c r="G772" s="60"/>
      <c r="J772" s="99"/>
      <c r="K772" s="99"/>
      <c r="L772" s="99"/>
      <c r="M772" s="99"/>
      <c r="N772" s="43">
        <f t="shared" si="11"/>
        <v>0</v>
      </c>
    </row>
    <row r="773" spans="2:14" ht="1.5" customHeight="1">
      <c r="B773" s="57"/>
      <c r="C773" s="60"/>
      <c r="D773" s="60"/>
      <c r="E773" s="60"/>
      <c r="F773" s="60"/>
      <c r="G773" s="60"/>
      <c r="J773" s="99"/>
      <c r="K773" s="99"/>
      <c r="L773" s="99"/>
      <c r="M773" s="99"/>
      <c r="N773" s="43">
        <f t="shared" si="11"/>
        <v>0</v>
      </c>
    </row>
    <row r="774" spans="2:14" ht="1.5" customHeight="1">
      <c r="B774" s="57"/>
      <c r="C774" s="60"/>
      <c r="D774" s="60"/>
      <c r="E774" s="60"/>
      <c r="F774" s="60"/>
      <c r="G774" s="60"/>
      <c r="J774" s="99"/>
      <c r="K774" s="99"/>
      <c r="L774" s="99"/>
      <c r="M774" s="99"/>
      <c r="N774" s="43">
        <f t="shared" si="11"/>
        <v>0</v>
      </c>
    </row>
    <row r="775" spans="2:14" ht="1.5" customHeight="1">
      <c r="B775" s="57"/>
      <c r="C775" s="60"/>
      <c r="D775" s="60"/>
      <c r="E775" s="60"/>
      <c r="F775" s="60"/>
      <c r="G775" s="60"/>
      <c r="J775" s="99"/>
      <c r="K775" s="99"/>
      <c r="L775" s="99"/>
      <c r="M775" s="99"/>
      <c r="N775" s="43">
        <f t="shared" si="11"/>
        <v>0</v>
      </c>
    </row>
    <row r="776" spans="2:14" ht="1.5" customHeight="1">
      <c r="B776" s="57"/>
      <c r="C776" s="60"/>
      <c r="D776" s="60"/>
      <c r="E776" s="60"/>
      <c r="F776" s="60"/>
      <c r="G776" s="60"/>
      <c r="J776" s="99"/>
      <c r="K776" s="99"/>
      <c r="L776" s="99"/>
      <c r="M776" s="99"/>
      <c r="N776" s="43">
        <f t="shared" si="11"/>
        <v>0</v>
      </c>
    </row>
    <row r="777" spans="2:14" ht="1.5" customHeight="1">
      <c r="B777" s="57"/>
      <c r="C777" s="60"/>
      <c r="D777" s="60"/>
      <c r="E777" s="60"/>
      <c r="F777" s="60"/>
      <c r="G777" s="60"/>
      <c r="J777" s="99"/>
      <c r="K777" s="99"/>
      <c r="L777" s="99"/>
      <c r="M777" s="99"/>
      <c r="N777" s="43">
        <f t="shared" si="11"/>
        <v>0</v>
      </c>
    </row>
    <row r="778" spans="2:14" ht="1.5" customHeight="1">
      <c r="B778" s="57"/>
      <c r="C778" s="60"/>
      <c r="D778" s="60"/>
      <c r="E778" s="60"/>
      <c r="F778" s="60"/>
      <c r="G778" s="60"/>
      <c r="J778" s="99"/>
      <c r="K778" s="99"/>
      <c r="L778" s="99"/>
      <c r="M778" s="99"/>
      <c r="N778" s="43">
        <f t="shared" si="11"/>
        <v>0</v>
      </c>
    </row>
    <row r="779" spans="2:14" ht="1.5" customHeight="1">
      <c r="B779" s="57"/>
      <c r="C779" s="60"/>
      <c r="D779" s="60"/>
      <c r="E779" s="60"/>
      <c r="F779" s="60"/>
      <c r="G779" s="60"/>
      <c r="J779" s="99"/>
      <c r="K779" s="99"/>
      <c r="L779" s="99"/>
      <c r="M779" s="99"/>
      <c r="N779" s="43">
        <f t="shared" ref="N779:N811" si="12">IF($L$4=$C$10,C779,IF(D779="","",B779))</f>
        <v>0</v>
      </c>
    </row>
    <row r="780" spans="2:14" ht="1.5" customHeight="1">
      <c r="B780" s="57"/>
      <c r="C780" s="60"/>
      <c r="D780" s="60"/>
      <c r="E780" s="60"/>
      <c r="F780" s="60"/>
      <c r="G780" s="60"/>
      <c r="J780" s="99"/>
      <c r="K780" s="99"/>
      <c r="L780" s="99"/>
      <c r="M780" s="99"/>
      <c r="N780" s="43">
        <f t="shared" si="12"/>
        <v>0</v>
      </c>
    </row>
    <row r="781" spans="2:14" ht="1.5" customHeight="1">
      <c r="B781" s="57"/>
      <c r="C781" s="60"/>
      <c r="D781" s="60"/>
      <c r="E781" s="60"/>
      <c r="F781" s="60"/>
      <c r="G781" s="60"/>
      <c r="J781" s="99"/>
      <c r="K781" s="99"/>
      <c r="L781" s="99"/>
      <c r="M781" s="99"/>
      <c r="N781" s="43">
        <f t="shared" si="12"/>
        <v>0</v>
      </c>
    </row>
    <row r="782" spans="2:14" ht="1.5" customHeight="1">
      <c r="B782" s="57"/>
      <c r="C782" s="60"/>
      <c r="D782" s="60"/>
      <c r="E782" s="60"/>
      <c r="F782" s="60"/>
      <c r="G782" s="60"/>
      <c r="J782" s="99"/>
      <c r="K782" s="99"/>
      <c r="L782" s="99"/>
      <c r="M782" s="99"/>
      <c r="N782" s="43">
        <f t="shared" si="12"/>
        <v>0</v>
      </c>
    </row>
    <row r="783" spans="2:14" ht="1.5" customHeight="1">
      <c r="B783" s="57"/>
      <c r="C783" s="60"/>
      <c r="D783" s="60"/>
      <c r="E783" s="60"/>
      <c r="F783" s="60"/>
      <c r="G783" s="60"/>
      <c r="J783" s="99"/>
      <c r="K783" s="99"/>
      <c r="L783" s="99"/>
      <c r="M783" s="99"/>
      <c r="N783" s="43">
        <f t="shared" si="12"/>
        <v>0</v>
      </c>
    </row>
    <row r="784" spans="2:14" ht="1.5" customHeight="1">
      <c r="B784" s="57"/>
      <c r="C784" s="60"/>
      <c r="D784" s="60"/>
      <c r="E784" s="60"/>
      <c r="F784" s="60"/>
      <c r="G784" s="60"/>
      <c r="J784" s="99"/>
      <c r="K784" s="99"/>
      <c r="L784" s="99"/>
      <c r="M784" s="99"/>
      <c r="N784" s="43">
        <f t="shared" si="12"/>
        <v>0</v>
      </c>
    </row>
    <row r="785" spans="2:14" ht="1.5" customHeight="1">
      <c r="B785" s="57"/>
      <c r="C785" s="60"/>
      <c r="D785" s="60"/>
      <c r="E785" s="60"/>
      <c r="F785" s="60"/>
      <c r="G785" s="60"/>
      <c r="J785" s="99"/>
      <c r="K785" s="99"/>
      <c r="L785" s="99"/>
      <c r="M785" s="99"/>
      <c r="N785" s="43">
        <f t="shared" si="12"/>
        <v>0</v>
      </c>
    </row>
    <row r="786" spans="2:14" ht="1.5" customHeight="1">
      <c r="B786" s="57"/>
      <c r="C786" s="60"/>
      <c r="D786" s="60"/>
      <c r="E786" s="60"/>
      <c r="F786" s="60"/>
      <c r="G786" s="60"/>
      <c r="J786" s="99"/>
      <c r="K786" s="99"/>
      <c r="L786" s="99"/>
      <c r="M786" s="99"/>
      <c r="N786" s="43">
        <f t="shared" si="12"/>
        <v>0</v>
      </c>
    </row>
    <row r="787" spans="2:14" ht="1.5" customHeight="1">
      <c r="B787" s="57"/>
      <c r="C787" s="60"/>
      <c r="D787" s="60"/>
      <c r="E787" s="60"/>
      <c r="F787" s="60"/>
      <c r="G787" s="60"/>
      <c r="J787" s="99"/>
      <c r="K787" s="99"/>
      <c r="L787" s="99"/>
      <c r="M787" s="99"/>
      <c r="N787" s="43">
        <f t="shared" si="12"/>
        <v>0</v>
      </c>
    </row>
    <row r="788" spans="2:14" ht="1.5" customHeight="1">
      <c r="B788" s="57"/>
      <c r="C788" s="60"/>
      <c r="D788" s="60"/>
      <c r="E788" s="60"/>
      <c r="F788" s="60"/>
      <c r="G788" s="60"/>
      <c r="J788" s="99"/>
      <c r="K788" s="99"/>
      <c r="L788" s="99"/>
      <c r="M788" s="99"/>
      <c r="N788" s="43">
        <f t="shared" si="12"/>
        <v>0</v>
      </c>
    </row>
    <row r="789" spans="2:14" ht="1.5" customHeight="1">
      <c r="B789" s="57"/>
      <c r="C789" s="60"/>
      <c r="D789" s="60"/>
      <c r="E789" s="60"/>
      <c r="F789" s="60"/>
      <c r="G789" s="60"/>
      <c r="J789" s="99"/>
      <c r="K789" s="99"/>
      <c r="L789" s="99"/>
      <c r="M789" s="99"/>
      <c r="N789" s="43">
        <f t="shared" si="12"/>
        <v>0</v>
      </c>
    </row>
    <row r="790" spans="2:14" ht="1.5" customHeight="1">
      <c r="B790" s="57"/>
      <c r="C790" s="60"/>
      <c r="D790" s="60"/>
      <c r="E790" s="60"/>
      <c r="F790" s="60"/>
      <c r="G790" s="60"/>
      <c r="J790" s="99"/>
      <c r="K790" s="99"/>
      <c r="L790" s="99"/>
      <c r="M790" s="99"/>
      <c r="N790" s="43">
        <f t="shared" si="12"/>
        <v>0</v>
      </c>
    </row>
    <row r="791" spans="2:14" ht="1.5" customHeight="1">
      <c r="B791" s="57"/>
      <c r="C791" s="60"/>
      <c r="D791" s="60"/>
      <c r="E791" s="60"/>
      <c r="F791" s="60"/>
      <c r="G791" s="60"/>
      <c r="J791" s="99"/>
      <c r="K791" s="99"/>
      <c r="L791" s="99"/>
      <c r="M791" s="99"/>
      <c r="N791" s="43">
        <f t="shared" si="12"/>
        <v>0</v>
      </c>
    </row>
    <row r="792" spans="2:14" ht="1.5" customHeight="1">
      <c r="B792" s="57"/>
      <c r="C792" s="60"/>
      <c r="D792" s="60"/>
      <c r="E792" s="60"/>
      <c r="F792" s="60"/>
      <c r="G792" s="60"/>
      <c r="J792" s="99"/>
      <c r="K792" s="99"/>
      <c r="L792" s="99"/>
      <c r="M792" s="99"/>
      <c r="N792" s="43">
        <f t="shared" si="12"/>
        <v>0</v>
      </c>
    </row>
    <row r="793" spans="2:14" ht="1.5" customHeight="1">
      <c r="B793" s="57"/>
      <c r="C793" s="60"/>
      <c r="D793" s="60"/>
      <c r="E793" s="60"/>
      <c r="F793" s="60"/>
      <c r="G793" s="60"/>
      <c r="J793" s="99"/>
      <c r="K793" s="99"/>
      <c r="L793" s="99"/>
      <c r="M793" s="99"/>
      <c r="N793" s="43">
        <f t="shared" si="12"/>
        <v>0</v>
      </c>
    </row>
    <row r="794" spans="2:14" ht="1.5" customHeight="1">
      <c r="B794" s="57"/>
      <c r="C794" s="60"/>
      <c r="D794" s="60"/>
      <c r="E794" s="60"/>
      <c r="F794" s="60"/>
      <c r="G794" s="60"/>
      <c r="J794" s="99"/>
      <c r="K794" s="99"/>
      <c r="L794" s="99"/>
      <c r="M794" s="99"/>
      <c r="N794" s="43">
        <f t="shared" si="12"/>
        <v>0</v>
      </c>
    </row>
    <row r="795" spans="2:14" ht="1.5" customHeight="1">
      <c r="B795" s="57"/>
      <c r="C795" s="60"/>
      <c r="D795" s="60"/>
      <c r="E795" s="60"/>
      <c r="F795" s="60"/>
      <c r="G795" s="60"/>
      <c r="J795" s="99"/>
      <c r="K795" s="99"/>
      <c r="L795" s="99"/>
      <c r="M795" s="99"/>
      <c r="N795" s="43">
        <f t="shared" si="12"/>
        <v>0</v>
      </c>
    </row>
    <row r="796" spans="2:14" ht="1.5" customHeight="1">
      <c r="B796" s="57"/>
      <c r="C796" s="60"/>
      <c r="D796" s="60"/>
      <c r="E796" s="60"/>
      <c r="F796" s="60"/>
      <c r="G796" s="60"/>
      <c r="J796" s="99"/>
      <c r="K796" s="99"/>
      <c r="L796" s="99"/>
      <c r="M796" s="99"/>
      <c r="N796" s="43">
        <f t="shared" si="12"/>
        <v>0</v>
      </c>
    </row>
    <row r="797" spans="2:14" ht="1.5" customHeight="1">
      <c r="B797" s="57"/>
      <c r="C797" s="60"/>
      <c r="D797" s="60"/>
      <c r="E797" s="60"/>
      <c r="F797" s="60"/>
      <c r="G797" s="60"/>
      <c r="J797" s="99"/>
      <c r="K797" s="99"/>
      <c r="L797" s="99"/>
      <c r="M797" s="99"/>
      <c r="N797" s="43">
        <f t="shared" si="12"/>
        <v>0</v>
      </c>
    </row>
    <row r="798" spans="2:14" ht="1.5" customHeight="1">
      <c r="B798" s="57"/>
      <c r="C798" s="60"/>
      <c r="D798" s="60"/>
      <c r="E798" s="60"/>
      <c r="F798" s="60"/>
      <c r="G798" s="60"/>
      <c r="J798" s="99"/>
      <c r="K798" s="99"/>
      <c r="L798" s="99"/>
      <c r="M798" s="99"/>
      <c r="N798" s="43">
        <f t="shared" si="12"/>
        <v>0</v>
      </c>
    </row>
    <row r="799" spans="2:14" ht="1.5" customHeight="1">
      <c r="B799" s="57"/>
      <c r="C799" s="60"/>
      <c r="D799" s="60"/>
      <c r="E799" s="60"/>
      <c r="F799" s="60"/>
      <c r="G799" s="60"/>
      <c r="J799" s="99"/>
      <c r="K799" s="99"/>
      <c r="L799" s="99"/>
      <c r="M799" s="99"/>
      <c r="N799" s="43">
        <f t="shared" si="12"/>
        <v>0</v>
      </c>
    </row>
    <row r="800" spans="2:14" ht="1.5" customHeight="1">
      <c r="B800" s="57"/>
      <c r="C800" s="60"/>
      <c r="D800" s="60"/>
      <c r="E800" s="60"/>
      <c r="F800" s="60"/>
      <c r="G800" s="60"/>
      <c r="J800" s="99"/>
      <c r="K800" s="99"/>
      <c r="L800" s="99"/>
      <c r="M800" s="99"/>
      <c r="N800" s="43">
        <f t="shared" si="12"/>
        <v>0</v>
      </c>
    </row>
    <row r="801" spans="2:14" ht="1.5" customHeight="1">
      <c r="B801" s="57"/>
      <c r="C801" s="60"/>
      <c r="D801" s="60"/>
      <c r="E801" s="60"/>
      <c r="F801" s="60"/>
      <c r="G801" s="60"/>
      <c r="J801" s="99"/>
      <c r="K801" s="99"/>
      <c r="L801" s="99"/>
      <c r="M801" s="99"/>
      <c r="N801" s="43">
        <f t="shared" si="12"/>
        <v>0</v>
      </c>
    </row>
    <row r="802" spans="2:14" ht="1.5" customHeight="1">
      <c r="B802" s="57"/>
      <c r="C802" s="60"/>
      <c r="D802" s="60"/>
      <c r="E802" s="60"/>
      <c r="F802" s="60"/>
      <c r="G802" s="60"/>
      <c r="J802" s="99"/>
      <c r="K802" s="99"/>
      <c r="L802" s="99"/>
      <c r="M802" s="99"/>
      <c r="N802" s="43">
        <f t="shared" si="12"/>
        <v>0</v>
      </c>
    </row>
    <row r="803" spans="2:14" ht="1.5" customHeight="1">
      <c r="B803" s="57"/>
      <c r="C803" s="60"/>
      <c r="D803" s="60"/>
      <c r="E803" s="60"/>
      <c r="F803" s="60"/>
      <c r="G803" s="60"/>
      <c r="J803" s="99"/>
      <c r="K803" s="99"/>
      <c r="L803" s="99"/>
      <c r="M803" s="99"/>
      <c r="N803" s="43">
        <f t="shared" si="12"/>
        <v>0</v>
      </c>
    </row>
    <row r="804" spans="2:14" ht="1.5" customHeight="1">
      <c r="B804" s="57"/>
      <c r="C804" s="60"/>
      <c r="D804" s="60"/>
      <c r="E804" s="60"/>
      <c r="F804" s="60"/>
      <c r="G804" s="60"/>
      <c r="J804" s="99"/>
      <c r="K804" s="99"/>
      <c r="L804" s="99"/>
      <c r="M804" s="99"/>
      <c r="N804" s="43">
        <f t="shared" si="12"/>
        <v>0</v>
      </c>
    </row>
    <row r="805" spans="2:14" ht="1.5" customHeight="1">
      <c r="B805" s="57"/>
      <c r="C805" s="60"/>
      <c r="D805" s="60"/>
      <c r="E805" s="60"/>
      <c r="F805" s="60"/>
      <c r="G805" s="60"/>
      <c r="J805" s="99"/>
      <c r="K805" s="99"/>
      <c r="L805" s="99"/>
      <c r="M805" s="99"/>
      <c r="N805" s="43">
        <f t="shared" si="12"/>
        <v>0</v>
      </c>
    </row>
    <row r="806" spans="2:14" ht="1.5" customHeight="1">
      <c r="B806" s="57"/>
      <c r="C806" s="60"/>
      <c r="D806" s="60"/>
      <c r="E806" s="60"/>
      <c r="F806" s="60"/>
      <c r="G806" s="60"/>
      <c r="J806" s="99"/>
      <c r="K806" s="99"/>
      <c r="L806" s="99"/>
      <c r="M806" s="99"/>
      <c r="N806" s="43">
        <f t="shared" si="12"/>
        <v>0</v>
      </c>
    </row>
    <row r="807" spans="2:14" ht="1.5" customHeight="1">
      <c r="B807" s="57"/>
      <c r="C807" s="60"/>
      <c r="D807" s="60"/>
      <c r="E807" s="60"/>
      <c r="F807" s="60"/>
      <c r="G807" s="60"/>
      <c r="J807" s="99"/>
      <c r="K807" s="99"/>
      <c r="L807" s="99"/>
      <c r="M807" s="99"/>
      <c r="N807" s="43">
        <f t="shared" si="12"/>
        <v>0</v>
      </c>
    </row>
    <row r="808" spans="2:14" ht="1.5" customHeight="1">
      <c r="B808" s="57"/>
      <c r="C808" s="60"/>
      <c r="D808" s="60"/>
      <c r="E808" s="60"/>
      <c r="F808" s="60"/>
      <c r="G808" s="60"/>
      <c r="J808" s="99"/>
      <c r="K808" s="99"/>
      <c r="L808" s="99"/>
      <c r="M808" s="99"/>
      <c r="N808" s="43">
        <f t="shared" si="12"/>
        <v>0</v>
      </c>
    </row>
    <row r="809" spans="2:14" ht="1.5" customHeight="1">
      <c r="B809" s="57"/>
      <c r="C809" s="60"/>
      <c r="D809" s="60"/>
      <c r="E809" s="60"/>
      <c r="F809" s="60"/>
      <c r="G809" s="60"/>
      <c r="J809" s="99"/>
      <c r="K809" s="99"/>
      <c r="L809" s="99"/>
      <c r="M809" s="99"/>
      <c r="N809" s="43">
        <f t="shared" si="12"/>
        <v>0</v>
      </c>
    </row>
    <row r="810" spans="2:14" ht="1.5" customHeight="1">
      <c r="B810" s="57"/>
      <c r="C810" s="60"/>
      <c r="D810" s="60"/>
      <c r="E810" s="60"/>
      <c r="F810" s="60"/>
      <c r="G810" s="60"/>
      <c r="J810" s="99"/>
      <c r="K810" s="99"/>
      <c r="L810" s="99"/>
      <c r="M810" s="99"/>
      <c r="N810" s="43">
        <f t="shared" si="12"/>
        <v>0</v>
      </c>
    </row>
    <row r="811" spans="2:14" ht="1.5" customHeight="1">
      <c r="B811" s="57"/>
      <c r="C811" s="60"/>
      <c r="D811" s="60"/>
      <c r="E811" s="60"/>
      <c r="F811" s="60"/>
      <c r="G811" s="60"/>
      <c r="J811" s="99"/>
      <c r="K811" s="99"/>
      <c r="L811" s="99"/>
      <c r="M811" s="99"/>
      <c r="N811" s="43">
        <f t="shared" si="12"/>
        <v>0</v>
      </c>
    </row>
    <row r="812" spans="2:14" ht="12.6" customHeight="1">
      <c r="B812" s="57"/>
      <c r="C812" s="60"/>
      <c r="D812" s="60"/>
      <c r="E812" s="60"/>
      <c r="F812" s="60"/>
      <c r="G812" s="60"/>
      <c r="J812" s="99"/>
      <c r="K812" s="99"/>
      <c r="L812" s="99"/>
      <c r="M812" s="99"/>
      <c r="N812" s="43"/>
    </row>
    <row r="813" spans="2:14" ht="12.6" customHeight="1"/>
  </sheetData>
  <mergeCells count="1641">
    <mergeCell ref="J811:K811"/>
    <mergeCell ref="L811:M811"/>
    <mergeCell ref="J812:K812"/>
    <mergeCell ref="L812:M812"/>
    <mergeCell ref="J808:K808"/>
    <mergeCell ref="L808:M808"/>
    <mergeCell ref="J809:K809"/>
    <mergeCell ref="L809:M809"/>
    <mergeCell ref="J810:K810"/>
    <mergeCell ref="L810:M810"/>
    <mergeCell ref="J805:K805"/>
    <mergeCell ref="L805:M805"/>
    <mergeCell ref="J806:K806"/>
    <mergeCell ref="L806:M806"/>
    <mergeCell ref="J807:K807"/>
    <mergeCell ref="L807:M807"/>
    <mergeCell ref="J802:K802"/>
    <mergeCell ref="L802:M802"/>
    <mergeCell ref="J803:K803"/>
    <mergeCell ref="L803:M803"/>
    <mergeCell ref="J804:K804"/>
    <mergeCell ref="L804:M804"/>
    <mergeCell ref="J799:K799"/>
    <mergeCell ref="L799:M799"/>
    <mergeCell ref="J800:K800"/>
    <mergeCell ref="L800:M800"/>
    <mergeCell ref="J801:K801"/>
    <mergeCell ref="L801:M801"/>
    <mergeCell ref="J796:K796"/>
    <mergeCell ref="L796:M796"/>
    <mergeCell ref="J797:K797"/>
    <mergeCell ref="L797:M797"/>
    <mergeCell ref="J798:K798"/>
    <mergeCell ref="L798:M798"/>
    <mergeCell ref="J793:K793"/>
    <mergeCell ref="L793:M793"/>
    <mergeCell ref="J794:K794"/>
    <mergeCell ref="L794:M794"/>
    <mergeCell ref="J795:K795"/>
    <mergeCell ref="L795:M795"/>
    <mergeCell ref="J790:K790"/>
    <mergeCell ref="L790:M790"/>
    <mergeCell ref="J791:K791"/>
    <mergeCell ref="L791:M791"/>
    <mergeCell ref="J792:K792"/>
    <mergeCell ref="L792:M792"/>
    <mergeCell ref="J787:K787"/>
    <mergeCell ref="L787:M787"/>
    <mergeCell ref="J788:K788"/>
    <mergeCell ref="L788:M788"/>
    <mergeCell ref="J789:K789"/>
    <mergeCell ref="L789:M789"/>
    <mergeCell ref="J784:K784"/>
    <mergeCell ref="L784:M784"/>
    <mergeCell ref="J785:K785"/>
    <mergeCell ref="L785:M785"/>
    <mergeCell ref="J786:K786"/>
    <mergeCell ref="L786:M786"/>
    <mergeCell ref="J781:K781"/>
    <mergeCell ref="L781:M781"/>
    <mergeCell ref="J782:K782"/>
    <mergeCell ref="L782:M782"/>
    <mergeCell ref="J783:K783"/>
    <mergeCell ref="L783:M783"/>
    <mergeCell ref="J778:K778"/>
    <mergeCell ref="L778:M778"/>
    <mergeCell ref="J779:K779"/>
    <mergeCell ref="L779:M779"/>
    <mergeCell ref="J780:K780"/>
    <mergeCell ref="L780:M780"/>
    <mergeCell ref="J775:K775"/>
    <mergeCell ref="L775:M775"/>
    <mergeCell ref="J776:K776"/>
    <mergeCell ref="L776:M776"/>
    <mergeCell ref="J777:K777"/>
    <mergeCell ref="L777:M777"/>
    <mergeCell ref="J772:K772"/>
    <mergeCell ref="L772:M772"/>
    <mergeCell ref="J773:K773"/>
    <mergeCell ref="L773:M773"/>
    <mergeCell ref="J774:K774"/>
    <mergeCell ref="L774:M774"/>
    <mergeCell ref="J769:K769"/>
    <mergeCell ref="L769:M769"/>
    <mergeCell ref="J770:K770"/>
    <mergeCell ref="L770:M770"/>
    <mergeCell ref="J771:K771"/>
    <mergeCell ref="L771:M771"/>
    <mergeCell ref="J766:K766"/>
    <mergeCell ref="L766:M766"/>
    <mergeCell ref="J767:K767"/>
    <mergeCell ref="L767:M767"/>
    <mergeCell ref="J768:K768"/>
    <mergeCell ref="L768:M768"/>
    <mergeCell ref="J763:K763"/>
    <mergeCell ref="L763:M763"/>
    <mergeCell ref="J764:K764"/>
    <mergeCell ref="L764:M764"/>
    <mergeCell ref="J765:K765"/>
    <mergeCell ref="L765:M765"/>
    <mergeCell ref="J760:K760"/>
    <mergeCell ref="L760:M760"/>
    <mergeCell ref="J761:K761"/>
    <mergeCell ref="L761:M761"/>
    <mergeCell ref="J762:K762"/>
    <mergeCell ref="L762:M762"/>
    <mergeCell ref="J757:K757"/>
    <mergeCell ref="L757:M757"/>
    <mergeCell ref="J758:K758"/>
    <mergeCell ref="L758:M758"/>
    <mergeCell ref="J759:K759"/>
    <mergeCell ref="L759:M759"/>
    <mergeCell ref="J754:K754"/>
    <mergeCell ref="L754:M754"/>
    <mergeCell ref="J755:K755"/>
    <mergeCell ref="L755:M755"/>
    <mergeCell ref="J756:K756"/>
    <mergeCell ref="L756:M756"/>
    <mergeCell ref="J751:K751"/>
    <mergeCell ref="L751:M751"/>
    <mergeCell ref="J752:K752"/>
    <mergeCell ref="L752:M752"/>
    <mergeCell ref="J753:K753"/>
    <mergeCell ref="L753:M753"/>
    <mergeCell ref="J748:K748"/>
    <mergeCell ref="L748:M748"/>
    <mergeCell ref="J749:K749"/>
    <mergeCell ref="L749:M749"/>
    <mergeCell ref="J750:K750"/>
    <mergeCell ref="L750:M750"/>
    <mergeCell ref="J745:K745"/>
    <mergeCell ref="L745:M745"/>
    <mergeCell ref="J746:K746"/>
    <mergeCell ref="L746:M746"/>
    <mergeCell ref="J747:K747"/>
    <mergeCell ref="L747:M747"/>
    <mergeCell ref="J742:K742"/>
    <mergeCell ref="L742:M742"/>
    <mergeCell ref="J743:K743"/>
    <mergeCell ref="L743:M743"/>
    <mergeCell ref="J744:K744"/>
    <mergeCell ref="L744:M744"/>
    <mergeCell ref="J739:K739"/>
    <mergeCell ref="L739:M739"/>
    <mergeCell ref="J740:K740"/>
    <mergeCell ref="L740:M740"/>
    <mergeCell ref="J741:K741"/>
    <mergeCell ref="L741:M741"/>
    <mergeCell ref="J736:K736"/>
    <mergeCell ref="L736:M736"/>
    <mergeCell ref="J737:K737"/>
    <mergeCell ref="L737:M737"/>
    <mergeCell ref="J738:K738"/>
    <mergeCell ref="L738:M738"/>
    <mergeCell ref="J733:K733"/>
    <mergeCell ref="L733:M733"/>
    <mergeCell ref="J734:K734"/>
    <mergeCell ref="L734:M734"/>
    <mergeCell ref="J735:K735"/>
    <mergeCell ref="L735:M735"/>
    <mergeCell ref="J730:K730"/>
    <mergeCell ref="L730:M730"/>
    <mergeCell ref="J731:K731"/>
    <mergeCell ref="L731:M731"/>
    <mergeCell ref="J732:K732"/>
    <mergeCell ref="L732:M732"/>
    <mergeCell ref="J727:K727"/>
    <mergeCell ref="L727:M727"/>
    <mergeCell ref="J728:K728"/>
    <mergeCell ref="L728:M728"/>
    <mergeCell ref="J729:K729"/>
    <mergeCell ref="L729:M729"/>
    <mergeCell ref="J724:K724"/>
    <mergeCell ref="L724:M724"/>
    <mergeCell ref="J725:K725"/>
    <mergeCell ref="L725:M725"/>
    <mergeCell ref="J726:K726"/>
    <mergeCell ref="L726:M726"/>
    <mergeCell ref="J721:K721"/>
    <mergeCell ref="L721:M721"/>
    <mergeCell ref="J722:K722"/>
    <mergeCell ref="L722:M722"/>
    <mergeCell ref="J723:K723"/>
    <mergeCell ref="L723:M723"/>
    <mergeCell ref="J718:K718"/>
    <mergeCell ref="L718:M718"/>
    <mergeCell ref="J719:K719"/>
    <mergeCell ref="L719:M719"/>
    <mergeCell ref="J720:K720"/>
    <mergeCell ref="L720:M720"/>
    <mergeCell ref="J715:K715"/>
    <mergeCell ref="L715:M715"/>
    <mergeCell ref="J716:K716"/>
    <mergeCell ref="L716:M716"/>
    <mergeCell ref="J717:K717"/>
    <mergeCell ref="L717:M717"/>
    <mergeCell ref="J712:K712"/>
    <mergeCell ref="L712:M712"/>
    <mergeCell ref="J713:K713"/>
    <mergeCell ref="L713:M713"/>
    <mergeCell ref="J714:K714"/>
    <mergeCell ref="L714:M714"/>
    <mergeCell ref="J709:K709"/>
    <mergeCell ref="L709:M709"/>
    <mergeCell ref="J710:K710"/>
    <mergeCell ref="L710:M710"/>
    <mergeCell ref="J711:K711"/>
    <mergeCell ref="L711:M711"/>
    <mergeCell ref="J706:K706"/>
    <mergeCell ref="L706:M706"/>
    <mergeCell ref="J707:K707"/>
    <mergeCell ref="L707:M707"/>
    <mergeCell ref="J708:K708"/>
    <mergeCell ref="L708:M708"/>
    <mergeCell ref="J703:K703"/>
    <mergeCell ref="L703:M703"/>
    <mergeCell ref="J704:K704"/>
    <mergeCell ref="L704:M704"/>
    <mergeCell ref="J705:K705"/>
    <mergeCell ref="L705:M705"/>
    <mergeCell ref="J700:K700"/>
    <mergeCell ref="L700:M700"/>
    <mergeCell ref="J701:K701"/>
    <mergeCell ref="L701:M701"/>
    <mergeCell ref="J702:K702"/>
    <mergeCell ref="L702:M702"/>
    <mergeCell ref="J697:K697"/>
    <mergeCell ref="L697:M697"/>
    <mergeCell ref="J698:K698"/>
    <mergeCell ref="L698:M698"/>
    <mergeCell ref="J699:K699"/>
    <mergeCell ref="L699:M699"/>
    <mergeCell ref="J694:K694"/>
    <mergeCell ref="L694:M694"/>
    <mergeCell ref="J695:K695"/>
    <mergeCell ref="L695:M695"/>
    <mergeCell ref="J696:K696"/>
    <mergeCell ref="L696:M696"/>
    <mergeCell ref="J691:K691"/>
    <mergeCell ref="L691:M691"/>
    <mergeCell ref="J692:K692"/>
    <mergeCell ref="L692:M692"/>
    <mergeCell ref="J693:K693"/>
    <mergeCell ref="L693:M693"/>
    <mergeCell ref="J688:K688"/>
    <mergeCell ref="L688:M688"/>
    <mergeCell ref="J689:K689"/>
    <mergeCell ref="L689:M689"/>
    <mergeCell ref="J690:K690"/>
    <mergeCell ref="L690:M690"/>
    <mergeCell ref="J685:K685"/>
    <mergeCell ref="L685:M685"/>
    <mergeCell ref="J686:K686"/>
    <mergeCell ref="L686:M686"/>
    <mergeCell ref="J687:K687"/>
    <mergeCell ref="L687:M687"/>
    <mergeCell ref="J682:K682"/>
    <mergeCell ref="L682:M682"/>
    <mergeCell ref="J683:K683"/>
    <mergeCell ref="L683:M683"/>
    <mergeCell ref="J684:K684"/>
    <mergeCell ref="L684:M684"/>
    <mergeCell ref="J679:K679"/>
    <mergeCell ref="L679:M679"/>
    <mergeCell ref="J680:K680"/>
    <mergeCell ref="L680:M680"/>
    <mergeCell ref="J681:K681"/>
    <mergeCell ref="L681:M681"/>
    <mergeCell ref="J676:K676"/>
    <mergeCell ref="L676:M676"/>
    <mergeCell ref="J677:K677"/>
    <mergeCell ref="L677:M677"/>
    <mergeCell ref="J678:K678"/>
    <mergeCell ref="L678:M678"/>
    <mergeCell ref="J673:K673"/>
    <mergeCell ref="L673:M673"/>
    <mergeCell ref="J674:K674"/>
    <mergeCell ref="L674:M674"/>
    <mergeCell ref="J675:K675"/>
    <mergeCell ref="L675:M675"/>
    <mergeCell ref="J670:K670"/>
    <mergeCell ref="L670:M670"/>
    <mergeCell ref="J671:K671"/>
    <mergeCell ref="L671:M671"/>
    <mergeCell ref="J672:K672"/>
    <mergeCell ref="L672:M672"/>
    <mergeCell ref="J667:K667"/>
    <mergeCell ref="L667:M667"/>
    <mergeCell ref="J668:K668"/>
    <mergeCell ref="L668:M668"/>
    <mergeCell ref="J669:K669"/>
    <mergeCell ref="L669:M669"/>
    <mergeCell ref="J664:K664"/>
    <mergeCell ref="L664:M664"/>
    <mergeCell ref="J665:K665"/>
    <mergeCell ref="L665:M665"/>
    <mergeCell ref="J666:K666"/>
    <mergeCell ref="L666:M666"/>
    <mergeCell ref="J661:K661"/>
    <mergeCell ref="L661:M661"/>
    <mergeCell ref="J662:K662"/>
    <mergeCell ref="L662:M662"/>
    <mergeCell ref="J663:K663"/>
    <mergeCell ref="L663:M663"/>
    <mergeCell ref="J658:K658"/>
    <mergeCell ref="L658:M658"/>
    <mergeCell ref="J659:K659"/>
    <mergeCell ref="L659:M659"/>
    <mergeCell ref="J660:K660"/>
    <mergeCell ref="L660:M660"/>
    <mergeCell ref="J655:K655"/>
    <mergeCell ref="L655:M655"/>
    <mergeCell ref="J656:K656"/>
    <mergeCell ref="L656:M656"/>
    <mergeCell ref="J657:K657"/>
    <mergeCell ref="L657:M657"/>
    <mergeCell ref="J652:K652"/>
    <mergeCell ref="L652:M652"/>
    <mergeCell ref="J653:K653"/>
    <mergeCell ref="L653:M653"/>
    <mergeCell ref="J654:K654"/>
    <mergeCell ref="L654:M654"/>
    <mergeCell ref="J649:K649"/>
    <mergeCell ref="L649:M649"/>
    <mergeCell ref="J650:K650"/>
    <mergeCell ref="L650:M650"/>
    <mergeCell ref="J651:K651"/>
    <mergeCell ref="L651:M651"/>
    <mergeCell ref="J646:K646"/>
    <mergeCell ref="L646:M646"/>
    <mergeCell ref="J647:K647"/>
    <mergeCell ref="L647:M647"/>
    <mergeCell ref="J648:K648"/>
    <mergeCell ref="L648:M648"/>
    <mergeCell ref="J643:K643"/>
    <mergeCell ref="L643:M643"/>
    <mergeCell ref="J644:K644"/>
    <mergeCell ref="L644:M644"/>
    <mergeCell ref="J645:K645"/>
    <mergeCell ref="L645:M645"/>
    <mergeCell ref="J640:K640"/>
    <mergeCell ref="L640:M640"/>
    <mergeCell ref="J641:K641"/>
    <mergeCell ref="L641:M641"/>
    <mergeCell ref="J642:K642"/>
    <mergeCell ref="L642:M642"/>
    <mergeCell ref="J637:K637"/>
    <mergeCell ref="L637:M637"/>
    <mergeCell ref="J638:K638"/>
    <mergeCell ref="L638:M638"/>
    <mergeCell ref="J639:K639"/>
    <mergeCell ref="L639:M639"/>
    <mergeCell ref="J634:K634"/>
    <mergeCell ref="L634:M634"/>
    <mergeCell ref="J635:K635"/>
    <mergeCell ref="L635:M635"/>
    <mergeCell ref="J636:K636"/>
    <mergeCell ref="L636:M636"/>
    <mergeCell ref="J631:K631"/>
    <mergeCell ref="L631:M631"/>
    <mergeCell ref="J632:K632"/>
    <mergeCell ref="L632:M632"/>
    <mergeCell ref="J633:K633"/>
    <mergeCell ref="L633:M633"/>
    <mergeCell ref="J628:K628"/>
    <mergeCell ref="L628:M628"/>
    <mergeCell ref="J629:K629"/>
    <mergeCell ref="L629:M629"/>
    <mergeCell ref="J630:K630"/>
    <mergeCell ref="L630:M630"/>
    <mergeCell ref="J625:K625"/>
    <mergeCell ref="L625:M625"/>
    <mergeCell ref="J626:K626"/>
    <mergeCell ref="L626:M626"/>
    <mergeCell ref="J627:K627"/>
    <mergeCell ref="L627:M627"/>
    <mergeCell ref="J622:K622"/>
    <mergeCell ref="L622:M622"/>
    <mergeCell ref="J623:K623"/>
    <mergeCell ref="L623:M623"/>
    <mergeCell ref="J624:K624"/>
    <mergeCell ref="L624:M624"/>
    <mergeCell ref="J619:K619"/>
    <mergeCell ref="L619:M619"/>
    <mergeCell ref="J620:K620"/>
    <mergeCell ref="L620:M620"/>
    <mergeCell ref="J621:K621"/>
    <mergeCell ref="L621:M621"/>
    <mergeCell ref="J616:K616"/>
    <mergeCell ref="L616:M616"/>
    <mergeCell ref="J617:K617"/>
    <mergeCell ref="L617:M617"/>
    <mergeCell ref="J618:K618"/>
    <mergeCell ref="L618:M618"/>
    <mergeCell ref="J613:K613"/>
    <mergeCell ref="L613:M613"/>
    <mergeCell ref="J614:K614"/>
    <mergeCell ref="L614:M614"/>
    <mergeCell ref="J615:K615"/>
    <mergeCell ref="L615:M615"/>
    <mergeCell ref="J610:K610"/>
    <mergeCell ref="L610:M610"/>
    <mergeCell ref="J611:K611"/>
    <mergeCell ref="L611:M611"/>
    <mergeCell ref="J612:K612"/>
    <mergeCell ref="L612:M612"/>
    <mergeCell ref="J607:K607"/>
    <mergeCell ref="L607:M607"/>
    <mergeCell ref="J608:K608"/>
    <mergeCell ref="L608:M608"/>
    <mergeCell ref="J609:K609"/>
    <mergeCell ref="L609:M609"/>
    <mergeCell ref="J604:K604"/>
    <mergeCell ref="L604:M604"/>
    <mergeCell ref="J605:K605"/>
    <mergeCell ref="L605:M605"/>
    <mergeCell ref="J606:K606"/>
    <mergeCell ref="L606:M606"/>
    <mergeCell ref="J601:K601"/>
    <mergeCell ref="L601:M601"/>
    <mergeCell ref="J602:K602"/>
    <mergeCell ref="L602:M602"/>
    <mergeCell ref="J603:K603"/>
    <mergeCell ref="L603:M603"/>
    <mergeCell ref="J598:K598"/>
    <mergeCell ref="L598:M598"/>
    <mergeCell ref="J599:K599"/>
    <mergeCell ref="L599:M599"/>
    <mergeCell ref="J600:K600"/>
    <mergeCell ref="L600:M600"/>
    <mergeCell ref="J595:K595"/>
    <mergeCell ref="L595:M595"/>
    <mergeCell ref="J596:K596"/>
    <mergeCell ref="L596:M596"/>
    <mergeCell ref="J597:K597"/>
    <mergeCell ref="L597:M597"/>
    <mergeCell ref="J592:K592"/>
    <mergeCell ref="L592:M592"/>
    <mergeCell ref="J593:K593"/>
    <mergeCell ref="L593:M593"/>
    <mergeCell ref="J594:K594"/>
    <mergeCell ref="L594:M594"/>
    <mergeCell ref="J589:K589"/>
    <mergeCell ref="L589:M589"/>
    <mergeCell ref="J590:K590"/>
    <mergeCell ref="L590:M590"/>
    <mergeCell ref="J591:K591"/>
    <mergeCell ref="L591:M591"/>
    <mergeCell ref="J586:K586"/>
    <mergeCell ref="L586:M586"/>
    <mergeCell ref="J587:K587"/>
    <mergeCell ref="L587:M587"/>
    <mergeCell ref="J588:K588"/>
    <mergeCell ref="L588:M588"/>
    <mergeCell ref="J583:K583"/>
    <mergeCell ref="L583:M583"/>
    <mergeCell ref="J584:K584"/>
    <mergeCell ref="L584:M584"/>
    <mergeCell ref="J585:K585"/>
    <mergeCell ref="L585:M585"/>
    <mergeCell ref="J580:K580"/>
    <mergeCell ref="L580:M580"/>
    <mergeCell ref="J581:K581"/>
    <mergeCell ref="L581:M581"/>
    <mergeCell ref="J582:K582"/>
    <mergeCell ref="L582:M582"/>
    <mergeCell ref="J577:K577"/>
    <mergeCell ref="L577:M577"/>
    <mergeCell ref="J578:K578"/>
    <mergeCell ref="L578:M578"/>
    <mergeCell ref="J579:K579"/>
    <mergeCell ref="L579:M579"/>
    <mergeCell ref="J574:K574"/>
    <mergeCell ref="L574:M574"/>
    <mergeCell ref="J575:K575"/>
    <mergeCell ref="L575:M575"/>
    <mergeCell ref="J576:K576"/>
    <mergeCell ref="L576:M576"/>
    <mergeCell ref="J571:K571"/>
    <mergeCell ref="L571:M571"/>
    <mergeCell ref="J572:K572"/>
    <mergeCell ref="L572:M572"/>
    <mergeCell ref="J573:K573"/>
    <mergeCell ref="L573:M573"/>
    <mergeCell ref="J568:K568"/>
    <mergeCell ref="L568:M568"/>
    <mergeCell ref="J569:K569"/>
    <mergeCell ref="L569:M569"/>
    <mergeCell ref="J570:K570"/>
    <mergeCell ref="L570:M570"/>
    <mergeCell ref="J565:K565"/>
    <mergeCell ref="L565:M565"/>
    <mergeCell ref="J566:K566"/>
    <mergeCell ref="L566:M566"/>
    <mergeCell ref="J567:K567"/>
    <mergeCell ref="L567:M567"/>
    <mergeCell ref="J562:K562"/>
    <mergeCell ref="L562:M562"/>
    <mergeCell ref="J563:K563"/>
    <mergeCell ref="L563:M563"/>
    <mergeCell ref="J564:K564"/>
    <mergeCell ref="L564:M564"/>
    <mergeCell ref="J559:K559"/>
    <mergeCell ref="L559:M559"/>
    <mergeCell ref="J560:K560"/>
    <mergeCell ref="L560:M560"/>
    <mergeCell ref="J561:K561"/>
    <mergeCell ref="L561:M561"/>
    <mergeCell ref="J556:K556"/>
    <mergeCell ref="L556:M556"/>
    <mergeCell ref="J557:K557"/>
    <mergeCell ref="L557:M557"/>
    <mergeCell ref="J558:K558"/>
    <mergeCell ref="L558:M558"/>
    <mergeCell ref="J553:K553"/>
    <mergeCell ref="L553:M553"/>
    <mergeCell ref="J554:K554"/>
    <mergeCell ref="L554:M554"/>
    <mergeCell ref="J555:K555"/>
    <mergeCell ref="L555:M555"/>
    <mergeCell ref="J550:K550"/>
    <mergeCell ref="L550:M550"/>
    <mergeCell ref="J551:K551"/>
    <mergeCell ref="L551:M551"/>
    <mergeCell ref="J552:K552"/>
    <mergeCell ref="L552:M552"/>
    <mergeCell ref="J547:K547"/>
    <mergeCell ref="L547:M547"/>
    <mergeCell ref="J548:K548"/>
    <mergeCell ref="L548:M548"/>
    <mergeCell ref="J549:K549"/>
    <mergeCell ref="L549:M549"/>
    <mergeCell ref="J544:K544"/>
    <mergeCell ref="L544:M544"/>
    <mergeCell ref="J545:K545"/>
    <mergeCell ref="L545:M545"/>
    <mergeCell ref="J546:K546"/>
    <mergeCell ref="L546:M546"/>
    <mergeCell ref="J541:K541"/>
    <mergeCell ref="L541:M541"/>
    <mergeCell ref="J542:K542"/>
    <mergeCell ref="L542:M542"/>
    <mergeCell ref="J543:K543"/>
    <mergeCell ref="L543:M543"/>
    <mergeCell ref="J538:K538"/>
    <mergeCell ref="L538:M538"/>
    <mergeCell ref="J539:K539"/>
    <mergeCell ref="L539:M539"/>
    <mergeCell ref="J540:K540"/>
    <mergeCell ref="L540:M540"/>
    <mergeCell ref="J535:K535"/>
    <mergeCell ref="L535:M535"/>
    <mergeCell ref="J536:K536"/>
    <mergeCell ref="L536:M536"/>
    <mergeCell ref="J537:K537"/>
    <mergeCell ref="L537:M537"/>
    <mergeCell ref="J532:K532"/>
    <mergeCell ref="L532:M532"/>
    <mergeCell ref="J533:K533"/>
    <mergeCell ref="L533:M533"/>
    <mergeCell ref="J534:K534"/>
    <mergeCell ref="L534:M534"/>
    <mergeCell ref="J529:K529"/>
    <mergeCell ref="L529:M529"/>
    <mergeCell ref="J530:K530"/>
    <mergeCell ref="L530:M530"/>
    <mergeCell ref="J531:K531"/>
    <mergeCell ref="L531:M531"/>
    <mergeCell ref="J526:K526"/>
    <mergeCell ref="L526:M526"/>
    <mergeCell ref="J527:K527"/>
    <mergeCell ref="L527:M527"/>
    <mergeCell ref="J528:K528"/>
    <mergeCell ref="L528:M528"/>
    <mergeCell ref="J523:K523"/>
    <mergeCell ref="L523:M523"/>
    <mergeCell ref="J524:K524"/>
    <mergeCell ref="L524:M524"/>
    <mergeCell ref="J525:K525"/>
    <mergeCell ref="L525:M525"/>
    <mergeCell ref="J520:K520"/>
    <mergeCell ref="L520:M520"/>
    <mergeCell ref="J521:K521"/>
    <mergeCell ref="L521:M521"/>
    <mergeCell ref="J522:K522"/>
    <mergeCell ref="L522:M522"/>
    <mergeCell ref="J517:K517"/>
    <mergeCell ref="L517:M517"/>
    <mergeCell ref="J518:K518"/>
    <mergeCell ref="L518:M518"/>
    <mergeCell ref="J519:K519"/>
    <mergeCell ref="L519:M519"/>
    <mergeCell ref="J514:K514"/>
    <mergeCell ref="L514:M514"/>
    <mergeCell ref="J515:K515"/>
    <mergeCell ref="L515:M515"/>
    <mergeCell ref="J516:K516"/>
    <mergeCell ref="L516:M516"/>
    <mergeCell ref="J511:K511"/>
    <mergeCell ref="L511:M511"/>
    <mergeCell ref="J512:K512"/>
    <mergeCell ref="L512:M512"/>
    <mergeCell ref="J513:K513"/>
    <mergeCell ref="L513:M513"/>
    <mergeCell ref="J508:K508"/>
    <mergeCell ref="L508:M508"/>
    <mergeCell ref="J509:K509"/>
    <mergeCell ref="L509:M509"/>
    <mergeCell ref="J510:K510"/>
    <mergeCell ref="L510:M510"/>
    <mergeCell ref="J505:K505"/>
    <mergeCell ref="L505:M505"/>
    <mergeCell ref="J506:K506"/>
    <mergeCell ref="L506:M506"/>
    <mergeCell ref="J507:K507"/>
    <mergeCell ref="L507:M507"/>
    <mergeCell ref="J502:K502"/>
    <mergeCell ref="L502:M502"/>
    <mergeCell ref="J503:K503"/>
    <mergeCell ref="L503:M503"/>
    <mergeCell ref="J504:K504"/>
    <mergeCell ref="L504:M504"/>
    <mergeCell ref="J499:K499"/>
    <mergeCell ref="L499:M499"/>
    <mergeCell ref="J500:K500"/>
    <mergeCell ref="L500:M500"/>
    <mergeCell ref="J501:K501"/>
    <mergeCell ref="L501:M501"/>
    <mergeCell ref="J496:K496"/>
    <mergeCell ref="L496:M496"/>
    <mergeCell ref="J497:K497"/>
    <mergeCell ref="L497:M497"/>
    <mergeCell ref="J498:K498"/>
    <mergeCell ref="L498:M498"/>
    <mergeCell ref="J493:K493"/>
    <mergeCell ref="L493:M493"/>
    <mergeCell ref="J494:K494"/>
    <mergeCell ref="L494:M494"/>
    <mergeCell ref="J495:K495"/>
    <mergeCell ref="L495:M495"/>
    <mergeCell ref="J490:K490"/>
    <mergeCell ref="L490:M490"/>
    <mergeCell ref="J491:K491"/>
    <mergeCell ref="L491:M491"/>
    <mergeCell ref="J492:K492"/>
    <mergeCell ref="L492:M492"/>
    <mergeCell ref="J487:K487"/>
    <mergeCell ref="L487:M487"/>
    <mergeCell ref="J488:K488"/>
    <mergeCell ref="L488:M488"/>
    <mergeCell ref="J489:K489"/>
    <mergeCell ref="L489:M489"/>
    <mergeCell ref="J484:K484"/>
    <mergeCell ref="L484:M484"/>
    <mergeCell ref="J485:K485"/>
    <mergeCell ref="L485:M485"/>
    <mergeCell ref="J486:K486"/>
    <mergeCell ref="L486:M486"/>
    <mergeCell ref="J481:K481"/>
    <mergeCell ref="L481:M481"/>
    <mergeCell ref="J482:K482"/>
    <mergeCell ref="L482:M482"/>
    <mergeCell ref="J483:K483"/>
    <mergeCell ref="L483:M483"/>
    <mergeCell ref="J478:K478"/>
    <mergeCell ref="L478:M478"/>
    <mergeCell ref="J479:K479"/>
    <mergeCell ref="L479:M479"/>
    <mergeCell ref="J480:K480"/>
    <mergeCell ref="L480:M480"/>
    <mergeCell ref="J475:K475"/>
    <mergeCell ref="L475:M475"/>
    <mergeCell ref="J476:K476"/>
    <mergeCell ref="L476:M476"/>
    <mergeCell ref="J477:K477"/>
    <mergeCell ref="L477:M477"/>
    <mergeCell ref="J472:K472"/>
    <mergeCell ref="L472:M472"/>
    <mergeCell ref="J473:K473"/>
    <mergeCell ref="L473:M473"/>
    <mergeCell ref="J474:K474"/>
    <mergeCell ref="L474:M474"/>
    <mergeCell ref="J469:K469"/>
    <mergeCell ref="L469:M469"/>
    <mergeCell ref="J470:K470"/>
    <mergeCell ref="L470:M470"/>
    <mergeCell ref="J471:K471"/>
    <mergeCell ref="L471:M471"/>
    <mergeCell ref="J466:K466"/>
    <mergeCell ref="L466:M466"/>
    <mergeCell ref="J467:K467"/>
    <mergeCell ref="L467:M467"/>
    <mergeCell ref="J468:K468"/>
    <mergeCell ref="L468:M468"/>
    <mergeCell ref="J463:K463"/>
    <mergeCell ref="L463:M463"/>
    <mergeCell ref="J464:K464"/>
    <mergeCell ref="L464:M464"/>
    <mergeCell ref="J465:K465"/>
    <mergeCell ref="L465:M465"/>
    <mergeCell ref="J460:K460"/>
    <mergeCell ref="L460:M460"/>
    <mergeCell ref="J461:K461"/>
    <mergeCell ref="L461:M461"/>
    <mergeCell ref="J462:K462"/>
    <mergeCell ref="L462:M462"/>
    <mergeCell ref="J457:K457"/>
    <mergeCell ref="L457:M457"/>
    <mergeCell ref="J458:K458"/>
    <mergeCell ref="L458:M458"/>
    <mergeCell ref="J459:K459"/>
    <mergeCell ref="L459:M459"/>
    <mergeCell ref="J454:K454"/>
    <mergeCell ref="L454:M454"/>
    <mergeCell ref="J455:K455"/>
    <mergeCell ref="L455:M455"/>
    <mergeCell ref="J456:K456"/>
    <mergeCell ref="L456:M456"/>
    <mergeCell ref="J451:K451"/>
    <mergeCell ref="L451:M451"/>
    <mergeCell ref="J452:K452"/>
    <mergeCell ref="L452:M452"/>
    <mergeCell ref="J453:K453"/>
    <mergeCell ref="L453:M453"/>
    <mergeCell ref="J448:K448"/>
    <mergeCell ref="L448:M448"/>
    <mergeCell ref="J449:K449"/>
    <mergeCell ref="L449:M449"/>
    <mergeCell ref="J450:K450"/>
    <mergeCell ref="L450:M450"/>
    <mergeCell ref="J445:K445"/>
    <mergeCell ref="L445:M445"/>
    <mergeCell ref="J446:K446"/>
    <mergeCell ref="L446:M446"/>
    <mergeCell ref="J447:K447"/>
    <mergeCell ref="L447:M447"/>
    <mergeCell ref="J442:K442"/>
    <mergeCell ref="L442:M442"/>
    <mergeCell ref="J443:K443"/>
    <mergeCell ref="L443:M443"/>
    <mergeCell ref="J444:K444"/>
    <mergeCell ref="L444:M444"/>
    <mergeCell ref="J439:K439"/>
    <mergeCell ref="L439:M439"/>
    <mergeCell ref="J440:K440"/>
    <mergeCell ref="L440:M440"/>
    <mergeCell ref="J441:K441"/>
    <mergeCell ref="L441:M441"/>
    <mergeCell ref="J436:K436"/>
    <mergeCell ref="L436:M436"/>
    <mergeCell ref="J437:K437"/>
    <mergeCell ref="L437:M437"/>
    <mergeCell ref="J438:K438"/>
    <mergeCell ref="L438:M438"/>
    <mergeCell ref="J433:K433"/>
    <mergeCell ref="L433:M433"/>
    <mergeCell ref="J434:K434"/>
    <mergeCell ref="L434:M434"/>
    <mergeCell ref="J435:K435"/>
    <mergeCell ref="L435:M435"/>
    <mergeCell ref="J430:K430"/>
    <mergeCell ref="L430:M430"/>
    <mergeCell ref="J431:K431"/>
    <mergeCell ref="L431:M431"/>
    <mergeCell ref="J432:K432"/>
    <mergeCell ref="L432:M432"/>
    <mergeCell ref="J427:K427"/>
    <mergeCell ref="L427:M427"/>
    <mergeCell ref="J428:K428"/>
    <mergeCell ref="L428:M428"/>
    <mergeCell ref="J429:K429"/>
    <mergeCell ref="L429:M429"/>
    <mergeCell ref="J424:K424"/>
    <mergeCell ref="L424:M424"/>
    <mergeCell ref="J425:K425"/>
    <mergeCell ref="L425:M425"/>
    <mergeCell ref="J426:K426"/>
    <mergeCell ref="L426:M426"/>
    <mergeCell ref="J421:K421"/>
    <mergeCell ref="L421:M421"/>
    <mergeCell ref="J422:K422"/>
    <mergeCell ref="L422:M422"/>
    <mergeCell ref="J423:K423"/>
    <mergeCell ref="L423:M423"/>
    <mergeCell ref="J418:K418"/>
    <mergeCell ref="L418:M418"/>
    <mergeCell ref="J419:K419"/>
    <mergeCell ref="L419:M419"/>
    <mergeCell ref="J420:K420"/>
    <mergeCell ref="L420:M420"/>
    <mergeCell ref="J415:K415"/>
    <mergeCell ref="L415:M415"/>
    <mergeCell ref="J416:K416"/>
    <mergeCell ref="L416:M416"/>
    <mergeCell ref="J417:K417"/>
    <mergeCell ref="L417:M417"/>
    <mergeCell ref="J412:K412"/>
    <mergeCell ref="L412:M412"/>
    <mergeCell ref="J413:K413"/>
    <mergeCell ref="L413:M413"/>
    <mergeCell ref="J414:K414"/>
    <mergeCell ref="L414:M414"/>
    <mergeCell ref="J409:K409"/>
    <mergeCell ref="L409:M409"/>
    <mergeCell ref="J410:K410"/>
    <mergeCell ref="L410:M410"/>
    <mergeCell ref="J411:K411"/>
    <mergeCell ref="L411:M411"/>
    <mergeCell ref="J406:K406"/>
    <mergeCell ref="L406:M406"/>
    <mergeCell ref="J407:K407"/>
    <mergeCell ref="L407:M407"/>
    <mergeCell ref="J408:K408"/>
    <mergeCell ref="L408:M408"/>
    <mergeCell ref="J403:K403"/>
    <mergeCell ref="L403:M403"/>
    <mergeCell ref="J404:K404"/>
    <mergeCell ref="L404:M404"/>
    <mergeCell ref="J405:K405"/>
    <mergeCell ref="L405:M405"/>
    <mergeCell ref="J400:K400"/>
    <mergeCell ref="L400:M400"/>
    <mergeCell ref="J401:K401"/>
    <mergeCell ref="L401:M401"/>
    <mergeCell ref="J402:K402"/>
    <mergeCell ref="L402:M402"/>
    <mergeCell ref="J397:K397"/>
    <mergeCell ref="L397:M397"/>
    <mergeCell ref="J398:K398"/>
    <mergeCell ref="L398:M398"/>
    <mergeCell ref="J399:K399"/>
    <mergeCell ref="L399:M399"/>
    <mergeCell ref="J394:K394"/>
    <mergeCell ref="L394:M394"/>
    <mergeCell ref="J395:K395"/>
    <mergeCell ref="L395:M395"/>
    <mergeCell ref="J396:K396"/>
    <mergeCell ref="L396:M396"/>
    <mergeCell ref="J391:K391"/>
    <mergeCell ref="L391:M391"/>
    <mergeCell ref="J392:K392"/>
    <mergeCell ref="L392:M392"/>
    <mergeCell ref="J393:K393"/>
    <mergeCell ref="L393:M393"/>
    <mergeCell ref="J388:K388"/>
    <mergeCell ref="L388:M388"/>
    <mergeCell ref="J389:K389"/>
    <mergeCell ref="L389:M389"/>
    <mergeCell ref="J390:K390"/>
    <mergeCell ref="L390:M390"/>
    <mergeCell ref="J385:K385"/>
    <mergeCell ref="L385:M385"/>
    <mergeCell ref="J386:K386"/>
    <mergeCell ref="L386:M386"/>
    <mergeCell ref="J387:K387"/>
    <mergeCell ref="L387:M387"/>
    <mergeCell ref="J382:K382"/>
    <mergeCell ref="L382:M382"/>
    <mergeCell ref="J383:K383"/>
    <mergeCell ref="L383:M383"/>
    <mergeCell ref="J384:K384"/>
    <mergeCell ref="L384:M384"/>
    <mergeCell ref="J379:K379"/>
    <mergeCell ref="L379:M379"/>
    <mergeCell ref="J380:K380"/>
    <mergeCell ref="L380:M380"/>
    <mergeCell ref="J381:K381"/>
    <mergeCell ref="L381:M381"/>
    <mergeCell ref="J376:K376"/>
    <mergeCell ref="L376:M376"/>
    <mergeCell ref="J377:K377"/>
    <mergeCell ref="L377:M377"/>
    <mergeCell ref="J378:K378"/>
    <mergeCell ref="L378:M378"/>
    <mergeCell ref="J373:K373"/>
    <mergeCell ref="L373:M373"/>
    <mergeCell ref="J374:K374"/>
    <mergeCell ref="L374:M374"/>
    <mergeCell ref="J375:K375"/>
    <mergeCell ref="L375:M375"/>
    <mergeCell ref="J370:K370"/>
    <mergeCell ref="L370:M370"/>
    <mergeCell ref="J371:K371"/>
    <mergeCell ref="L371:M371"/>
    <mergeCell ref="J372:K372"/>
    <mergeCell ref="L372:M372"/>
    <mergeCell ref="J367:K367"/>
    <mergeCell ref="L367:M367"/>
    <mergeCell ref="J368:K368"/>
    <mergeCell ref="L368:M368"/>
    <mergeCell ref="J369:K369"/>
    <mergeCell ref="L369:M369"/>
    <mergeCell ref="J364:K364"/>
    <mergeCell ref="L364:M364"/>
    <mergeCell ref="J365:K365"/>
    <mergeCell ref="L365:M365"/>
    <mergeCell ref="J366:K366"/>
    <mergeCell ref="L366:M366"/>
    <mergeCell ref="J361:K361"/>
    <mergeCell ref="L361:M361"/>
    <mergeCell ref="J362:K362"/>
    <mergeCell ref="L362:M362"/>
    <mergeCell ref="J363:K363"/>
    <mergeCell ref="L363:M363"/>
    <mergeCell ref="J358:K358"/>
    <mergeCell ref="L358:M358"/>
    <mergeCell ref="J359:K359"/>
    <mergeCell ref="L359:M359"/>
    <mergeCell ref="J360:K360"/>
    <mergeCell ref="L360:M360"/>
    <mergeCell ref="J355:K355"/>
    <mergeCell ref="L355:M355"/>
    <mergeCell ref="J356:K356"/>
    <mergeCell ref="L356:M356"/>
    <mergeCell ref="J357:K357"/>
    <mergeCell ref="L357:M357"/>
    <mergeCell ref="J352:K352"/>
    <mergeCell ref="L352:M352"/>
    <mergeCell ref="J353:K353"/>
    <mergeCell ref="L353:M353"/>
    <mergeCell ref="J354:K354"/>
    <mergeCell ref="L354:M354"/>
    <mergeCell ref="J349:K349"/>
    <mergeCell ref="L349:M349"/>
    <mergeCell ref="J350:K350"/>
    <mergeCell ref="L350:M350"/>
    <mergeCell ref="J351:K351"/>
    <mergeCell ref="L351:M351"/>
    <mergeCell ref="J346:K346"/>
    <mergeCell ref="L346:M346"/>
    <mergeCell ref="J347:K347"/>
    <mergeCell ref="L347:M347"/>
    <mergeCell ref="J348:K348"/>
    <mergeCell ref="L348:M348"/>
    <mergeCell ref="J343:K343"/>
    <mergeCell ref="L343:M343"/>
    <mergeCell ref="J344:K344"/>
    <mergeCell ref="L344:M344"/>
    <mergeCell ref="J345:K345"/>
    <mergeCell ref="L345:M345"/>
    <mergeCell ref="J340:K340"/>
    <mergeCell ref="L340:M340"/>
    <mergeCell ref="J341:K341"/>
    <mergeCell ref="L341:M341"/>
    <mergeCell ref="J342:K342"/>
    <mergeCell ref="L342:M342"/>
    <mergeCell ref="J337:K337"/>
    <mergeCell ref="L337:M337"/>
    <mergeCell ref="J338:K338"/>
    <mergeCell ref="L338:M338"/>
    <mergeCell ref="J339:K339"/>
    <mergeCell ref="L339:M339"/>
    <mergeCell ref="J334:K334"/>
    <mergeCell ref="L334:M334"/>
    <mergeCell ref="J335:K335"/>
    <mergeCell ref="L335:M335"/>
    <mergeCell ref="J336:K336"/>
    <mergeCell ref="L336:M336"/>
    <mergeCell ref="J331:K331"/>
    <mergeCell ref="L331:M331"/>
    <mergeCell ref="J332:K332"/>
    <mergeCell ref="L332:M332"/>
    <mergeCell ref="J333:K333"/>
    <mergeCell ref="L333:M333"/>
    <mergeCell ref="J328:K328"/>
    <mergeCell ref="L328:M328"/>
    <mergeCell ref="J329:K329"/>
    <mergeCell ref="L329:M329"/>
    <mergeCell ref="J330:K330"/>
    <mergeCell ref="L330:M330"/>
    <mergeCell ref="J325:K325"/>
    <mergeCell ref="L325:M325"/>
    <mergeCell ref="J326:K326"/>
    <mergeCell ref="L326:M326"/>
    <mergeCell ref="J327:K327"/>
    <mergeCell ref="L327:M327"/>
    <mergeCell ref="J322:K322"/>
    <mergeCell ref="L322:M322"/>
    <mergeCell ref="J323:K323"/>
    <mergeCell ref="L323:M323"/>
    <mergeCell ref="J324:K324"/>
    <mergeCell ref="L324:M324"/>
    <mergeCell ref="J319:K319"/>
    <mergeCell ref="L319:M319"/>
    <mergeCell ref="J320:K320"/>
    <mergeCell ref="L320:M320"/>
    <mergeCell ref="J321:K321"/>
    <mergeCell ref="L321:M321"/>
    <mergeCell ref="J316:K316"/>
    <mergeCell ref="L316:M316"/>
    <mergeCell ref="J317:K317"/>
    <mergeCell ref="L317:M317"/>
    <mergeCell ref="J318:K318"/>
    <mergeCell ref="L318:M318"/>
    <mergeCell ref="J313:K313"/>
    <mergeCell ref="L313:M313"/>
    <mergeCell ref="J314:K314"/>
    <mergeCell ref="L314:M314"/>
    <mergeCell ref="J315:K315"/>
    <mergeCell ref="L315:M315"/>
    <mergeCell ref="J310:K310"/>
    <mergeCell ref="L310:M310"/>
    <mergeCell ref="J311:K311"/>
    <mergeCell ref="L311:M311"/>
    <mergeCell ref="J312:K312"/>
    <mergeCell ref="L312:M312"/>
    <mergeCell ref="J307:K307"/>
    <mergeCell ref="L307:M307"/>
    <mergeCell ref="J308:K308"/>
    <mergeCell ref="L308:M308"/>
    <mergeCell ref="J309:K309"/>
    <mergeCell ref="L309:M309"/>
    <mergeCell ref="J304:K304"/>
    <mergeCell ref="L304:M304"/>
    <mergeCell ref="J305:K305"/>
    <mergeCell ref="L305:M305"/>
    <mergeCell ref="J306:K306"/>
    <mergeCell ref="L306:M306"/>
    <mergeCell ref="J301:K301"/>
    <mergeCell ref="L301:M301"/>
    <mergeCell ref="J302:K302"/>
    <mergeCell ref="L302:M302"/>
    <mergeCell ref="J303:K303"/>
    <mergeCell ref="L303:M303"/>
    <mergeCell ref="J298:K298"/>
    <mergeCell ref="L298:M298"/>
    <mergeCell ref="J299:K299"/>
    <mergeCell ref="L299:M299"/>
    <mergeCell ref="J300:K300"/>
    <mergeCell ref="L300:M300"/>
    <mergeCell ref="J295:K295"/>
    <mergeCell ref="L295:M295"/>
    <mergeCell ref="J296:K296"/>
    <mergeCell ref="L296:M296"/>
    <mergeCell ref="J297:K297"/>
    <mergeCell ref="L297:M297"/>
    <mergeCell ref="J292:K292"/>
    <mergeCell ref="L292:M292"/>
    <mergeCell ref="J293:K293"/>
    <mergeCell ref="L293:M293"/>
    <mergeCell ref="J294:K294"/>
    <mergeCell ref="L294:M294"/>
    <mergeCell ref="J289:K289"/>
    <mergeCell ref="L289:M289"/>
    <mergeCell ref="J290:K290"/>
    <mergeCell ref="L290:M290"/>
    <mergeCell ref="J291:K291"/>
    <mergeCell ref="L291:M291"/>
    <mergeCell ref="J286:K286"/>
    <mergeCell ref="L286:M286"/>
    <mergeCell ref="J287:K287"/>
    <mergeCell ref="L287:M287"/>
    <mergeCell ref="J288:K288"/>
    <mergeCell ref="L288:M288"/>
    <mergeCell ref="J283:K283"/>
    <mergeCell ref="L283:M283"/>
    <mergeCell ref="J284:K284"/>
    <mergeCell ref="L284:M284"/>
    <mergeCell ref="J285:K285"/>
    <mergeCell ref="L285:M285"/>
    <mergeCell ref="J280:K280"/>
    <mergeCell ref="L280:M280"/>
    <mergeCell ref="J281:K281"/>
    <mergeCell ref="L281:M281"/>
    <mergeCell ref="J282:K282"/>
    <mergeCell ref="L282:M282"/>
    <mergeCell ref="J277:K277"/>
    <mergeCell ref="L277:M277"/>
    <mergeCell ref="J278:K278"/>
    <mergeCell ref="L278:M278"/>
    <mergeCell ref="J279:K279"/>
    <mergeCell ref="L279:M279"/>
    <mergeCell ref="J274:K274"/>
    <mergeCell ref="L274:M274"/>
    <mergeCell ref="J275:K275"/>
    <mergeCell ref="L275:M275"/>
    <mergeCell ref="J276:K276"/>
    <mergeCell ref="L276:M276"/>
    <mergeCell ref="J271:K271"/>
    <mergeCell ref="L271:M271"/>
    <mergeCell ref="J272:K272"/>
    <mergeCell ref="L272:M272"/>
    <mergeCell ref="J273:K273"/>
    <mergeCell ref="L273:M273"/>
    <mergeCell ref="J268:K268"/>
    <mergeCell ref="L268:M268"/>
    <mergeCell ref="J269:K269"/>
    <mergeCell ref="L269:M269"/>
    <mergeCell ref="J270:K270"/>
    <mergeCell ref="L270:M270"/>
    <mergeCell ref="J265:K265"/>
    <mergeCell ref="L265:M265"/>
    <mergeCell ref="J266:K266"/>
    <mergeCell ref="L266:M266"/>
    <mergeCell ref="J267:K267"/>
    <mergeCell ref="L267:M267"/>
    <mergeCell ref="J262:K262"/>
    <mergeCell ref="L262:M262"/>
    <mergeCell ref="J263:K263"/>
    <mergeCell ref="L263:M263"/>
    <mergeCell ref="J264:K264"/>
    <mergeCell ref="L264:M264"/>
    <mergeCell ref="J259:K259"/>
    <mergeCell ref="L259:M259"/>
    <mergeCell ref="J260:K260"/>
    <mergeCell ref="L260:M260"/>
    <mergeCell ref="J261:K261"/>
    <mergeCell ref="L261:M261"/>
    <mergeCell ref="J256:K256"/>
    <mergeCell ref="L256:M256"/>
    <mergeCell ref="J257:K257"/>
    <mergeCell ref="L257:M257"/>
    <mergeCell ref="J258:K258"/>
    <mergeCell ref="L258:M258"/>
    <mergeCell ref="J253:K253"/>
    <mergeCell ref="L253:M253"/>
    <mergeCell ref="J254:K254"/>
    <mergeCell ref="L254:M254"/>
    <mergeCell ref="J255:K255"/>
    <mergeCell ref="L255:M255"/>
    <mergeCell ref="J250:K250"/>
    <mergeCell ref="L250:M250"/>
    <mergeCell ref="J251:K251"/>
    <mergeCell ref="L251:M251"/>
    <mergeCell ref="J252:K252"/>
    <mergeCell ref="L252:M252"/>
    <mergeCell ref="J247:K247"/>
    <mergeCell ref="L247:M247"/>
    <mergeCell ref="J248:K248"/>
    <mergeCell ref="L248:M248"/>
    <mergeCell ref="J249:K249"/>
    <mergeCell ref="L249:M249"/>
    <mergeCell ref="J244:K244"/>
    <mergeCell ref="L244:M244"/>
    <mergeCell ref="J245:K245"/>
    <mergeCell ref="L245:M245"/>
    <mergeCell ref="J246:K246"/>
    <mergeCell ref="L246:M246"/>
    <mergeCell ref="J241:K241"/>
    <mergeCell ref="L241:M241"/>
    <mergeCell ref="J242:K242"/>
    <mergeCell ref="L242:M242"/>
    <mergeCell ref="J243:K243"/>
    <mergeCell ref="L243:M243"/>
    <mergeCell ref="J238:K238"/>
    <mergeCell ref="L238:M238"/>
    <mergeCell ref="J239:K239"/>
    <mergeCell ref="L239:M239"/>
    <mergeCell ref="J240:K240"/>
    <mergeCell ref="L240:M240"/>
    <mergeCell ref="J235:K235"/>
    <mergeCell ref="L235:M235"/>
    <mergeCell ref="J236:K236"/>
    <mergeCell ref="L236:M236"/>
    <mergeCell ref="J237:K237"/>
    <mergeCell ref="L237:M237"/>
    <mergeCell ref="J232:K232"/>
    <mergeCell ref="L232:M232"/>
    <mergeCell ref="J233:K233"/>
    <mergeCell ref="L233:M233"/>
    <mergeCell ref="J234:K234"/>
    <mergeCell ref="L234:M234"/>
    <mergeCell ref="J229:K229"/>
    <mergeCell ref="L229:M229"/>
    <mergeCell ref="J230:K230"/>
    <mergeCell ref="L230:M230"/>
    <mergeCell ref="J231:K231"/>
    <mergeCell ref="L231:M231"/>
    <mergeCell ref="J226:K226"/>
    <mergeCell ref="L226:M226"/>
    <mergeCell ref="J227:K227"/>
    <mergeCell ref="L227:M227"/>
    <mergeCell ref="J228:K228"/>
    <mergeCell ref="L228:M228"/>
    <mergeCell ref="J223:K223"/>
    <mergeCell ref="L223:M223"/>
    <mergeCell ref="J224:K224"/>
    <mergeCell ref="L224:M224"/>
    <mergeCell ref="J225:K225"/>
    <mergeCell ref="L225:M225"/>
    <mergeCell ref="J220:K220"/>
    <mergeCell ref="L220:M220"/>
    <mergeCell ref="J221:K221"/>
    <mergeCell ref="L221:M221"/>
    <mergeCell ref="J222:K222"/>
    <mergeCell ref="L222:M222"/>
    <mergeCell ref="J217:K217"/>
    <mergeCell ref="L217:M217"/>
    <mergeCell ref="J218:K218"/>
    <mergeCell ref="L218:M218"/>
    <mergeCell ref="J219:K219"/>
    <mergeCell ref="L219:M219"/>
    <mergeCell ref="J214:K214"/>
    <mergeCell ref="L214:M214"/>
    <mergeCell ref="J215:K215"/>
    <mergeCell ref="L215:M215"/>
    <mergeCell ref="J216:K216"/>
    <mergeCell ref="L216:M216"/>
    <mergeCell ref="J211:K211"/>
    <mergeCell ref="L211:M211"/>
    <mergeCell ref="J212:K212"/>
    <mergeCell ref="L212:M212"/>
    <mergeCell ref="J213:K213"/>
    <mergeCell ref="L213:M213"/>
    <mergeCell ref="J208:K208"/>
    <mergeCell ref="L208:M208"/>
    <mergeCell ref="J209:K209"/>
    <mergeCell ref="L209:M209"/>
    <mergeCell ref="J210:K210"/>
    <mergeCell ref="L210:M210"/>
    <mergeCell ref="J205:K205"/>
    <mergeCell ref="L205:M205"/>
    <mergeCell ref="J206:K206"/>
    <mergeCell ref="L206:M206"/>
    <mergeCell ref="J207:K207"/>
    <mergeCell ref="L207:M207"/>
    <mergeCell ref="J202:K202"/>
    <mergeCell ref="L202:M202"/>
    <mergeCell ref="J203:K203"/>
    <mergeCell ref="L203:M203"/>
    <mergeCell ref="J204:K204"/>
    <mergeCell ref="L204:M204"/>
    <mergeCell ref="J199:K199"/>
    <mergeCell ref="L199:M199"/>
    <mergeCell ref="J200:K200"/>
    <mergeCell ref="L200:M200"/>
    <mergeCell ref="J201:K201"/>
    <mergeCell ref="L201:M201"/>
    <mergeCell ref="J196:K196"/>
    <mergeCell ref="L196:M196"/>
    <mergeCell ref="J197:K197"/>
    <mergeCell ref="L197:M197"/>
    <mergeCell ref="J198:K198"/>
    <mergeCell ref="L198:M198"/>
    <mergeCell ref="J193:K193"/>
    <mergeCell ref="L193:M193"/>
    <mergeCell ref="J194:K194"/>
    <mergeCell ref="L194:M194"/>
    <mergeCell ref="J195:K195"/>
    <mergeCell ref="L195:M195"/>
    <mergeCell ref="J190:K190"/>
    <mergeCell ref="L190:M190"/>
    <mergeCell ref="J191:K191"/>
    <mergeCell ref="L191:M191"/>
    <mergeCell ref="J192:K192"/>
    <mergeCell ref="L192:M192"/>
    <mergeCell ref="J187:K187"/>
    <mergeCell ref="L187:M187"/>
    <mergeCell ref="J188:K188"/>
    <mergeCell ref="L188:M188"/>
    <mergeCell ref="J189:K189"/>
    <mergeCell ref="L189:M189"/>
    <mergeCell ref="J184:K184"/>
    <mergeCell ref="L184:M184"/>
    <mergeCell ref="J185:K185"/>
    <mergeCell ref="L185:M185"/>
    <mergeCell ref="J186:K186"/>
    <mergeCell ref="L186:M186"/>
    <mergeCell ref="J181:K181"/>
    <mergeCell ref="L181:M181"/>
    <mergeCell ref="J182:K182"/>
    <mergeCell ref="L182:M182"/>
    <mergeCell ref="J183:K183"/>
    <mergeCell ref="L183:M183"/>
    <mergeCell ref="J178:K178"/>
    <mergeCell ref="L178:M178"/>
    <mergeCell ref="J179:K179"/>
    <mergeCell ref="L179:M179"/>
    <mergeCell ref="J180:K180"/>
    <mergeCell ref="L180:M180"/>
    <mergeCell ref="J175:K175"/>
    <mergeCell ref="L175:M175"/>
    <mergeCell ref="J176:K176"/>
    <mergeCell ref="L176:M176"/>
    <mergeCell ref="J177:K177"/>
    <mergeCell ref="L177:M177"/>
    <mergeCell ref="J172:K172"/>
    <mergeCell ref="L172:M172"/>
    <mergeCell ref="J173:K173"/>
    <mergeCell ref="L173:M173"/>
    <mergeCell ref="J174:K174"/>
    <mergeCell ref="L174:M174"/>
    <mergeCell ref="J169:K169"/>
    <mergeCell ref="L169:M169"/>
    <mergeCell ref="J170:K170"/>
    <mergeCell ref="L170:M170"/>
    <mergeCell ref="J171:K171"/>
    <mergeCell ref="L171:M171"/>
    <mergeCell ref="J166:K166"/>
    <mergeCell ref="L166:M166"/>
    <mergeCell ref="J167:K167"/>
    <mergeCell ref="L167:M167"/>
    <mergeCell ref="J168:K168"/>
    <mergeCell ref="L168:M168"/>
    <mergeCell ref="J163:K163"/>
    <mergeCell ref="L163:M163"/>
    <mergeCell ref="J164:K164"/>
    <mergeCell ref="L164:M164"/>
    <mergeCell ref="J165:K165"/>
    <mergeCell ref="L165:M165"/>
    <mergeCell ref="J160:K160"/>
    <mergeCell ref="L160:M160"/>
    <mergeCell ref="J161:K161"/>
    <mergeCell ref="L161:M161"/>
    <mergeCell ref="J162:K162"/>
    <mergeCell ref="L162:M162"/>
    <mergeCell ref="J157:K157"/>
    <mergeCell ref="L157:M157"/>
    <mergeCell ref="J158:K158"/>
    <mergeCell ref="L158:M158"/>
    <mergeCell ref="J159:K159"/>
    <mergeCell ref="L159:M159"/>
    <mergeCell ref="J154:K154"/>
    <mergeCell ref="L154:M154"/>
    <mergeCell ref="J155:K155"/>
    <mergeCell ref="L155:M155"/>
    <mergeCell ref="J156:K156"/>
    <mergeCell ref="L156:M156"/>
    <mergeCell ref="J151:K151"/>
    <mergeCell ref="L151:M151"/>
    <mergeCell ref="J152:K152"/>
    <mergeCell ref="L152:M152"/>
    <mergeCell ref="J153:K153"/>
    <mergeCell ref="L153:M153"/>
    <mergeCell ref="J148:K148"/>
    <mergeCell ref="L148:M148"/>
    <mergeCell ref="J149:K149"/>
    <mergeCell ref="L149:M149"/>
    <mergeCell ref="J150:K150"/>
    <mergeCell ref="L150:M150"/>
    <mergeCell ref="J145:K145"/>
    <mergeCell ref="L145:M145"/>
    <mergeCell ref="J146:K146"/>
    <mergeCell ref="L146:M146"/>
    <mergeCell ref="J147:K147"/>
    <mergeCell ref="L147:M147"/>
    <mergeCell ref="J142:K142"/>
    <mergeCell ref="L142:M142"/>
    <mergeCell ref="J143:K143"/>
    <mergeCell ref="L143:M143"/>
    <mergeCell ref="J144:K144"/>
    <mergeCell ref="L144:M144"/>
    <mergeCell ref="J139:K139"/>
    <mergeCell ref="L139:M139"/>
    <mergeCell ref="J140:K140"/>
    <mergeCell ref="L140:M140"/>
    <mergeCell ref="J141:K141"/>
    <mergeCell ref="L141:M141"/>
    <mergeCell ref="J136:K136"/>
    <mergeCell ref="L136:M136"/>
    <mergeCell ref="J137:K137"/>
    <mergeCell ref="L137:M137"/>
    <mergeCell ref="J138:K138"/>
    <mergeCell ref="L138:M138"/>
    <mergeCell ref="J133:K133"/>
    <mergeCell ref="L133:M133"/>
    <mergeCell ref="J134:K134"/>
    <mergeCell ref="L134:M134"/>
    <mergeCell ref="J135:K135"/>
    <mergeCell ref="L135:M135"/>
    <mergeCell ref="J130:K130"/>
    <mergeCell ref="L130:M130"/>
    <mergeCell ref="J131:K131"/>
    <mergeCell ref="L131:M131"/>
    <mergeCell ref="J132:K132"/>
    <mergeCell ref="L132:M132"/>
    <mergeCell ref="J127:K127"/>
    <mergeCell ref="L127:M127"/>
    <mergeCell ref="J128:K128"/>
    <mergeCell ref="L128:M128"/>
    <mergeCell ref="J129:K129"/>
    <mergeCell ref="L129:M129"/>
    <mergeCell ref="J124:K124"/>
    <mergeCell ref="L124:M124"/>
    <mergeCell ref="J125:K125"/>
    <mergeCell ref="L125:M125"/>
    <mergeCell ref="J126:K126"/>
    <mergeCell ref="L126:M126"/>
    <mergeCell ref="J121:K121"/>
    <mergeCell ref="L121:M121"/>
    <mergeCell ref="J122:K122"/>
    <mergeCell ref="L122:M122"/>
    <mergeCell ref="J123:K123"/>
    <mergeCell ref="L123:M123"/>
    <mergeCell ref="J118:K118"/>
    <mergeCell ref="L118:M118"/>
    <mergeCell ref="J119:K119"/>
    <mergeCell ref="L119:M119"/>
    <mergeCell ref="J120:K120"/>
    <mergeCell ref="L120:M120"/>
    <mergeCell ref="J115:K115"/>
    <mergeCell ref="L115:M115"/>
    <mergeCell ref="J116:K116"/>
    <mergeCell ref="L116:M116"/>
    <mergeCell ref="J117:K117"/>
    <mergeCell ref="L117:M117"/>
    <mergeCell ref="J112:K112"/>
    <mergeCell ref="L112:M112"/>
    <mergeCell ref="J113:K113"/>
    <mergeCell ref="L113:M113"/>
    <mergeCell ref="J114:K114"/>
    <mergeCell ref="L114:M114"/>
    <mergeCell ref="J109:K109"/>
    <mergeCell ref="L109:M109"/>
    <mergeCell ref="J110:K110"/>
    <mergeCell ref="L110:M110"/>
    <mergeCell ref="J111:K111"/>
    <mergeCell ref="L111:M111"/>
    <mergeCell ref="J106:K106"/>
    <mergeCell ref="L106:M106"/>
    <mergeCell ref="J107:K107"/>
    <mergeCell ref="L107:M107"/>
    <mergeCell ref="J108:K108"/>
    <mergeCell ref="L108:M108"/>
    <mergeCell ref="J103:K103"/>
    <mergeCell ref="L103:M103"/>
    <mergeCell ref="J104:K104"/>
    <mergeCell ref="L104:M104"/>
    <mergeCell ref="J105:K105"/>
    <mergeCell ref="L105:M105"/>
    <mergeCell ref="J100:K100"/>
    <mergeCell ref="L100:M100"/>
    <mergeCell ref="J101:K101"/>
    <mergeCell ref="L101:M101"/>
    <mergeCell ref="J102:K102"/>
    <mergeCell ref="L102:M102"/>
    <mergeCell ref="J97:K97"/>
    <mergeCell ref="L97:M97"/>
    <mergeCell ref="J98:K98"/>
    <mergeCell ref="L98:M98"/>
    <mergeCell ref="J99:K99"/>
    <mergeCell ref="L99:M99"/>
    <mergeCell ref="J94:K94"/>
    <mergeCell ref="L94:M94"/>
    <mergeCell ref="J95:K95"/>
    <mergeCell ref="L95:M95"/>
    <mergeCell ref="J96:K96"/>
    <mergeCell ref="L96:M96"/>
    <mergeCell ref="J91:K91"/>
    <mergeCell ref="L91:M91"/>
    <mergeCell ref="J92:K92"/>
    <mergeCell ref="L92:M92"/>
    <mergeCell ref="J93:K93"/>
    <mergeCell ref="L93:M93"/>
    <mergeCell ref="J88:K88"/>
    <mergeCell ref="L88:M88"/>
    <mergeCell ref="J89:K89"/>
    <mergeCell ref="L89:M89"/>
    <mergeCell ref="J90:K90"/>
    <mergeCell ref="L90:M90"/>
    <mergeCell ref="J85:K85"/>
    <mergeCell ref="L85:M85"/>
    <mergeCell ref="J86:K86"/>
    <mergeCell ref="L86:M86"/>
    <mergeCell ref="J87:K87"/>
    <mergeCell ref="L87:M87"/>
    <mergeCell ref="J82:K82"/>
    <mergeCell ref="L82:M82"/>
    <mergeCell ref="J83:K83"/>
    <mergeCell ref="L83:M83"/>
    <mergeCell ref="J84:K84"/>
    <mergeCell ref="L84:M84"/>
    <mergeCell ref="J79:K79"/>
    <mergeCell ref="L79:M79"/>
    <mergeCell ref="J80:K80"/>
    <mergeCell ref="L80:M80"/>
    <mergeCell ref="J81:K81"/>
    <mergeCell ref="L81:M81"/>
    <mergeCell ref="J76:K76"/>
    <mergeCell ref="L76:M76"/>
    <mergeCell ref="J77:K77"/>
    <mergeCell ref="L77:M77"/>
    <mergeCell ref="J78:K78"/>
    <mergeCell ref="L78:M78"/>
    <mergeCell ref="J73:K73"/>
    <mergeCell ref="L73:M73"/>
    <mergeCell ref="J74:K74"/>
    <mergeCell ref="L74:M74"/>
    <mergeCell ref="J75:K75"/>
    <mergeCell ref="L75:M75"/>
    <mergeCell ref="J70:K70"/>
    <mergeCell ref="L70:M70"/>
    <mergeCell ref="J71:K71"/>
    <mergeCell ref="L71:M71"/>
    <mergeCell ref="J72:K72"/>
    <mergeCell ref="L72:M72"/>
    <mergeCell ref="J67:K67"/>
    <mergeCell ref="L67:M67"/>
    <mergeCell ref="J68:K68"/>
    <mergeCell ref="L68:M68"/>
    <mergeCell ref="J69:K69"/>
    <mergeCell ref="L69:M69"/>
    <mergeCell ref="J64:K64"/>
    <mergeCell ref="L64:M64"/>
    <mergeCell ref="J65:K65"/>
    <mergeCell ref="L65:M65"/>
    <mergeCell ref="J66:K66"/>
    <mergeCell ref="L66:M66"/>
    <mergeCell ref="J61:K61"/>
    <mergeCell ref="L61:M61"/>
    <mergeCell ref="J62:K62"/>
    <mergeCell ref="L62:M62"/>
    <mergeCell ref="J63:K63"/>
    <mergeCell ref="L63:M63"/>
    <mergeCell ref="J58:K58"/>
    <mergeCell ref="L58:M58"/>
    <mergeCell ref="J59:K59"/>
    <mergeCell ref="L59:M59"/>
    <mergeCell ref="J60:K60"/>
    <mergeCell ref="L60:M60"/>
    <mergeCell ref="J55:K55"/>
    <mergeCell ref="L55:M55"/>
    <mergeCell ref="J56:K56"/>
    <mergeCell ref="L56:M56"/>
    <mergeCell ref="J57:K57"/>
    <mergeCell ref="L57:M57"/>
    <mergeCell ref="J52:K52"/>
    <mergeCell ref="L52:M52"/>
    <mergeCell ref="J53:K53"/>
    <mergeCell ref="L53:M53"/>
    <mergeCell ref="J54:K54"/>
    <mergeCell ref="L54:M54"/>
    <mergeCell ref="J49:K49"/>
    <mergeCell ref="L49:M49"/>
    <mergeCell ref="J50:K50"/>
    <mergeCell ref="L50:M50"/>
    <mergeCell ref="J51:K51"/>
    <mergeCell ref="L51:M51"/>
    <mergeCell ref="J46:K46"/>
    <mergeCell ref="L46:M46"/>
    <mergeCell ref="J47:K47"/>
    <mergeCell ref="L47:M47"/>
    <mergeCell ref="J48:K48"/>
    <mergeCell ref="L48:M48"/>
    <mergeCell ref="J43:K43"/>
    <mergeCell ref="L43:M43"/>
    <mergeCell ref="J44:K44"/>
    <mergeCell ref="L44:M44"/>
    <mergeCell ref="J45:K45"/>
    <mergeCell ref="L45:M45"/>
    <mergeCell ref="J40:K40"/>
    <mergeCell ref="L40:M40"/>
    <mergeCell ref="J41:K41"/>
    <mergeCell ref="L41:M41"/>
    <mergeCell ref="J42:K42"/>
    <mergeCell ref="L42:M42"/>
    <mergeCell ref="J37:K37"/>
    <mergeCell ref="L37:M37"/>
    <mergeCell ref="J38:K38"/>
    <mergeCell ref="L38:M38"/>
    <mergeCell ref="J39:K39"/>
    <mergeCell ref="L39:M39"/>
    <mergeCell ref="J34:K34"/>
    <mergeCell ref="L34:M34"/>
    <mergeCell ref="J35:K35"/>
    <mergeCell ref="L35:M35"/>
    <mergeCell ref="J36:K36"/>
    <mergeCell ref="L36:M36"/>
    <mergeCell ref="J31:K31"/>
    <mergeCell ref="L31:M31"/>
    <mergeCell ref="J32:K32"/>
    <mergeCell ref="L32:M32"/>
    <mergeCell ref="J33:K33"/>
    <mergeCell ref="L33:M33"/>
    <mergeCell ref="J28:K28"/>
    <mergeCell ref="L28:M28"/>
    <mergeCell ref="J29:K29"/>
    <mergeCell ref="L29:M29"/>
    <mergeCell ref="J30:K30"/>
    <mergeCell ref="L30:M30"/>
    <mergeCell ref="J25:K25"/>
    <mergeCell ref="L25:M25"/>
    <mergeCell ref="J26:K26"/>
    <mergeCell ref="L26:M26"/>
    <mergeCell ref="J27:K27"/>
    <mergeCell ref="L27:M27"/>
    <mergeCell ref="J22:K22"/>
    <mergeCell ref="L22:M22"/>
    <mergeCell ref="J23:K23"/>
    <mergeCell ref="L23:M23"/>
    <mergeCell ref="J24:K24"/>
    <mergeCell ref="L24:M24"/>
    <mergeCell ref="J19:K19"/>
    <mergeCell ref="L19:M19"/>
    <mergeCell ref="J20:K20"/>
    <mergeCell ref="L20:M20"/>
    <mergeCell ref="J21:K21"/>
    <mergeCell ref="L21:M21"/>
    <mergeCell ref="J17:K17"/>
    <mergeCell ref="L17:M17"/>
    <mergeCell ref="J18:K18"/>
    <mergeCell ref="L18:M18"/>
    <mergeCell ref="J13:K13"/>
    <mergeCell ref="L13:M13"/>
    <mergeCell ref="J14:K14"/>
    <mergeCell ref="L14:M14"/>
    <mergeCell ref="J15:K15"/>
    <mergeCell ref="L15:M15"/>
    <mergeCell ref="T9:Y9"/>
    <mergeCell ref="J10:K10"/>
    <mergeCell ref="L10:M10"/>
    <mergeCell ref="J11:K11"/>
    <mergeCell ref="L11:M11"/>
    <mergeCell ref="J12:K12"/>
    <mergeCell ref="L12:M12"/>
    <mergeCell ref="B8:C8"/>
    <mergeCell ref="D8:E8"/>
    <mergeCell ref="F8:G8"/>
    <mergeCell ref="H8:I8"/>
    <mergeCell ref="T8:Y8"/>
    <mergeCell ref="B5:C5"/>
    <mergeCell ref="D5:E5"/>
    <mergeCell ref="F5:G5"/>
    <mergeCell ref="H5:I5"/>
    <mergeCell ref="T5:Y5"/>
    <mergeCell ref="B6:C6"/>
    <mergeCell ref="D6:E6"/>
    <mergeCell ref="F6:G6"/>
    <mergeCell ref="H6:I6"/>
    <mergeCell ref="T6:Y6"/>
    <mergeCell ref="J16:K16"/>
    <mergeCell ref="L16:M16"/>
    <mergeCell ref="K3:L3"/>
    <mergeCell ref="N3:O3"/>
    <mergeCell ref="T3:Y3"/>
    <mergeCell ref="B4:C4"/>
    <mergeCell ref="D4:E4"/>
    <mergeCell ref="F4:G4"/>
    <mergeCell ref="H4:I4"/>
    <mergeCell ref="T4:Y4"/>
    <mergeCell ref="B1:C1"/>
    <mergeCell ref="B2:C2"/>
    <mergeCell ref="B3:C3"/>
    <mergeCell ref="D3:E3"/>
    <mergeCell ref="F3:G3"/>
    <mergeCell ref="H3:I3"/>
    <mergeCell ref="B7:C7"/>
    <mergeCell ref="D7:E7"/>
    <mergeCell ref="F7:G7"/>
    <mergeCell ref="H7:I7"/>
    <mergeCell ref="T7:Y7"/>
  </mergeCells>
  <dataValidations count="1">
    <dataValidation type="list" allowBlank="1" showInputMessage="1" showErrorMessage="1" sqref="L4" xr:uid="{287E652E-7ADC-4B3E-A2C6-BC8FB96CC682}">
      <formula1>$O$11:$O$12</formula1>
    </dataValidation>
  </dataValidations>
  <pageMargins left="0.25" right="0.25" top="0.75" bottom="0.75" header="0.3" footer="0.3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MasterSheet</vt:lpstr>
      <vt:lpstr>RC_1_10k</vt:lpstr>
      <vt:lpstr>RC_2_10k</vt:lpstr>
      <vt:lpstr>C_1</vt:lpstr>
      <vt:lpstr>C_2</vt:lpstr>
      <vt:lpstr>RC_1_1M</vt:lpstr>
      <vt:lpstr>RC_2_1M</vt:lpstr>
      <vt:lpstr>RC1_100M_RC2_2pt_1</vt:lpstr>
      <vt:lpstr>RC3_2pt_1</vt:lpstr>
      <vt:lpstr>RC1_RC3_RC2_2pt_1</vt:lpstr>
    </vt:vector>
  </TitlesOfParts>
  <Company>Agilent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kamimoto</dc:creator>
  <cp:lastModifiedBy>Jacob Clenney (Student)</cp:lastModifiedBy>
  <dcterms:created xsi:type="dcterms:W3CDTF">2010-04-27T09:25:26Z</dcterms:created>
  <dcterms:modified xsi:type="dcterms:W3CDTF">2023-11-21T04:32:33Z</dcterms:modified>
</cp:coreProperties>
</file>